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18F1D31A-EE24-4889-AE8A-1AA94BF1FC57}" xr6:coauthVersionLast="47" xr6:coauthVersionMax="47" xr10:uidLastSave="{00000000-0000-0000-0000-000000000000}"/>
  <bookViews>
    <workbookView xWindow="2304" yWindow="2304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1" l="1"/>
  <c r="D12" i="211"/>
  <c r="L12" i="212"/>
  <c r="M12" i="212"/>
  <c r="N12" i="212"/>
  <c r="L13" i="212"/>
  <c r="M13" i="212"/>
  <c r="N13" i="212"/>
  <c r="L14" i="212"/>
  <c r="M14" i="212"/>
  <c r="N14" i="212"/>
  <c r="L15" i="212"/>
  <c r="M15" i="212"/>
  <c r="N15" i="212"/>
  <c r="I16" i="212"/>
  <c r="J16" i="212"/>
  <c r="K16" i="212"/>
  <c r="L16" i="212"/>
  <c r="M16" i="212"/>
  <c r="N16" i="212"/>
  <c r="L17" i="212"/>
  <c r="M17" i="212"/>
  <c r="N17" i="212"/>
  <c r="L18" i="212"/>
  <c r="M18" i="212"/>
  <c r="N18" i="212"/>
  <c r="L20" i="212"/>
  <c r="M20" i="212"/>
  <c r="N20" i="212"/>
  <c r="L21" i="212"/>
  <c r="M21" i="212"/>
  <c r="N21" i="212"/>
  <c r="L22" i="212"/>
  <c r="M22" i="212"/>
  <c r="N22" i="212"/>
  <c r="L23" i="212"/>
  <c r="M23" i="212"/>
  <c r="N23" i="212"/>
  <c r="L24" i="212"/>
  <c r="M24" i="212"/>
  <c r="N24" i="212"/>
  <c r="L25" i="212"/>
  <c r="M25" i="212"/>
  <c r="N25" i="212"/>
  <c r="M26" i="212"/>
  <c r="N26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 s="1"/>
  <c r="T8" i="217"/>
  <c r="W7" i="217"/>
  <c r="V7" i="217" s="1"/>
  <c r="T7" i="217"/>
  <c r="J7" i="217"/>
  <c r="N45" i="232"/>
  <c r="O45" i="232"/>
  <c r="M45" i="232" s="1"/>
  <c r="E30" i="216"/>
  <c r="E36" i="216" s="1"/>
  <c r="L11" i="212" l="1"/>
  <c r="M11" i="212"/>
  <c r="N11" i="212"/>
  <c r="L19" i="212"/>
  <c r="N19" i="212"/>
  <c r="M19" i="212"/>
  <c r="L27" i="212"/>
  <c r="M27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N38" i="232" l="1"/>
  <c r="P9" i="232"/>
  <c r="E20" i="230"/>
  <c r="E22" i="230"/>
  <c r="P23" i="232"/>
  <c r="O23" i="232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E23" i="230" l="1"/>
  <c r="P22" i="232"/>
  <c r="P47" i="232" s="1"/>
  <c r="C22" i="230" s="1"/>
  <c r="D22" i="230" s="1"/>
  <c r="F22" i="230" s="1"/>
  <c r="D21" i="212" s="1"/>
  <c r="O22" i="232"/>
  <c r="N22" i="232"/>
  <c r="M22" i="232"/>
  <c r="M9" i="232"/>
  <c r="N9" i="232"/>
  <c r="O9" i="232"/>
  <c r="N17" i="230"/>
  <c r="C13" i="232" a="1"/>
  <c r="K21" i="212" l="1"/>
  <c r="J21" i="212"/>
  <c r="I21" i="212"/>
  <c r="O47" i="232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I15" i="212" l="1"/>
  <c r="J15" i="212"/>
  <c r="K15" i="212"/>
  <c r="C17" i="230"/>
  <c r="C23" i="230" s="1"/>
  <c r="O18" i="230"/>
  <c r="R18" i="230" s="1"/>
  <c r="F18" i="230"/>
  <c r="D17" i="230"/>
  <c r="D23" i="230" s="1"/>
  <c r="D20" i="212"/>
  <c r="F20" i="230"/>
  <c r="C15" i="232" a="1"/>
  <c r="J20" i="212" l="1"/>
  <c r="I20" i="212"/>
  <c r="K20" i="212"/>
  <c r="D13" i="212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D23" i="212" s="1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B18" i="212"/>
  <c r="D18" i="212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K10" i="218" l="1"/>
  <c r="I12" i="217"/>
  <c r="B23" i="212"/>
  <c r="G3" i="210"/>
  <c r="F3" i="210" s="1"/>
  <c r="E3" i="210"/>
  <c r="G41" i="208"/>
  <c r="I13" i="212"/>
  <c r="J13" i="212"/>
  <c r="K13" i="212"/>
  <c r="E61" i="216"/>
  <c r="F61" i="216" s="1"/>
  <c r="F56" i="216" s="1"/>
  <c r="E50" i="216"/>
  <c r="F50" i="216" s="1"/>
  <c r="F46" i="216" s="1"/>
  <c r="E28" i="216"/>
  <c r="E66" i="216"/>
  <c r="F66" i="216" s="1"/>
  <c r="F62" i="216" s="1"/>
  <c r="J18" i="212"/>
  <c r="K18" i="212"/>
  <c r="I18" i="212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B14" i="212"/>
  <c r="A14" i="212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F40" i="219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I23" i="212" l="1"/>
  <c r="J23" i="212"/>
  <c r="K23" i="212"/>
  <c r="E119" i="214"/>
  <c r="H119" i="214" s="1"/>
  <c r="E101" i="214"/>
  <c r="H101" i="214" s="1"/>
  <c r="F39" i="219"/>
  <c r="E136" i="214"/>
  <c r="H136" i="214" s="1"/>
  <c r="F41" i="219"/>
  <c r="E100" i="214"/>
  <c r="H100" i="214" s="1"/>
  <c r="E135" i="214"/>
  <c r="H135" i="214" s="1"/>
  <c r="E86" i="214"/>
  <c r="H86" i="214" s="1"/>
  <c r="E117" i="214"/>
  <c r="H117" i="214" s="1"/>
  <c r="E99" i="214"/>
  <c r="H99" i="214" s="1"/>
  <c r="E134" i="214"/>
  <c r="H134" i="214" s="1"/>
  <c r="E54" i="214"/>
  <c r="H54" i="214" s="1"/>
  <c r="E73" i="214"/>
  <c r="H73" i="214" s="1"/>
  <c r="F37" i="219"/>
  <c r="E31" i="214"/>
  <c r="H31" i="214" s="1"/>
  <c r="F28" i="216"/>
  <c r="F23" i="216" s="1"/>
  <c r="E34" i="216"/>
  <c r="E40" i="216" s="1"/>
  <c r="F40" i="216" s="1"/>
  <c r="F35" i="216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H34" i="214" s="1"/>
  <c r="E98" i="214"/>
  <c r="H98" i="214" s="1"/>
  <c r="H103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E62" i="213" l="1"/>
  <c r="H62" i="213" s="1"/>
  <c r="H63" i="213" s="1"/>
  <c r="F33" i="219"/>
  <c r="E74" i="213"/>
  <c r="H74" i="213" s="1"/>
  <c r="H75" i="213" s="1"/>
  <c r="E45" i="213"/>
  <c r="H45" i="213" s="1"/>
  <c r="H46" i="213" s="1"/>
  <c r="E28" i="213"/>
  <c r="H28" i="213" s="1"/>
  <c r="H29" i="213" s="1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D14" i="212"/>
  <c r="D12" i="212"/>
  <c r="O52" i="219"/>
  <c r="O50" i="219"/>
  <c r="J17" i="214"/>
  <c r="J83" i="213"/>
  <c r="D17" i="212"/>
  <c r="D24" i="212"/>
  <c r="D25" i="212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D22" i="212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G41" i="219" s="1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K41" i="219"/>
  <c r="O41" i="219" s="1"/>
  <c r="N31" i="219"/>
  <c r="G31" i="219"/>
  <c r="D22" i="219" l="1"/>
  <c r="G22" i="219" s="1"/>
  <c r="D36" i="219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J108" i="213"/>
  <c r="J106" i="213"/>
  <c r="D27" i="219" s="1"/>
  <c r="G27" i="219" s="1"/>
  <c r="A27" i="219"/>
  <c r="A17" i="219"/>
  <c r="D10" i="215"/>
  <c r="C11" i="215"/>
  <c r="K33" i="219"/>
  <c r="N33" i="219" s="1"/>
  <c r="G33" i="219"/>
  <c r="D23" i="219"/>
  <c r="G23" i="219" s="1"/>
  <c r="I14" i="212"/>
  <c r="J14" i="212"/>
  <c r="K14" i="212"/>
  <c r="I12" i="212"/>
  <c r="J12" i="212"/>
  <c r="K12" i="212"/>
  <c r="I17" i="212"/>
  <c r="J17" i="212"/>
  <c r="K17" i="212"/>
  <c r="I24" i="212"/>
  <c r="J24" i="212"/>
  <c r="K24" i="212"/>
  <c r="J110" i="214"/>
  <c r="J25" i="212"/>
  <c r="I25" i="212"/>
  <c r="K25" i="212"/>
  <c r="J22" i="212"/>
  <c r="K22" i="212"/>
  <c r="I22" i="212"/>
  <c r="I19" i="212" s="1"/>
  <c r="G36" i="219" l="1"/>
  <c r="K36" i="219"/>
  <c r="O36" i="219" s="1"/>
  <c r="K34" i="219"/>
  <c r="N34" i="219" s="1"/>
  <c r="N32" i="219" s="1"/>
  <c r="G34" i="219"/>
  <c r="A18" i="219"/>
  <c r="D11" i="215"/>
  <c r="E11" i="215"/>
  <c r="J120" i="214"/>
  <c r="D38" i="219" s="1"/>
  <c r="J117" i="214"/>
  <c r="D37" i="219" s="1"/>
  <c r="J112" i="214"/>
  <c r="D26" i="219" s="1"/>
  <c r="G26" i="219" s="1"/>
  <c r="G5" i="219" s="1"/>
  <c r="J118" i="214"/>
  <c r="D40" i="219" s="1"/>
  <c r="J119" i="214"/>
  <c r="D39" i="219" s="1"/>
  <c r="J114" i="214"/>
  <c r="J116" i="214"/>
  <c r="D35" i="219" s="1"/>
  <c r="K11" i="212"/>
  <c r="I11" i="212"/>
  <c r="I27" i="212" s="1"/>
  <c r="E10" i="211" s="1"/>
  <c r="J11" i="212"/>
  <c r="J26" i="212"/>
  <c r="J19" i="212" s="1"/>
  <c r="K26" i="212"/>
  <c r="K19" i="212" s="1"/>
  <c r="A19" i="219" l="1"/>
  <c r="G38" i="219"/>
  <c r="K38" i="219"/>
  <c r="O38" i="219" s="1"/>
  <c r="G37" i="219"/>
  <c r="K37" i="219"/>
  <c r="O37" i="219" s="1"/>
  <c r="G40" i="219"/>
  <c r="K40" i="219"/>
  <c r="O40" i="219" s="1"/>
  <c r="K39" i="219"/>
  <c r="O39" i="219" s="1"/>
  <c r="G39" i="219"/>
  <c r="D30" i="219"/>
  <c r="O30" i="219"/>
  <c r="O28" i="219" s="1"/>
  <c r="K35" i="219"/>
  <c r="O35" i="219" s="1"/>
  <c r="G35" i="219"/>
  <c r="J27" i="212"/>
  <c r="E11" i="211" s="1"/>
  <c r="K27" i="212"/>
  <c r="E12" i="211" s="1"/>
  <c r="O32" i="219" l="1"/>
  <c r="O42" i="219" s="1"/>
  <c r="O44" i="219" s="1"/>
  <c r="O53" i="219" s="1"/>
  <c r="O54" i="219" s="1"/>
  <c r="E13" i="211"/>
  <c r="E14" i="211"/>
  <c r="A20" i="219"/>
  <c r="D28" i="219"/>
  <c r="G30" i="219"/>
  <c r="G28" i="219" s="1"/>
  <c r="N30" i="219"/>
  <c r="N28" i="219" s="1"/>
  <c r="N42" i="219" s="1"/>
  <c r="G32" i="219"/>
  <c r="I5" i="219"/>
  <c r="I32" i="219"/>
  <c r="I28" i="219"/>
  <c r="E19" i="211" l="1"/>
  <c r="E15" i="211"/>
  <c r="E16" i="211" s="1"/>
  <c r="A21" i="219"/>
  <c r="A22" i="219" s="1"/>
  <c r="L19" i="209"/>
  <c r="J19" i="209"/>
  <c r="I21" i="209" s="1"/>
  <c r="I22" i="209" s="1"/>
  <c r="J20" i="209" s="1"/>
  <c r="G43" i="219"/>
  <c r="P42" i="219"/>
  <c r="Q42" i="219" s="1"/>
  <c r="Q44" i="219" s="1"/>
  <c r="N44" i="219"/>
  <c r="G42" i="219"/>
  <c r="E18" i="211" l="1"/>
  <c r="E22" i="211"/>
  <c r="E20" i="211"/>
  <c r="E21" i="211"/>
  <c r="E23" i="211"/>
  <c r="G44" i="219"/>
  <c r="I44" i="219" s="1"/>
  <c r="P5" i="209"/>
  <c r="G42" i="209"/>
  <c r="E42" i="209"/>
  <c r="F45" i="209" s="1"/>
  <c r="E45" i="209" s="1"/>
  <c r="Q5" i="209"/>
  <c r="A23" i="219"/>
  <c r="A24" i="219" s="1"/>
  <c r="A25" i="219" s="1"/>
  <c r="A26" i="219" s="1"/>
  <c r="P44" i="219"/>
  <c r="N53" i="219"/>
  <c r="N54" i="219" s="1"/>
  <c r="E46" i="209" l="1"/>
  <c r="F44" i="209" s="1"/>
  <c r="E17" i="211"/>
  <c r="E24" i="211" s="1"/>
  <c r="E25" i="211" s="1"/>
  <c r="E26" i="211" s="1"/>
  <c r="E27" i="211" s="1"/>
  <c r="O8" i="209"/>
  <c r="P8" i="209" a="1"/>
  <c r="P7" i="209" s="1"/>
  <c r="P13" i="209"/>
  <c r="N62" i="219"/>
  <c r="N60" i="21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<sst xmlns="http://schemas.openxmlformats.org/spreadsheetml/2006/main" count="1634" uniqueCount="555">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</sst>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549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25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25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25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25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11" t="s">
        <v>554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550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551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 t="shared" ref="I11:N11" si="0">SUM(I12:I18)</f>
        <v>5208997.4635888003</v>
      </c>
      <c r="J11" s="382">
        <f t="shared" si="0"/>
        <v>124640248.5</v>
      </c>
      <c r="K11" s="382">
        <f t="shared" si="0"/>
        <v>49083054.229040004</v>
      </c>
      <c r="L11" s="66">
        <f t="shared" si="0"/>
        <v>0</v>
      </c>
      <c r="M11" s="66">
        <f t="shared" si="0"/>
        <v>0</v>
      </c>
      <c r="N11" s="66">
        <f t="shared" si="0"/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 t="shared" ref="I12:I18" si="1">D12*F12</f>
        <v>0</v>
      </c>
      <c r="J12" s="384">
        <f t="shared" ref="J12:J18" si="2">D12*G12</f>
        <v>63179325</v>
      </c>
      <c r="K12" s="384">
        <f t="shared" ref="K12:K18" si="3">D12*H12</f>
        <v>0</v>
      </c>
      <c r="L12" s="241">
        <f t="shared" ref="L12:L18" si="4">E12*F12</f>
        <v>0</v>
      </c>
      <c r="M12" s="241">
        <f t="shared" ref="M12:M18" si="5">E12*G12</f>
        <v>0</v>
      </c>
      <c r="N12" s="241">
        <f t="shared" ref="N12:N18" si="6">E12*H12</f>
        <v>0</v>
      </c>
      <c r="O12" s="241"/>
      <c r="P12" s="501">
        <f t="shared" ref="P12:P14" si="7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 t="shared" si="1"/>
        <v>3244405.5</v>
      </c>
      <c r="J13" s="385">
        <f t="shared" si="2"/>
        <v>32740092</v>
      </c>
      <c r="K13" s="385">
        <f t="shared" si="3"/>
        <v>33634160.773200005</v>
      </c>
      <c r="L13" s="241">
        <f t="shared" si="4"/>
        <v>0</v>
      </c>
      <c r="M13" s="241">
        <f t="shared" si="5"/>
        <v>0</v>
      </c>
      <c r="N13" s="241">
        <f t="shared" si="6"/>
        <v>0</v>
      </c>
      <c r="O13" s="241"/>
      <c r="P13" s="501" t="str">
        <f t="shared" si="7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 t="shared" si="1"/>
        <v>0</v>
      </c>
      <c r="J14" s="385">
        <f t="shared" si="2"/>
        <v>8290350</v>
      </c>
      <c r="K14" s="385">
        <f t="shared" si="3"/>
        <v>2852079.048</v>
      </c>
      <c r="L14" s="241">
        <f t="shared" si="4"/>
        <v>0</v>
      </c>
      <c r="M14" s="241">
        <f t="shared" si="5"/>
        <v>0</v>
      </c>
      <c r="N14" s="241">
        <f t="shared" si="6"/>
        <v>0</v>
      </c>
      <c r="O14" s="241"/>
      <c r="P14" s="501">
        <f t="shared" si="7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 t="shared" si="1"/>
        <v>1582034.9999999998</v>
      </c>
      <c r="J15" s="385">
        <f t="shared" si="2"/>
        <v>8619682.5</v>
      </c>
      <c r="K15" s="385">
        <f t="shared" si="3"/>
        <v>12425391.315999998</v>
      </c>
      <c r="L15" s="241">
        <f t="shared" si="4"/>
        <v>0</v>
      </c>
      <c r="M15" s="241">
        <f t="shared" si="5"/>
        <v>0</v>
      </c>
      <c r="N15" s="241">
        <f t="shared" si="6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 t="shared" si="1"/>
        <v>0</v>
      </c>
      <c r="J16" s="385">
        <f t="shared" si="2"/>
        <v>0</v>
      </c>
      <c r="K16" s="385">
        <f t="shared" si="3"/>
        <v>0</v>
      </c>
      <c r="L16" s="241">
        <f t="shared" si="4"/>
        <v>0</v>
      </c>
      <c r="M16" s="241">
        <f t="shared" si="5"/>
        <v>0</v>
      </c>
      <c r="N16" s="241">
        <f t="shared" si="6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 t="shared" si="1"/>
        <v>382556.96358879999</v>
      </c>
      <c r="J17" s="385">
        <f t="shared" si="2"/>
        <v>11810799</v>
      </c>
      <c r="K17" s="385">
        <f t="shared" si="3"/>
        <v>171423.09184000001</v>
      </c>
      <c r="L17" s="241">
        <f t="shared" si="4"/>
        <v>0</v>
      </c>
      <c r="M17" s="241">
        <f t="shared" si="5"/>
        <v>0</v>
      </c>
      <c r="N17" s="241">
        <f t="shared" si="6"/>
        <v>0</v>
      </c>
      <c r="O17" s="241"/>
      <c r="P17" s="501">
        <f t="shared" ref="P17:P18" si="8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 t="shared" si="1"/>
        <v>0</v>
      </c>
      <c r="J18" s="385">
        <f t="shared" si="2"/>
        <v>0</v>
      </c>
      <c r="K18" s="385">
        <f t="shared" si="3"/>
        <v>0</v>
      </c>
      <c r="L18" s="241">
        <f t="shared" si="4"/>
        <v>0</v>
      </c>
      <c r="M18" s="241">
        <f t="shared" si="5"/>
        <v>0</v>
      </c>
      <c r="N18" s="241">
        <f t="shared" si="6"/>
        <v>0</v>
      </c>
      <c r="O18" s="241"/>
      <c r="P18" s="501">
        <f t="shared" si="8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 t="shared" ref="I19:N19" si="9">SUM(I20:I26)</f>
        <v>7331588.1559999995</v>
      </c>
      <c r="J19" s="382">
        <f t="shared" si="9"/>
        <v>143774571.59999999</v>
      </c>
      <c r="K19" s="382">
        <f t="shared" si="9"/>
        <v>509776991.89318007</v>
      </c>
      <c r="L19" s="66">
        <f t="shared" si="9"/>
        <v>0</v>
      </c>
      <c r="M19" s="66">
        <f t="shared" si="9"/>
        <v>0</v>
      </c>
      <c r="N19" s="66">
        <f t="shared" si="9"/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 t="shared" ref="I20:I25" si="10">D20*F20</f>
        <v>3806374.88</v>
      </c>
      <c r="J20" s="385">
        <f t="shared" ref="J20:J25" si="11">D20*G20</f>
        <v>78409485</v>
      </c>
      <c r="K20" s="385">
        <f t="shared" ref="K20:K25" si="12">D20*H20</f>
        <v>263169948.06200004</v>
      </c>
      <c r="L20" s="241">
        <f t="shared" ref="L20:L25" si="13">E20*F20</f>
        <v>0</v>
      </c>
      <c r="M20" s="241">
        <f t="shared" ref="M20:M25" si="14">E20*G20</f>
        <v>0</v>
      </c>
      <c r="N20" s="241">
        <f t="shared" ref="N20:N25" si="15"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 t="shared" si="10"/>
        <v>2370689.7760000001</v>
      </c>
      <c r="J21" s="385">
        <f t="shared" si="11"/>
        <v>31952151</v>
      </c>
      <c r="K21" s="385">
        <f t="shared" si="12"/>
        <v>130232616.18780001</v>
      </c>
      <c r="L21" s="241">
        <f t="shared" si="13"/>
        <v>0</v>
      </c>
      <c r="M21" s="241">
        <f t="shared" si="14"/>
        <v>0</v>
      </c>
      <c r="N21" s="241">
        <f t="shared" si="15"/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 t="shared" si="10"/>
        <v>619483.5</v>
      </c>
      <c r="J22" s="385">
        <f t="shared" si="11"/>
        <v>3908520</v>
      </c>
      <c r="K22" s="385">
        <f t="shared" si="12"/>
        <v>4832182.8000000007</v>
      </c>
      <c r="L22" s="241">
        <f t="shared" si="13"/>
        <v>0</v>
      </c>
      <c r="M22" s="241">
        <f t="shared" si="14"/>
        <v>0</v>
      </c>
      <c r="N22" s="241">
        <f t="shared" si="15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 t="shared" si="10"/>
        <v>0</v>
      </c>
      <c r="J23" s="385">
        <f t="shared" si="11"/>
        <v>15142050</v>
      </c>
      <c r="K23" s="385">
        <f t="shared" si="12"/>
        <v>58738803.620000005</v>
      </c>
      <c r="L23" s="241">
        <f t="shared" si="13"/>
        <v>0</v>
      </c>
      <c r="M23" s="241">
        <f t="shared" si="14"/>
        <v>0</v>
      </c>
      <c r="N23" s="241">
        <f t="shared" si="15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 t="shared" si="10"/>
        <v>0</v>
      </c>
      <c r="J24" s="385">
        <f t="shared" si="11"/>
        <v>796950</v>
      </c>
      <c r="K24" s="385">
        <f t="shared" si="12"/>
        <v>5352092.9910000004</v>
      </c>
      <c r="L24" s="241">
        <f t="shared" si="13"/>
        <v>0</v>
      </c>
      <c r="M24" s="241">
        <f t="shared" si="14"/>
        <v>0</v>
      </c>
      <c r="N24" s="241">
        <f t="shared" si="15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 t="shared" si="10"/>
        <v>535040</v>
      </c>
      <c r="J25" s="385">
        <f t="shared" si="11"/>
        <v>495000</v>
      </c>
      <c r="K25" s="385">
        <f t="shared" si="12"/>
        <v>1107985.3330000001</v>
      </c>
      <c r="L25" s="241">
        <f t="shared" si="13"/>
        <v>0</v>
      </c>
      <c r="M25" s="241">
        <f t="shared" si="14"/>
        <v>0</v>
      </c>
      <c r="N25" s="241">
        <f t="shared" si="15"/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 t="s">
        <v>553</v>
      </c>
      <c r="G27" s="511" t="s">
        <v>553</v>
      </c>
      <c r="H27" s="511" t="s">
        <v>553</v>
      </c>
      <c r="I27" s="512">
        <f t="shared" ref="I27:N27" si="16">I11+I19</f>
        <v>12540585.6195888</v>
      </c>
      <c r="J27" s="512">
        <f t="shared" si="16"/>
        <v>268414820.09999999</v>
      </c>
      <c r="K27" s="512">
        <f t="shared" si="16"/>
        <v>558860046.12222004</v>
      </c>
      <c r="L27" s="512">
        <f t="shared" si="16"/>
        <v>0</v>
      </c>
      <c r="M27" s="512">
        <f t="shared" si="16"/>
        <v>0</v>
      </c>
      <c r="N27" s="512">
        <f t="shared" si="16"/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2026-08-03T14:43:34Z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1|68fe8bed27714d9f8458d09e19c41ff2|8|487EA0D9CAFC9106FB52DFAE8CA0E9E2E82CA2638101F85B7DE6EBD4E7024A50</vt:lpwstr>
  </property>
  <property fmtid="{D5CDD505-2E9C-101B-9397-08002B2CF9AE}" pid="12" name="TTBMVN.ProjectProfile.Part.68fe8bed27714d9f8458d09e19c41ff2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3" name="TTBMVN.ProjectProfile.Part.68fe8bed27714d9f8458d09e19c41ff2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4" name="TTBMVN.ProjectProfile.Part.68fe8bed27714d9f8458d09e19c41ff2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5" name="TTBMVN.ProjectProfile.Part.68fe8bed27714d9f8458d09e19c41ff2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6" name="TTBMVN.ProjectProfile.Part.68fe8bed27714d9f8458d09e19c41ff2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7" name="TTBMVN.ProjectProfile.Part.68fe8bed27714d9f8458d09e19c41ff2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" name="TTBMVN.ProjectProfile.Part.68fe8bed27714d9f8458d09e19c41ff2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9" name="TTBMVN.ProjectProfile.Part.68fe8bed27714d9f8458d09e19c41ff2.0007">
    <vt:lpwstr>dmVycmlkZS4gRFQtMTAzIHBlcnNpc3RlbmNlIHByb2ZpbGUgb25seTsgbm8gYnVzaW5lc3Mgb3ZlcnJpZGUuIERULTEwMyBwZXJzaXN0ZW5jZSBwcm9maWxlIG9ubHk7IG5vIGJ1c2luZXNzIG92ZXJyaWRlLg==</vt:lpwstr>
  </property>
  <property fmtid="{D5CDD505-2E9C-101B-9397-08002B2CF9AE}" pid="20" name="TTBMVN.PriceProfile.Part.9ceaa66d389d45abbe5f0bd9d6745584.0000">
    <vt:lpwstr>TTBMVN_PRICE_PROFILE
schema=1
profileId=VEVTVC1EVDEwMy1QUklDRS1CQVNFTElORQ==
dataVersion=MS4wLjA=
displayName=TmhhcCB0dSBEVC00MDYtd29ya2luZy1jb3B5Lnhsc20=
location=SGEgTm9p
valuationDate=2026-08-03
laborAudience=2
createdAtUtc=2026-08-03T11</vt:lpwstr>
  </property>
  <property fmtid="{D5CDD505-2E9C-101B-9397-08002B2CF9AE}" pid="21" name="TTBMVN.PriceProfile.Part.9ceaa66d389d45abbe5f0bd9d6745584.0001">
    <vt:lpwstr>:02:17.6297654Z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22" name="TTBMVN.PriceProfile.Part.9ceaa66d389d45abbe5f0bd9d6745584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23" name="TTBMVN.PriceProfile.Part.9ceaa66d389d45abbe5f0bd9d6745584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24" name="TTBMVN.PriceProfile.Part.9ceaa66d389d45abbe5f0bd9d6745584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25" name="TTBMVN.PriceProfile.Part.9ceaa66d389d45abbe5f0bd9d6745584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26" name="TTBMVN.PriceProfile.Part.9ceaa66d389d45abbe5f0bd9d6745584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27" name="TTBMVN.PriceProfile.Part.9ceaa66d389d45abbe5f0bd9d6745584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8" name="TTBMVN.PriceProfile.Part.9ceaa66d389d45abbe5f0bd9d6745584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9" name="TTBMVN.PriceProfile.Part.9ceaa66d389d45abbe5f0bd9d6745584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30" name="TTBMVN.PriceProfile.Part.9ceaa66d389d45abbe5f0bd9d6745584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31" name="TTBMVN.PriceProfile.Part.9ceaa66d389d45abbe5f0bd9d6745584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32" name="TTBMVN.PriceProfile.Part.9ceaa66d389d45abbe5f0bd9d6745584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33" name="TTBMVN.PriceProfile.Part.9ceaa66d389d45abbe5f0bd9d6745584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34" name="TTBMVN.PriceProfile.Part.9ceaa66d389d45abbe5f0bd9d6745584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35" name="TTBMVN.PriceProfile.Part.9ceaa66d389d45abbe5f0bd9d6745584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36" name="TTBMVN.PriceProfile.Part.9ceaa66d389d45abbe5f0bd9d6745584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37" name="TTBMVN.PriceProfile.Part.9ceaa66d389d45abbe5f0bd9d6745584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8" name="TTBMVN.PriceProfile.Part.9ceaa66d389d45abbe5f0bd9d6745584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9" name="TTBMVN.PriceProfile.Part.9ceaa66d389d45abbe5f0bd9d6745584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40" name="TTBMVN.PriceProfile.Part.9ceaa66d389d45abbe5f0bd9d6745584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41" name="TTBMVN.PriceProfile.Part.9ceaa66d389d45abbe5f0bd9d6745584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42" name="TTBMVN.PriceProfile.Part.9ceaa66d389d45abbe5f0bd9d6745584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43" name="TTBMVN.PriceProfile.Part.9ceaa66d389d45abbe5f0bd9d6745584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44" name="TTBMVN.PriceProfile.Part.9ceaa66d389d45abbe5f0bd9d6745584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45" name="TTBMVN.PriceProfile.Part.9ceaa66d389d45abbe5f0bd9d6745584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46" name="TTBMVN.PriceProfile.Part.9ceaa66d389d45abbe5f0bd9d6745584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47" name="TTBMVN.PriceProfile.Part.9ceaa66d389d45abbe5f0bd9d6745584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8" name="TTBMVN.PriceProfile.Part.9ceaa66d389d45abbe5f0bd9d6745584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9" name="TTBMVN.PriceProfile.Part.9ceaa66d389d45abbe5f0bd9d6745584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50" name="TTBMVN.PriceProfile.Part.9ceaa66d389d45abbe5f0bd9d6745584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51" name="TTBMVN.PriceProfile.Part.9ceaa66d389d45abbe5f0bd9d6745584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52" name="TTBMVN.PriceProfile.Part.9ceaa66d389d45abbe5f0bd9d6745584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53" name="TTBMVN.PriceProfile.Part.9ceaa66d389d45abbe5f0bd9d6745584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54" name="TTBMVN.PriceProfile.Part.9ceaa66d389d45abbe5f0bd9d6745584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55" name="TTBMVN.PriceProfile.Part.9ceaa66d389d45abbe5f0bd9d6745584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56" name="TTBMVN.PriceProfile.Part.9ceaa66d389d45abbe5f0bd9d6745584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57" name="TTBMVN.PriceProfile.Part.9ceaa66d389d45abbe5f0bd9d6745584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8" name="TTBMVN.PriceProfile.Part.9ceaa66d389d45abbe5f0bd9d6745584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9" name="TTBMVN.PriceProfile.Part.9ceaa66d389d45abbe5f0bd9d6745584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60" name="TTBMVN.PriceProfile.Part.9ceaa66d389d45abbe5f0bd9d6745584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61" name="TTBMVN.PriceProfile.Part.9ceaa66d389d45abbe5f0bd9d6745584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62" name="TTBMVN.PriceProfile.Part.9ceaa66d389d45abbe5f0bd9d6745584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63" name="TTBMVN.PriceProfile.Part.9ceaa66d389d45abbe5f0bd9d6745584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64" name="TTBMVN.PriceProfile.Part.9ceaa66d389d45abbe5f0bd9d6745584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65" name="TTBMVN.PriceProfile.Part.9ceaa66d389d45abbe5f0bd9d6745584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66" name="TTBMVN.PriceProfile.Part.9ceaa66d389d45abbe5f0bd9d6745584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67" name="TTBMVN.PriceProfile.Part.9ceaa66d389d45abbe5f0bd9d6745584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8" name="TTBMVN.PriceProfile.Part.9ceaa66d389d45abbe5f0bd9d6745584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9" name="TTBMVN.PriceProfile.Part.9ceaa66d389d45abbe5f0bd9d6745584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70" name="TTBMVN.PriceProfile.Part.9ceaa66d389d45abbe5f0bd9d6745584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71" name="TTBMVN.PriceProfile.Part.9ceaa66d389d45abbe5f0bd9d6745584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72" name="TTBMVN.PriceProfile.Part.9ceaa66d389d45abbe5f0bd9d6745584.0052">
    <vt:lpwstr>deCount=0
checksum=FDB9AA9E4E574D5E5217C7E7D08528E5F7B0AA0B08CCA8DF2DE8EF1715D15776</vt:lpwstr>
  </property>
  <property fmtid="{D5CDD505-2E9C-101B-9397-08002B2CF9AE}" pid="73" name="TTBMVN.PriceProfile.Manifest">
    <vt:lpwstr>1|9ceaa66d389d45abbe5f0bd9d6745584|53|AD453E457753652894B18F70EE1E4A1EF0626EC77ECB72F05EFDBA37481FCFF2</vt:lpwstr>
  </property>
  <property fmtid="{D5CDD505-2E9C-101B-9397-08002B2CF9AE}" pid="74" name="TTBMVN.ResultAudit.Part.13f8a8ff96c14b16b90ee3188f1ac6f7.0000">
    <vt:lpwstr>TTBMVN_RESULT_AUDIT
schema=1
entries=8
entry|VEhLUHxTaGVldDE2fEJMT0NL|Q29zdFN1bW1hcnk=|4|U2hlZXQxNg==|Q29zdFN1bW1hcnk=|10|4|27|5|VG9uZyBob3Aga2luaCBwaGk=|QlFQLVJQQk0tMjAyNQ==|Mi4wLjE=|E2537C08E7156414585BEFC446E74DD51E79AB8D67A3774B1F5250E7</vt:lpwstr>
  </property>
  <property fmtid="{D5CDD505-2E9C-101B-9397-08002B2CF9AE}" pid="75" name="TTBMVN.ResultAudit.Part.13f8a8ff96c14b16b90ee3188f1ac6f7.0001">
    <vt:lpwstr>EECCDA90|VEVTVC1EVDEwMy1QUklDRS1CQVNFTElORQ==|MS4wLjA=|FDB9AA9E4E574D5E5217C7E7D08528E5F7B0AA0B08CCA8DF2DE8EF1715D15776||
source|VEhLUHxTaGVldDE2fEJMT0NL|1|VkJITjk3LTIwMjUtQlFQ|44|44|UGjhu6UgbOG7pWMgSUksIFBo4bqnbiBJLCBt4bulYyBJSUkuMSwgZMOyb</vt:lpwstr>
  </property>
  <property fmtid="{D5CDD505-2E9C-101B-9397-08002B2CF9AE}" pid="76" name="TTBMVN.ResultAudit.Part.13f8a8ff96c14b16b90ee3188f1ac6f7.0002">
    <vt:lpwstr>mcgMg==|
source|VEhLUHxTaGVldDE2fEJMT0NL|1|VkJITjk3LTIwMjUtQlFQ|45|45|UGjhu6UgbOG7pWMgSUksIFBo4bqnbiBJLCBt4bulYyBJSUkuMiwgZMOybmcgMQ==|
source|VEhLUHxTaGVldDE2fEJMT0NL|1|VkJITjk3LTIwMjUtQlFQ|45|45|UGjhu6UgbOG7pWMgSUksIFBo4bqnbiBJLCBt4bulYyB</vt:lpwstr>
  </property>
  <property fmtid="{D5CDD505-2E9C-101B-9397-08002B2CF9AE}" pid="77" name="TTBMVN.ResultAudit.Part.13f8a8ff96c14b16b90ee3188f1ac6f7.0003">
    <vt:lpwstr>JSUkuMywgbeG7qWMgMQ==|
source|VEhLUHxTaGVldDE2fEJMT0NL|1|VkJITjk3LTIwMjUtQlFQ|45|45|UGjhu6UgbOG7pWMgSUksIFBo4bqnbiBJLCBt4bulYyBJSUkuNCwgZMOybmcgNA==|
source|VEhLUHxTaGVldDE2fEJMT0NL|1|VkJITjk3LTIwMjUtQlFQ|46|46|UGjhu6UgbOG7pWMgSUksIFBo4bqnb</vt:lpwstr>
  </property>
  <property fmtid="{D5CDD505-2E9C-101B-9397-08002B2CF9AE}" pid="78" name="TTBMVN.ResultAudit.Part.13f8a8ff96c14b16b90ee3188f1ac6f7.0004">
    <vt:lpwstr>iBJLCBt4bulYyBJSUkuNSwgbeG7qWMgMQ==|
source|VEhLUHxTaGVldDE2fEJMT0NL|4||0|0||U2hlZXQyNCFJMjc6SzI3
source|VEhLUHxTaGVldDE2fEJMT0NL|5||0|0||VFQzNi0yMDI2LUJYRC1QTDMtdGFibGUtMy43
source|VEhLUHxTaGVldDE2fEJMT0NL|5||0|0||VFQzOC0yMDI2LUJYRC1QTDgtd</vt:lpwstr>
  </property>
  <property fmtid="{D5CDD505-2E9C-101B-9397-08002B2CF9AE}" pid="79" name="TTBMVN.ResultAudit.Part.13f8a8ff96c14b16b90ee3188f1ac6f7.0005">
    <vt:lpwstr>GFibGUtMi4yNA==
entry|VEhLUHxTaGVldDE2fEsx|Q29zdFN1bW1hcnk=|3|U2hlZXQxNg==|Q29zdFN1bW1hcnk=|18|4|18|5|SzE=|QlFQLVJQQk0tMjAyNQ==|Mi4wLjE=|E2537C08E7156414585BEFC446E74DD51E79AB8D67A3774B1F5250E7EECCDA90|VEVTVC1EVDEwMy1QUklDRS1CQVNFTElORQ==|M</vt:lpwstr>
  </property>
  <property fmtid="{D5CDD505-2E9C-101B-9397-08002B2CF9AE}" pid="80" name="TTBMVN.ResultAudit.Part.13f8a8ff96c14b16b90ee3188f1ac6f7.0006">
    <vt:lpwstr>S4wLjA=|FDB9AA9E4E574D5E5217C7E7D08528E5F7B0AA0B08CCA8DF2DE8EF1715D15776||
source|VEhLUHxTaGVldDE2fEsx|1|VkJITjk3LTIwMjUtQlFQ|44|44|UGjhu6UgbOG7pWMgSUksIFBo4bqnbiBJLCBt4bulYyBJSUkuMSwgZMOybmcgMg==|
entry|VEhLUHxTaGVldDE2fEsy|Q29zdFN1bW1hcnk</vt:lpwstr>
  </property>
  <property fmtid="{D5CDD505-2E9C-101B-9397-08002B2CF9AE}" pid="81" name="TTBMVN.ResultAudit.Part.13f8a8ff96c14b16b90ee3188f1ac6f7.0007">
    <vt:lpwstr>=|3|U2hlZXQxNg==|Q29zdFN1bW1hcnk=|19|4|19|5|SzI=|QlFQLVJQQk0tMjAyNQ==|Mi4wLjE=|E2537C08E7156414585BEFC446E74DD51E79AB8D67A3774B1F5250E7EECCDA90|VEVTVC1EVDEwMy1QUklDRS1CQVNFTElORQ==|MS4wLjA=|FDB9AA9E4E574D5E5217C7E7D08528E5F7B0AA0B08CCA8DF2D</vt:lpwstr>
  </property>
  <property fmtid="{D5CDD505-2E9C-101B-9397-08002B2CF9AE}" pid="82" name="TTBMVN.ResultAudit.Part.13f8a8ff96c14b16b90ee3188f1ac6f7.0008">
    <vt:lpwstr>E8EF1715D15776||
source|VEhLUHxTaGVldDE2fEsy|1|VkJITjk3LTIwMjUtQlFQ|45|45|UGjhu6UgbOG7pWMgSUksIFBo4bqnbiBJLCBt4bulYyBJSUkuMiwgZMOybmcgMQ==|
source|VEhLUHxTaGVldDE2fEsy|5||0|0||VFQzNi0yMDI2LUJYRC1QTDMtdGFibGUtMy43
entry|VEhLUHxTaGVldDE2fEsz|</vt:lpwstr>
  </property>
  <property fmtid="{D5CDD505-2E9C-101B-9397-08002B2CF9AE}" pid="83" name="TTBMVN.ResultAudit.Part.13f8a8ff96c14b16b90ee3188f1ac6f7.0009">
    <vt:lpwstr>Q29zdFN1bW1hcnk=|3|U2hlZXQxNg==|Q29zdFN1bW1hcnk=|20|4|20|5|SzM=|QlFQLVJQQk0tMjAyNQ==|Mi4wLjE=|E2537C08E7156414585BEFC446E74DD51E79AB8D67A3774B1F5250E7EECCDA90|VEVTVC1EVDEwMy1QUklDRS1CQVNFTElORQ==|MS4wLjA=|FDB9AA9E4E574D5E5217C7E7D08528E5F7B</vt:lpwstr>
  </property>
  <property fmtid="{D5CDD505-2E9C-101B-9397-08002B2CF9AE}" pid="84" name="TTBMVN.ResultAudit.Part.13f8a8ff96c14b16b90ee3188f1ac6f7.0010">
    <vt:lpwstr>0AA0B08CCA8DF2DE8EF1715D15776||
source|VEhLUHxTaGVldDE2fEsz|1|VkJITjk3LTIwMjUtQlFQ|45|45|UGjhu6UgbOG7pWMgSUksIFBo4bqnbiBJLCBt4bulYyBJSUkuMywgbeG7qWMgMQ==|
entry|VEhLUHxTaGVldDE2fEs0|Q29zdFN1bW1hcnk=|3|U2hlZXQxNg==|Q29zdFN1bW1hcnk=|21|4|21|5</vt:lpwstr>
  </property>
  <property fmtid="{D5CDD505-2E9C-101B-9397-08002B2CF9AE}" pid="85" name="TTBMVN.ResultAudit.Part.13f8a8ff96c14b16b90ee3188f1ac6f7.0011">
    <vt:lpwstr>|SzQ=|QlFQLVJQQk0tMjAyNQ==|Mi4wLjE=|E2537C08E7156414585BEFC446E74DD51E79AB8D67A3774B1F5250E7EECCDA90|VEVTVC1EVDEwMy1QUklDRS1CQVNFTElORQ==|MS4wLjA=|FDB9AA9E4E574D5E5217C7E7D08528E5F7B0AA0B08CCA8DF2DE8EF1715D15776||
source|VEhLUHxTaGVldDE2fEs</vt:lpwstr>
  </property>
  <property fmtid="{D5CDD505-2E9C-101B-9397-08002B2CF9AE}" pid="86" name="TTBMVN.ResultAudit.Part.13f8a8ff96c14b16b90ee3188f1ac6f7.0012">
    <vt:lpwstr>0|1|VkJITjk3LTIwMjUtQlFQ|44|44|UGjhu6UgbOG7pWMgSUksIFBo4bqnbiBJLCBt4bulYyBJSUkuMSwgZMOybmcgMg==|
entry|VEhLUHxTaGVldDE2fEs1|Q29zdFN1bW1hcnk=|3|U2hlZXQxNg==|Q29zdFN1bW1hcnk=|22|4|22|5|SzU=|QlFQLVJQQk0tMjAyNQ==|Mi4wLjE=|E2537C08E7156414585BEF</vt:lpwstr>
  </property>
  <property fmtid="{D5CDD505-2E9C-101B-9397-08002B2CF9AE}" pid="87" name="TTBMVN.ResultAudit.Part.13f8a8ff96c14b16b90ee3188f1ac6f7.0013">
    <vt:lpwstr>C446E74DD51E79AB8D67A3774B1F5250E7EECCDA90|VEVTVC1EVDEwMy1QUklDRS1CQVNFTElORQ==|MS4wLjA=|FDB9AA9E4E574D5E5217C7E7D08528E5F7B0AA0B08CCA8DF2DE8EF1715D15776||
source|VEhLUHxTaGVldDE2fEs1|1|VkJITjk3LTIwMjUtQlFQ|45|45|UGjhu6UgbOG7pWMgSUksIFBo4bq</vt:lpwstr>
  </property>
  <property fmtid="{D5CDD505-2E9C-101B-9397-08002B2CF9AE}" pid="88" name="TTBMVN.ResultAudit.Part.13f8a8ff96c14b16b90ee3188f1ac6f7.0014">
    <vt:lpwstr>nbiBJLCBt4bulYyBJSUkuNCwgZMOybmcgNA==|
source|VEhLUHxTaGVldDE2fEs1|5||0|0||VFQzOC0yMDI2LUJYRC1QTDgtdGFibGUtMi4yNA==
entry|VEhLUHxTaGVldDE2fEs2|Q29zdFN1bW1hcnk=|3|U2hlZXQxNg==|Q29zdFN1bW1hcnk=|23|4|23|5|SzY=|QlFQLVJQQk0tMjAyNQ==|Mi4wLjE=|E25</vt:lpwstr>
  </property>
  <property fmtid="{D5CDD505-2E9C-101B-9397-08002B2CF9AE}" pid="89" name="TTBMVN.ResultAudit.Part.13f8a8ff96c14b16b90ee3188f1ac6f7.0015">
    <vt:lpwstr>37C08E7156414585BEFC446E74DD51E79AB8D67A3774B1F5250E7EECCDA90|VEVTVC1EVDEwMy1QUklDRS1CQVNFTElORQ==|MS4wLjA=|FDB9AA9E4E574D5E5217C7E7D08528E5F7B0AA0B08CCA8DF2DE8EF1715D15776||
source|VEhLUHxTaGVldDE2fEs2|1|VkJITjk3LTIwMjUtQlFQ|46|46|UGjhu6Ug</vt:lpwstr>
  </property>
  <property fmtid="{D5CDD505-2E9C-101B-9397-08002B2CF9AE}" pid="90" name="TTBMVN.ResultAudit.Part.13f8a8ff96c14b16b90ee3188f1ac6f7.0016">
    <vt:lpwstr>bOG7pWMgSUksIFBo4bqnbiBJLCBt4bulYyBJSUkuNSwgbeG7qWMgMQ==|
entry|VEhLUHxTaGVldDE2fFdPUkRT|Q29zdFN1bW1hcnk=|4|U2hlZXQxNg==|Q29zdFN1bW1hcnk=|28|1|28|1|VG9uZyBraW5oIHBoaSBiYW5nIGNodQ==|QlFQLVJQQk0tMjAyNQ==|Mi4wLjE=|E2537C08E7156414585BEFC446E74</vt:lpwstr>
  </property>
  <property fmtid="{D5CDD505-2E9C-101B-9397-08002B2CF9AE}" pid="91" name="TTBMVN.ResultAudit.Part.13f8a8ff96c14b16b90ee3188f1ac6f7.0017">
    <vt:lpwstr>DD51E79AB8D67A3774B1F5250E7EECCDA90|VEVTVC1EVDEwMy1QUklDRS1CQVNFTElORQ==|MS4wLjA=|FDB9AA9E4E574D5E5217C7E7D08528E5F7B0AA0B08CCA8DF2DE8EF1715D15776||
source|VEhLUHxTaGVldDE2fFdPUkRT|1|VkJITjk3LTIwMjUtQlFQ|44|44|UGjhu6UgbOG7pWMgSUksIFBo4bqnbi</vt:lpwstr>
  </property>
  <property fmtid="{D5CDD505-2E9C-101B-9397-08002B2CF9AE}" pid="92" name="TTBMVN.ResultAudit.Part.13f8a8ff96c14b16b90ee3188f1ac6f7.0018">
    <vt:lpwstr>BJLCBt4bulYyBJSUkuMSwgZMOybmcgMg==|
source|VEhLUHxTaGVldDE2fFdPUkRT|1|VkJITjk3LTIwMjUtQlFQ|45|45|UGjhu6UgbOG7pWMgSUksIFBo4bqnbiBJLCBt4bulYyBJSUkuMiwgZMOybmcgMQ==|
source|VEhLUHxTaGVldDE2fFdPUkRT|1|VkJITjk3LTIwMjUtQlFQ|45|45|UGjhu6UgbOG7pWMg</vt:lpwstr>
  </property>
  <property fmtid="{D5CDD505-2E9C-101B-9397-08002B2CF9AE}" pid="93" name="TTBMVN.ResultAudit.Part.13f8a8ff96c14b16b90ee3188f1ac6f7.0019">
    <vt:lpwstr>SUksIFBo4bqnbiBJLCBt4bulYyBJSUkuMywgbeG7qWMgMQ==|
source|VEhLUHxTaGVldDE2fFdPUkRT|1|VkJITjk3LTIwMjUtQlFQ|45|45|UGjhu6UgbOG7pWMgSUksIFBo4bqnbiBJLCBt4bulYyBJSUkuNCwgZMOybmcgNA==|
source|VEhLUHxTaGVldDE2fFdPUkRT|1|VkJITjk3LTIwMjUtQlFQ|46|46|UG</vt:lpwstr>
  </property>
  <property fmtid="{D5CDD505-2E9C-101B-9397-08002B2CF9AE}" pid="94" name="TTBMVN.ResultAudit.Part.13f8a8ff96c14b16b90ee3188f1ac6f7.0020">
    <vt:lpwstr>jhu6UgbOG7pWMgSUksIFBo4bqnbiBJLCBt4bulYyBJSUkuNSwgbeG7qWMgMQ==|
source|VEhLUHxTaGVldDE2fFdPUkRT|4||0|0||U2hlZXQyNCFJMjc6SzI3
source|VEhLUHxTaGVldDE2fFdPUkRT|5||0|0||VFQzNi0yMDI2LUJYRC1QTDMtdGFibGUtMy43
source|VEhLUHxTaGVldDE2fFdPUkRT|5||0|0</vt:lpwstr>
  </property>
  <property fmtid="{D5CDD505-2E9C-101B-9397-08002B2CF9AE}" pid="95" name="TTBMVN.ResultAudit.Part.13f8a8ff96c14b16b90ee3188f1ac6f7.0021">
    <vt:lpwstr>||VFQzOC0yMDI2LUJYRC1QTDgtdGFibGUtMi4yNA==</vt:lpwstr>
  </property>
  <property fmtid="{D5CDD505-2E9C-101B-9397-08002B2CF9AE}" pid="96" name="TTBMVN.ResultAudit.Manifest">
    <vt:lpwstr>1|13f8a8ff96c14b16b90ee3188f1ac6f7|22|137544D399E223E86C3B36D6918F08FBE16A09730C8EF4A2327C3583FC3C1B66</vt:lpwstr>
  </property>
</Properties>
</file>