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3F237849-3E2A-447B-91A2-4DB9BACBDD21}" xr6:coauthVersionLast="47" xr6:coauthVersionMax="47" xr10:uidLastSave="{00000000-0000-0000-0000-000000000000}"/>
  <bookViews>
    <workbookView xWindow="1152" yWindow="1152" windowWidth="17280" windowHeight="8880" tabRatio="771" activeTab="5" xr2:uid="{00000000-000D-0000-FFFF-FFFF00000000}"/>
  </bookViews>
  <sheets>
    <sheet name="S01_DT105" sheetId="232" r:id="rId1"/>
    <sheet name="S02_DT105" sheetId="230" r:id="rId2"/>
    <sheet name="S03_DT105" sheetId="229" state="hidden" r:id="rId3"/>
    <sheet name="S04_DT105" sheetId="208" state="hidden" r:id="rId4"/>
    <sheet name="S05_DT105" sheetId="210" state="hidden" r:id="rId5"/>
    <sheet name="S06_DT105" sheetId="211" r:id="rId6"/>
    <sheet name="S07_DT105" sheetId="223" state="hidden" r:id="rId7"/>
    <sheet name="S08_DT105" sheetId="212" r:id="rId8"/>
    <sheet name="S09_DT105" sheetId="213" r:id="rId9"/>
    <sheet name="S10_DT105" sheetId="214" r:id="rId10"/>
    <sheet name="S11_DT105" sheetId="216" r:id="rId11"/>
    <sheet name="S12_DT105" sheetId="209" state="hidden" r:id="rId12"/>
    <sheet name="S13_DT105" sheetId="217" r:id="rId13"/>
    <sheet name="S14_DT105" sheetId="215" state="hidden" r:id="rId14"/>
    <sheet name="S15_DT105" sheetId="218" r:id="rId15"/>
    <sheet name="S16_DT105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0">{"'Sheet1'!$L$16"}</definedName>
    <definedName name="______Coc39" localSheetId="1">{"'Sheet1'!$L$16"}</definedName>
    <definedName name="______Coc39" localSheetId="9" hidden="1">{"'Sheet1'!$L$16"}</definedName>
    <definedName name="______Coc39">{"'Sheet1'!$L$16"}</definedName>
    <definedName name="______Goi8" localSheetId="0">{"'Sheet1'!$L$16"}</definedName>
    <definedName name="______Goi8" localSheetId="1">{"'Sheet1'!$L$16"}</definedName>
    <definedName name="______Goi8" localSheetId="9" hidden="1">{"'Sheet1'!$L$16"}</definedName>
    <definedName name="______Goi8">{"'Sheet1'!$L$16"}</definedName>
    <definedName name="______K146" localSheetId="0">{"'Sheet1'!$L$16"}</definedName>
    <definedName name="______K146" localSheetId="1">{"'Sheet1'!$L$16"}</definedName>
    <definedName name="______K146" localSheetId="9" hidden="1">{"'Sheet1'!$L$16"}</definedName>
    <definedName name="______K146">{"'Sheet1'!$L$16"}</definedName>
    <definedName name="______Lan1" localSheetId="0">{"'Sheet1'!$L$16"}</definedName>
    <definedName name="______Lan1" localSheetId="1">{"'Sheet1'!$L$16"}</definedName>
    <definedName name="______Lan1" localSheetId="9" hidden="1">{"'Sheet1'!$L$16"}</definedName>
    <definedName name="______Lan1">{"'Sheet1'!$L$16"}</definedName>
    <definedName name="______LAN3" localSheetId="0">{"'Sheet1'!$L$16"}</definedName>
    <definedName name="______LAN3" localSheetId="1">{"'Sheet1'!$L$16"}</definedName>
    <definedName name="______LAN3" localSheetId="9" hidden="1">{"'Sheet1'!$L$16"}</definedName>
    <definedName name="______LAN3">{"'Sheet1'!$L$16"}</definedName>
    <definedName name="______lk2" localSheetId="0">{"'Sheet1'!$L$16"}</definedName>
    <definedName name="______lk2" localSheetId="1">{"'Sheet1'!$L$16"}</definedName>
    <definedName name="______lk2" localSheetId="9" hidden="1">{"'Sheet1'!$L$16"}</definedName>
    <definedName name="______lk2">{"'Sheet1'!$L$16"}</definedName>
    <definedName name="______NK5" localSheetId="0">{"'Sheet1'!$L$16"}</definedName>
    <definedName name="______NK5" localSheetId="1">{"'Sheet1'!$L$16"}</definedName>
    <definedName name="______NK5" localSheetId="9" hidden="1">{"'Sheet1'!$L$16"}</definedName>
    <definedName name="______NK5">{"'Sheet1'!$L$16"}</definedName>
    <definedName name="______tb2" localSheetId="0">{"'Sheet1'!$L$16"}</definedName>
    <definedName name="______tb2" localSheetId="1">{"'Sheet1'!$L$16"}</definedName>
    <definedName name="______tb2" localSheetId="9" hidden="1">{"'Sheet1'!$L$16"}</definedName>
    <definedName name="______tb2">{"'Sheet1'!$L$16"}</definedName>
    <definedName name="______td1" localSheetId="0">{"'Sheet1'!$L$16"}</definedName>
    <definedName name="______td1" localSheetId="1">{"'Sheet1'!$L$16"}</definedName>
    <definedName name="______td1" localSheetId="9" hidden="1">{"'Sheet1'!$L$16"}</definedName>
    <definedName name="______td1">{"'Sheet1'!$L$16"}</definedName>
    <definedName name="______tt3" localSheetId="0">{"'Sheet1'!$L$16"}</definedName>
    <definedName name="______tt3" localSheetId="1">{"'Sheet1'!$L$16"}</definedName>
    <definedName name="______tt3" localSheetId="9" hidden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0">{"'Sheet1'!$L$16"}</definedName>
    <definedName name="___Coc39" localSheetId="1">{"'Sheet1'!$L$16"}</definedName>
    <definedName name="___Coc39" localSheetId="9" hidden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0">{"'Sheet1'!$L$16"}</definedName>
    <definedName name="___Goi8" localSheetId="1">{"'Sheet1'!$L$16"}</definedName>
    <definedName name="___Goi8" localSheetId="9" hidden="1">{"'Sheet1'!$L$16"}</definedName>
    <definedName name="___Goi8">{"'Sheet1'!$L$16"}</definedName>
    <definedName name="___gon4">#REF!</definedName>
    <definedName name="___hom2">#REF!</definedName>
    <definedName name="___K146" localSheetId="0">{"'Sheet1'!$L$16"}</definedName>
    <definedName name="___K146" localSheetId="1">{"'Sheet1'!$L$16"}</definedName>
    <definedName name="___K146" localSheetId="9" hidden="1">{"'Sheet1'!$L$16"}</definedName>
    <definedName name="___K146">{"'Sheet1'!$L$16"}</definedName>
    <definedName name="___kl1">#REF!</definedName>
    <definedName name="___Lan1" localSheetId="0">{"'Sheet1'!$L$16"}</definedName>
    <definedName name="___Lan1" localSheetId="1">{"'Sheet1'!$L$16"}</definedName>
    <definedName name="___Lan1" localSheetId="9" hidden="1">{"'Sheet1'!$L$16"}</definedName>
    <definedName name="___Lan1">{"'Sheet1'!$L$16"}</definedName>
    <definedName name="___LAN3" localSheetId="0">{"'Sheet1'!$L$16"}</definedName>
    <definedName name="___LAN3" localSheetId="1">{"'Sheet1'!$L$16"}</definedName>
    <definedName name="___LAN3" localSheetId="9" hidden="1">{"'Sheet1'!$L$16"}</definedName>
    <definedName name="___LAN3">{"'Sheet1'!$L$16"}</definedName>
    <definedName name="___lap1">#REF!</definedName>
    <definedName name="___lap2">#REF!</definedName>
    <definedName name="___lk2" localSheetId="0">{"'Sheet1'!$L$16"}</definedName>
    <definedName name="___lk2" localSheetId="1">{"'Sheet1'!$L$16"}</definedName>
    <definedName name="___lk2" localSheetId="9" hidden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0">{"'Sheet1'!$L$16"}</definedName>
    <definedName name="___NK5" localSheetId="1">{"'Sheet1'!$L$16"}</definedName>
    <definedName name="___NK5" localSheetId="9" hidden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0">{"'Sheet1'!$L$16"}</definedName>
    <definedName name="___tb2" localSheetId="1">{"'Sheet1'!$L$16"}</definedName>
    <definedName name="___tb2" localSheetId="9" hidden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0">{"'Sheet1'!$L$16"}</definedName>
    <definedName name="___td1" localSheetId="1">{"'Sheet1'!$L$16"}</definedName>
    <definedName name="___td1" localSheetId="9" hidden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0">{"'Sheet1'!$L$16"}</definedName>
    <definedName name="___tt3" localSheetId="1">{"'Sheet1'!$L$16"}</definedName>
    <definedName name="___tt3" localSheetId="9" hidden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0" hidden="1">{"'Sheet1'!$L$16"}</definedName>
    <definedName name="__Coc39" localSheetId="1">{"'Sheet1'!$L$16"}</definedName>
    <definedName name="__Coc39" localSheetId="9" hidden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0" hidden="1">{"'Sheet1'!$L$16"}</definedName>
    <definedName name="__Goi8" localSheetId="1">{"'Sheet1'!$L$16"}</definedName>
    <definedName name="__Goi8" localSheetId="9" hidden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0" hidden="1">{"'Sheet1'!$L$16"}</definedName>
    <definedName name="__K146" localSheetId="1">{"'Sheet1'!$L$16"}</definedName>
    <definedName name="__K146" localSheetId="9" hidden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0" hidden="1">{"'Sheet1'!$L$16"}</definedName>
    <definedName name="__Lan1" localSheetId="1">{"'Sheet1'!$L$16"}</definedName>
    <definedName name="__Lan1" localSheetId="9" hidden="1">{"'Sheet1'!$L$16"}</definedName>
    <definedName name="__Lan1" localSheetId="14" hidden="1">{"'Sheet1'!$L$16"}</definedName>
    <definedName name="__Lan1">{"'Sheet1'!$L$16"}</definedName>
    <definedName name="__LAN3" localSheetId="0" hidden="1">{"'Sheet1'!$L$16"}</definedName>
    <definedName name="__LAN3" localSheetId="1">{"'Sheet1'!$L$16"}</definedName>
    <definedName name="__LAN3" localSheetId="9" hidden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0" hidden="1">{"'Sheet1'!$L$16"}</definedName>
    <definedName name="__lk2" localSheetId="1">{"'Sheet1'!$L$16"}</definedName>
    <definedName name="__lk2" localSheetId="9" hidden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0" hidden="1">{"'Sheet1'!$L$16"}</definedName>
    <definedName name="__NK5" localSheetId="1">{"'Sheet1'!$L$16"}</definedName>
    <definedName name="__NK5" localSheetId="9" hidden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0" hidden="1">{"'Sheet1'!$L$16"}</definedName>
    <definedName name="__tb2" localSheetId="1">{"'Sheet1'!$L$16"}</definedName>
    <definedName name="__tb2" localSheetId="9" hidden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0" hidden="1">{"'Sheet1'!$L$16"}</definedName>
    <definedName name="__td1" localSheetId="1">{"'Sheet1'!$L$16"}</definedName>
    <definedName name="__td1" localSheetId="9" hidden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0" hidden="1">{"'Sheet1'!$L$16"}</definedName>
    <definedName name="__tt3" localSheetId="1">{"'Sheet1'!$L$16"}</definedName>
    <definedName name="__tt3" localSheetId="9" hidden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0" hidden="1">{"'Sheet1'!$L$16"}</definedName>
    <definedName name="_Coc39" localSheetId="1">{"'Sheet1'!$L$16"}</definedName>
    <definedName name="_Coc39" localSheetId="9" hidden="1">{"'Sheet1'!$L$16"}</definedName>
    <definedName name="_Coc39" localSheetId="14" hidden="1">{"'Sheet1'!$L$16"}</definedName>
    <definedName name="_Coc39" localSheetId="15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0" hidden="1">{"'Sheet1'!$L$16"}</definedName>
    <definedName name="_Cty501" localSheetId="1">{"'Sheet1'!$L$16"}</definedName>
    <definedName name="_Cty501" localSheetId="9" hidden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1" hidden="1">#REF!</definedName>
    <definedName name="_Fill" localSheetId="3" hidden="1">#REF!</definedName>
    <definedName name="_Fill" localSheetId="8" hidden="1">#REF!</definedName>
    <definedName name="_Fill" localSheetId="9" hidden="1">#REF!</definedName>
    <definedName name="_Fill" localSheetId="15" hidden="1">#REF!</definedName>
    <definedName name="_Fill">#REF!</definedName>
    <definedName name="_xlnm._FilterDatabase" localSheetId="0" hidden="1">S01_DT105!$R$9:$R$47</definedName>
    <definedName name="_xlnm._FilterDatabase" localSheetId="3" hidden="1">S04_DT105!$T$15:$T$41</definedName>
    <definedName name="_xlnm._FilterDatabase" localSheetId="8" hidden="1">S09_DT105!$A$7:$H$152</definedName>
    <definedName name="_xlnm._FilterDatabase" localSheetId="9" hidden="1">S10_DT105!$A$18:$H$409</definedName>
    <definedName name="_Goi8" localSheetId="0" hidden="1">{"'Sheet1'!$L$16"}</definedName>
    <definedName name="_Goi8" localSheetId="1">{"'Sheet1'!$L$16"}</definedName>
    <definedName name="_Goi8" localSheetId="9" hidden="1">{"'Sheet1'!$L$16"}</definedName>
    <definedName name="_Goi8" localSheetId="14" hidden="1">{"'Sheet1'!$L$16"}</definedName>
    <definedName name="_Goi8" localSheetId="15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0" hidden="1">{"'Sheet1'!$L$16"}</definedName>
    <definedName name="_K146" localSheetId="1">{"'Sheet1'!$L$16"}</definedName>
    <definedName name="_K146" localSheetId="9" hidden="1">{"'Sheet1'!$L$16"}</definedName>
    <definedName name="_K146" localSheetId="14" hidden="1">{"'Sheet1'!$L$16"}</definedName>
    <definedName name="_K146" localSheetId="15" hidden="1">{"'Sheet1'!$L$16"}</definedName>
    <definedName name="_K146">{"'Sheet1'!$L$16"}</definedName>
    <definedName name="_Kcdon">#REF!</definedName>
    <definedName name="_Key1" localSheetId="1" hidden="1">#REF!</definedName>
    <definedName name="_Key1" localSheetId="3" hidden="1">#REF!</definedName>
    <definedName name="_Key1" localSheetId="8" hidden="1">#REF!</definedName>
    <definedName name="_Key1" localSheetId="9" hidden="1">#REF!</definedName>
    <definedName name="_Key1" localSheetId="14" hidden="1">#REF!</definedName>
    <definedName name="_Key1" localSheetId="15" hidden="1">#REF!</definedName>
    <definedName name="_Key1">#REF!</definedName>
    <definedName name="_Key2" localSheetId="1" hidden="1">#REF!</definedName>
    <definedName name="_Key2" localSheetId="3" hidden="1">#REF!</definedName>
    <definedName name="_Key2" localSheetId="8" hidden="1">#REF!</definedName>
    <definedName name="_Key2" localSheetId="9" hidden="1">#REF!</definedName>
    <definedName name="_Key2" localSheetId="15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0" hidden="1">{"'Sheet1'!$L$16"}</definedName>
    <definedName name="_Lan1" localSheetId="1">{"'Sheet1'!$L$16"}</definedName>
    <definedName name="_Lan1" localSheetId="9" hidden="1">{"'Sheet1'!$L$16"}</definedName>
    <definedName name="_Lan1" localSheetId="14" hidden="1">{"'Sheet1'!$L$16"}</definedName>
    <definedName name="_Lan1" localSheetId="15" hidden="1">{"'Sheet1'!$L$16"}</definedName>
    <definedName name="_Lan1">{"'Sheet1'!$L$16"}</definedName>
    <definedName name="_LAN3" localSheetId="0" hidden="1">{"'Sheet1'!$L$16"}</definedName>
    <definedName name="_LAN3" localSheetId="1">{"'Sheet1'!$L$16"}</definedName>
    <definedName name="_LAN3" localSheetId="9" hidden="1">{"'Sheet1'!$L$16"}</definedName>
    <definedName name="_LAN3" localSheetId="14" hidden="1">{"'Sheet1'!$L$16"}</definedName>
    <definedName name="_LAN3" localSheetId="15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0" hidden="1">{"'Sheet1'!$L$16"}</definedName>
    <definedName name="_lk2" localSheetId="1">{"'Sheet1'!$L$16"}</definedName>
    <definedName name="_lk2" localSheetId="9" hidden="1">{"'Sheet1'!$L$16"}</definedName>
    <definedName name="_lk2" localSheetId="14" hidden="1">{"'Sheet1'!$L$16"}</definedName>
    <definedName name="_lk2" localSheetId="15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0" hidden="1">{"'Sheet1'!$L$16"}</definedName>
    <definedName name="_NK5" localSheetId="1">{"'Sheet1'!$L$16"}</definedName>
    <definedName name="_NK5" localSheetId="9" hidden="1">{"'Sheet1'!$L$16"}</definedName>
    <definedName name="_NK5" localSheetId="14" hidden="1">{"'Sheet1'!$L$16"}</definedName>
    <definedName name="_NK5" localSheetId="15" hidden="1">{"'Sheet1'!$L$16"}</definedName>
    <definedName name="_NK5">{"'Sheet1'!$L$16"}</definedName>
    <definedName name="_NPV11">#REF!</definedName>
    <definedName name="_npv22">#REF!</definedName>
    <definedName name="_NSO2" localSheetId="0" hidden="1">{"'Sheet1'!$L$16"}</definedName>
    <definedName name="_NSO2" localSheetId="1">{"'Sheet1'!$L$16"}</definedName>
    <definedName name="_NSO2" localSheetId="9" hidden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1" hidden="1">#REF!</definedName>
    <definedName name="_Sort" localSheetId="3" hidden="1">#REF!</definedName>
    <definedName name="_Sort" localSheetId="8" hidden="1">#REF!</definedName>
    <definedName name="_Sort" localSheetId="9" hidden="1">#REF!</definedName>
    <definedName name="_Sort" localSheetId="15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0" hidden="1">{"'Sheet1'!$L$16"}</definedName>
    <definedName name="_tb2" localSheetId="1">{"'Sheet1'!$L$16"}</definedName>
    <definedName name="_tb2" localSheetId="9" hidden="1">{"'Sheet1'!$L$16"}</definedName>
    <definedName name="_tb2" localSheetId="14" hidden="1">{"'Sheet1'!$L$16"}</definedName>
    <definedName name="_tb2" localSheetId="15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0" hidden="1">{"'Sheet1'!$L$16"}</definedName>
    <definedName name="_td1" localSheetId="1">{"'Sheet1'!$L$16"}</definedName>
    <definedName name="_td1" localSheetId="9" hidden="1">{"'Sheet1'!$L$16"}</definedName>
    <definedName name="_td1" localSheetId="14" hidden="1">{"'Sheet1'!$L$16"}</definedName>
    <definedName name="_td1" localSheetId="15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0" hidden="1">{"'Sheet1'!$L$16"}</definedName>
    <definedName name="_tt3" localSheetId="1">{"'Sheet1'!$L$16"}</definedName>
    <definedName name="_tt3" localSheetId="9" hidden="1">{"'Sheet1'!$L$16"}</definedName>
    <definedName name="_tt3" localSheetId="14" hidden="1">{"'Sheet1'!$L$16"}</definedName>
    <definedName name="_tt3" localSheetId="15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0" hidden="1">{"'Sheet1'!$L$16"}</definedName>
    <definedName name="â" localSheetId="1" hidden="1">{"'Sheet1'!$L$16"}</definedName>
    <definedName name="â" localSheetId="3" hidden="1">{"'Sheet1'!$L$16"}</definedName>
    <definedName name="â" localSheetId="9" hidden="1">{"'Sheet1'!$L$16"}</definedName>
    <definedName name="â" localSheetId="14" hidden="1">{"'Sheet1'!$L$16"}</definedName>
    <definedName name="â" localSheetId="15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0" hidden="1">{"'Sheet1'!$L$16"}</definedName>
    <definedName name="Coc_60" localSheetId="1" hidden="1">{"'Sheet1'!$L$16"}</definedName>
    <definedName name="Coc_60" localSheetId="3" hidden="1">{"'Sheet1'!$L$16"}</definedName>
    <definedName name="Coc_60" localSheetId="9" hidden="1">{"'Sheet1'!$L$16"}</definedName>
    <definedName name="Coc_60" localSheetId="14" hidden="1">{"'Sheet1'!$L$16"}</definedName>
    <definedName name="Coc_60" localSheetId="15" hidden="1">{"'Sheet1'!$L$16"}</definedName>
    <definedName name="Coc_60">{"'Sheet1'!$L$16"}</definedName>
    <definedName name="Coc_BTCT">#REF!</definedName>
    <definedName name="Code" localSheetId="1" hidden="1">#REF!</definedName>
    <definedName name="Code" localSheetId="3" hidden="1">#REF!</definedName>
    <definedName name="Code" localSheetId="8" hidden="1">#REF!</definedName>
    <definedName name="Code" localSheetId="9" hidden="1">#REF!</definedName>
    <definedName name="Code" localSheetId="14" hidden="1">#REF!</definedName>
    <definedName name="Code" localSheetId="15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0" hidden="1">{"'Sheet1'!$L$16"}</definedName>
    <definedName name="CTCT1" localSheetId="1" hidden="1">{"'Sheet1'!$L$16"}</definedName>
    <definedName name="CTCT1" localSheetId="3" hidden="1">{"'Sheet1'!$L$16"}</definedName>
    <definedName name="CTCT1" localSheetId="9" hidden="1">{"'Sheet1'!$L$16"}</definedName>
    <definedName name="CTCT1" localSheetId="14" hidden="1">{"'Sheet1'!$L$16"}</definedName>
    <definedName name="CTCT1" localSheetId="15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0" hidden="1">{"'Sheet1'!$L$16"}</definedName>
    <definedName name="dads" localSheetId="1">{"'Sheet1'!$L$16"}</definedName>
    <definedName name="dads" localSheetId="9" hidden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1" hidden="1">#REF!</definedName>
    <definedName name="data1" localSheetId="3" hidden="1">#REF!</definedName>
    <definedName name="data1" localSheetId="14" hidden="1">#REF!</definedName>
    <definedName name="data1">#REF!</definedName>
    <definedName name="Data11">#REF!</definedName>
    <definedName name="data2" localSheetId="1" hidden="1">#REF!</definedName>
    <definedName name="data2" localSheetId="3" hidden="1">#REF!</definedName>
    <definedName name="data2" localSheetId="14" hidden="1">#REF!</definedName>
    <definedName name="data2">#REF!</definedName>
    <definedName name="data3" localSheetId="1" hidden="1">#REF!</definedName>
    <definedName name="data3" localSheetId="3" hidden="1">#REF!</definedName>
    <definedName name="data3" localSheetId="8" hidden="1">#REF!</definedName>
    <definedName name="data3" localSheetId="9" hidden="1">#REF!</definedName>
    <definedName name="data3" localSheetId="14" hidden="1">#REF!</definedName>
    <definedName name="data3" localSheetId="15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0" hidden="1">{"'Sheet1'!$L$16"}</definedName>
    <definedName name="dien" localSheetId="1" hidden="1">{"'Sheet1'!$L$16"}</definedName>
    <definedName name="dien" localSheetId="3" hidden="1">{"'Sheet1'!$L$16"}</definedName>
    <definedName name="dien" localSheetId="9" hidden="1">{"'Sheet1'!$L$16"}</definedName>
    <definedName name="dien" localSheetId="14" hidden="1">{"'Sheet1'!$L$16"}</definedName>
    <definedName name="dien" localSheetId="15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0" hidden="1">{"'Sheet1'!$L$16"}</definedName>
    <definedName name="diengiai" localSheetId="1" hidden="1">{"'Sheet1'!$L$16"}</definedName>
    <definedName name="diengiai" localSheetId="3" hidden="1">{"'Sheet1'!$L$16"}</definedName>
    <definedName name="diengiai" localSheetId="9" hidden="1">{"'Sheet1'!$L$16"}</definedName>
    <definedName name="diengiai" localSheetId="14" hidden="1">{"'Sheet1'!$L$16"}</definedName>
    <definedName name="diengiai" localSheetId="15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1" hidden="1">#REF!</definedName>
    <definedName name="Discount" localSheetId="3" hidden="1">#REF!</definedName>
    <definedName name="Discount" localSheetId="8" hidden="1">#REF!</definedName>
    <definedName name="Discount" localSheetId="9" hidden="1">#REF!</definedName>
    <definedName name="Discount" localSheetId="14" hidden="1">#REF!</definedName>
    <definedName name="Discount" localSheetId="15" hidden="1">#REF!</definedName>
    <definedName name="Discount">#REF!</definedName>
    <definedName name="display_area_2" localSheetId="1" hidden="1">#REF!</definedName>
    <definedName name="display_area_2" localSheetId="3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0" hidden="1">{"'boi duong nang nhoc'!$A$1"}</definedName>
    <definedName name="dsdsdsds" localSheetId="1" hidden="1">{"'boi duong nang nhoc'!$A$1"}</definedName>
    <definedName name="dsdsdsds" localSheetId="3" hidden="1">{"'boi duong nang nhoc'!$A$1"}</definedName>
    <definedName name="dsdsdsds" localSheetId="9" hidden="1">{"'boi duong nang nhoc'!$A$1"}</definedName>
    <definedName name="dsdsdsds" localSheetId="14" hidden="1">{"'boi duong nang nhoc'!$A$1"}</definedName>
    <definedName name="dsdsdsds" localSheetId="15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1" hidden="1">#REF!</definedName>
    <definedName name="FCode" localSheetId="3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0" hidden="1">{"'Sheet1'!$L$16"}</definedName>
    <definedName name="ff" localSheetId="1">{"'Sheet1'!$L$16"}</definedName>
    <definedName name="ff" localSheetId="9" hidden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0" hidden="1">{"'Sheet1'!$L$16"}</definedName>
    <definedName name="fg" localSheetId="1" hidden="1">{"'Sheet1'!$L$16"}</definedName>
    <definedName name="fg" localSheetId="3" hidden="1">{"'Sheet1'!$L$16"}</definedName>
    <definedName name="fg" localSheetId="9" hidden="1">{"'Sheet1'!$L$16"}</definedName>
    <definedName name="fg" localSheetId="14" hidden="1">{"'Sheet1'!$L$16"}</definedName>
    <definedName name="fg" localSheetId="15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0" hidden="1">{"'Sheet1'!$L$16"}</definedName>
    <definedName name="fsdfdsf" localSheetId="1" hidden="1">{"'Sheet1'!$L$16"}</definedName>
    <definedName name="fsdfdsf" localSheetId="3" hidden="1">{"'Sheet1'!$L$16"}</definedName>
    <definedName name="fsdfdsf" localSheetId="9" hidden="1">{"'Sheet1'!$L$16"}</definedName>
    <definedName name="fsdfdsf" localSheetId="14" hidden="1">{"'Sheet1'!$L$16"}</definedName>
    <definedName name="fsdfdsf" localSheetId="15" hidden="1">{"'Sheet1'!$L$16"}</definedName>
    <definedName name="fsdfdsf">{"'Sheet1'!$L$16"}</definedName>
    <definedName name="fse">#REF!</definedName>
    <definedName name="fsgsg" localSheetId="0" hidden="1">{"'Sheet1'!$L$16"}</definedName>
    <definedName name="fsgsg" localSheetId="1">{"'Sheet1'!$L$16"}</definedName>
    <definedName name="fsgsg" localSheetId="9" hidden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0" hidden="1">{"'Sheet1'!$L$16"}</definedName>
    <definedName name="haa" localSheetId="1">{"'Sheet1'!$L$16"}</definedName>
    <definedName name="haa" localSheetId="9" hidden="1">{"'Sheet1'!$L$16"}</definedName>
    <definedName name="haa">{"'Sheet1'!$L$16"}</definedName>
    <definedName name="hai" localSheetId="0" hidden="1">{"'Sheet1'!$L$16"}</definedName>
    <definedName name="hai" localSheetId="1" hidden="1">{"'Sheet1'!$L$16"}</definedName>
    <definedName name="hai" localSheetId="3" hidden="1">{"'Sheet1'!$L$16"}</definedName>
    <definedName name="hai" localSheetId="9" hidden="1">{"'Sheet1'!$L$16"}</definedName>
    <definedName name="hai" localSheetId="14" hidden="1">{"'Sheet1'!$L$16"}</definedName>
    <definedName name="hai" localSheetId="15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1" hidden="1">#REF!</definedName>
    <definedName name="HiddenRows" localSheetId="3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0" hidden="1">{"'Sheet1'!$L$16"}</definedName>
    <definedName name="htlm" localSheetId="1" hidden="1">{"'Sheet1'!$L$16"}</definedName>
    <definedName name="htlm" localSheetId="3" hidden="1">{"'Sheet1'!$L$16"}</definedName>
    <definedName name="htlm" localSheetId="9" hidden="1">{"'Sheet1'!$L$16"}</definedName>
    <definedName name="htlm" localSheetId="14" hidden="1">{"'Sheet1'!$L$16"}</definedName>
    <definedName name="htlm" localSheetId="15" hidden="1">{"'Sheet1'!$L$16"}</definedName>
    <definedName name="htlm">{"'Sheet1'!$L$16"}</definedName>
    <definedName name="html" localSheetId="0" hidden="1">{"'Sheet1'!$L$16"}</definedName>
    <definedName name="html" localSheetId="1" hidden="1">{"'Sheet1'!$L$16"}</definedName>
    <definedName name="html" localSheetId="3" hidden="1">{"'Sheet1'!$L$16"}</definedName>
    <definedName name="html" localSheetId="9" hidden="1">{"'Sheet1'!$L$16"}</definedName>
    <definedName name="html" localSheetId="14" hidden="1">{"'Sheet1'!$L$16"}</definedName>
    <definedName name="html" localSheetId="15" hidden="1">{"'Sheet1'!$L$16"}</definedName>
    <definedName name="html">{"'Sheet1'!$L$16"}</definedName>
    <definedName name="HTML_CodePage">950</definedName>
    <definedName name="HTML_Control" localSheetId="0" hidden="1">{"'Sheet1'!$L$16"}</definedName>
    <definedName name="HTML_Control" localSheetId="1" hidden="1">{"'Sheet1'!$L$16"}</definedName>
    <definedName name="HTML_Control" localSheetId="3" hidden="1">{"'Sheet1'!$L$16"}</definedName>
    <definedName name="HTML_Control" localSheetId="9" hidden="1">{"'Sheet1'!$L$16"}</definedName>
    <definedName name="HTML_Control" localSheetId="14" hidden="1">{"'Sheet1'!$L$16"}</definedName>
    <definedName name="HTML_Control" localSheetId="15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0" hidden="1">{"'Sheet1'!$L$16"}</definedName>
    <definedName name="hung" localSheetId="1" hidden="1">{"'Sheet1'!$L$16"}</definedName>
    <definedName name="hung" localSheetId="3" hidden="1">{"'Sheet1'!$L$16"}</definedName>
    <definedName name="hung" localSheetId="9" hidden="1">{"'Sheet1'!$L$16"}</definedName>
    <definedName name="hung" localSheetId="14" hidden="1">{"'Sheet1'!$L$16"}</definedName>
    <definedName name="hung" localSheetId="15" hidden="1">{"'Sheet1'!$L$16"}</definedName>
    <definedName name="hung">{"'Sheet1'!$L$16"}</definedName>
    <definedName name="huong">#REF!</definedName>
    <definedName name="huy" localSheetId="0" hidden="1">{"'Sheet1'!$L$16"}</definedName>
    <definedName name="huy" localSheetId="1" hidden="1">{"'Sheet1'!$L$16"}</definedName>
    <definedName name="huy" localSheetId="3" hidden="1">{"'Sheet1'!$L$16"}</definedName>
    <definedName name="huy" localSheetId="9" hidden="1">{"'Sheet1'!$L$16"}</definedName>
    <definedName name="huy" localSheetId="14" hidden="1">{"'Sheet1'!$L$16"}</definedName>
    <definedName name="huy" localSheetId="15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0" hidden="1">{"'Sheet1'!$L$16"}</definedName>
    <definedName name="KLduonggiaods" localSheetId="1" hidden="1">{"'Sheet1'!$L$16"}</definedName>
    <definedName name="KLduonggiaods" localSheetId="3" hidden="1">{"'Sheet1'!$L$16"}</definedName>
    <definedName name="KLduonggiaods" localSheetId="9" hidden="1">{"'Sheet1'!$L$16"}</definedName>
    <definedName name="KLduonggiaods" localSheetId="14" hidden="1">{"'Sheet1'!$L$16"}</definedName>
    <definedName name="KLduonggiaods" localSheetId="15" hidden="1">{"'Sheet1'!$L$16"}</definedName>
    <definedName name="KLduonggiaods">{"'Sheet1'!$L$16"}</definedName>
    <definedName name="klsdfjzljlaj">#REF!</definedName>
    <definedName name="KLtru">#REF!</definedName>
    <definedName name="Km_2" localSheetId="0">S01_DT105!$D$1:$G$47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0" hidden="1">{"'Sheet1'!$L$16"}</definedName>
    <definedName name="khongtruotgia" localSheetId="1">{"'Sheet1'!$L$16"}</definedName>
    <definedName name="khongtruotgia" localSheetId="9" hidden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0" hidden="1">{"'Sheet1'!$L$16"}</definedName>
    <definedName name="minh" localSheetId="1">{"'Sheet1'!$L$16"}</definedName>
    <definedName name="minh" localSheetId="9" hidden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0" hidden="1">{"'Sheet1'!$L$16"}</definedName>
    <definedName name="mo" localSheetId="1" hidden="1">{"'Sheet1'!$L$16"}</definedName>
    <definedName name="mo" localSheetId="3" hidden="1">{"'Sheet1'!$L$16"}</definedName>
    <definedName name="mo" localSheetId="9" hidden="1">{"'Sheet1'!$L$16"}</definedName>
    <definedName name="mo" localSheetId="14" hidden="1">{"'Sheet1'!$L$16"}</definedName>
    <definedName name="mo" localSheetId="15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0" hidden="1">{"'Sheet1'!$L$16"}</definedName>
    <definedName name="No.9" localSheetId="1">{"'Sheet1'!$L$16"}</definedName>
    <definedName name="No.9" localSheetId="9" hidden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1" hidden="1">#REF!</definedName>
    <definedName name="OrderTable" localSheetId="3" hidden="1">#REF!</definedName>
    <definedName name="OrderTable" localSheetId="8" hidden="1">#REF!</definedName>
    <definedName name="OrderTable" localSheetId="9" hidden="1">#REF!</definedName>
    <definedName name="OrderTable" localSheetId="14" hidden="1">#REF!</definedName>
    <definedName name="OrderTable" localSheetId="15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0">S01_DT105!$C$1:$Q$47</definedName>
    <definedName name="_xlnm.Print_Area" localSheetId="1">S02_DT105!$A$10:$G$33</definedName>
    <definedName name="_xlnm.Print_Area" localSheetId="3">S04_DT105!$A$10:$J$48</definedName>
    <definedName name="_xlnm.Print_Area" localSheetId="5">S06_DT105!$A$1:$F$35</definedName>
    <definedName name="_xlnm.Print_Area" localSheetId="7">S08_DT105!$A$1:$K$27</definedName>
    <definedName name="_xlnm.Print_Area" localSheetId="8">S09_DT105!$A$1:$H$127</definedName>
    <definedName name="_xlnm.Print_Area" localSheetId="9">S10_DT105!$A$1:$H$138</definedName>
    <definedName name="_xlnm.Print_Area" localSheetId="10">S11_DT105!$A$78:$F$101,S11_DT105!$A$1:$F$66</definedName>
    <definedName name="_xlnm.Print_Area" localSheetId="12">S13_DT105!$A$1:$U$18</definedName>
    <definedName name="_xlnm.Print_Area">#REF!</definedName>
    <definedName name="Print_Area_MI">#REF!</definedName>
    <definedName name="_xlnm.Print_Titles" localSheetId="0">S01_DT105!$6:$8</definedName>
    <definedName name="_xlnm.Print_Titles" localSheetId="7">S08_DT105!$9:$10</definedName>
    <definedName name="_xlnm.Print_Titles" localSheetId="12">S13_DT105!$5:$6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1" hidden="1">#REF!</definedName>
    <definedName name="ProdForm" localSheetId="3" hidden="1">#REF!</definedName>
    <definedName name="ProdForm" localSheetId="8" hidden="1">#REF!</definedName>
    <definedName name="ProdForm" localSheetId="9" hidden="1">#REF!</definedName>
    <definedName name="ProdForm" localSheetId="14" hidden="1">#REF!</definedName>
    <definedName name="ProdForm" localSheetId="15" hidden="1">#REF!</definedName>
    <definedName name="ProdForm">#REF!</definedName>
    <definedName name="Product" localSheetId="1" hidden="1">#REF!</definedName>
    <definedName name="Product" localSheetId="3" hidden="1">#REF!</definedName>
    <definedName name="Product" localSheetId="8" hidden="1">#REF!</definedName>
    <definedName name="Product" localSheetId="9" hidden="1">#REF!</definedName>
    <definedName name="Product" localSheetId="14" hidden="1">#REF!</definedName>
    <definedName name="Product" localSheetId="15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0" hidden="1">{"'Sheet1'!$L$16"}</definedName>
    <definedName name="quan.P12" localSheetId="1">{"'Sheet1'!$L$16"}</definedName>
    <definedName name="quan.P12" localSheetId="9" hidden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1" hidden="1">#REF!</definedName>
    <definedName name="RCArea" localSheetId="3" hidden="1">#REF!</definedName>
    <definedName name="RCArea" localSheetId="8" hidden="1">#REF!</definedName>
    <definedName name="RCArea" localSheetId="9" hidden="1">#REF!</definedName>
    <definedName name="RCArea" localSheetId="14" hidden="1">#REF!</definedName>
    <definedName name="RCArea" localSheetId="15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0" hidden="1">{"'Sheet1'!$L$16"}</definedName>
    <definedName name="sad" localSheetId="1">{"'Sheet1'!$L$16"}</definedName>
    <definedName name="sad" localSheetId="9" hidden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0" hidden="1">{"'Sheet1'!$L$16"}</definedName>
    <definedName name="sd" localSheetId="1">{"'Sheet1'!$L$16"}</definedName>
    <definedName name="sd" localSheetId="9" hidden="1">{"'Sheet1'!$L$16"}</definedName>
    <definedName name="sd">{"'Sheet1'!$L$16"}</definedName>
    <definedName name="sd¸d" localSheetId="0" hidden="1">{"'Sheet1'!$L$16"}</definedName>
    <definedName name="sd¸d" localSheetId="1">{"'Sheet1'!$L$16"}</definedName>
    <definedName name="sd¸d" localSheetId="9" hidden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0" hidden="1">{"'Sheet1'!$L$16"}</definedName>
    <definedName name="sds" localSheetId="1">{"'Sheet1'!$L$16"}</definedName>
    <definedName name="sds" localSheetId="9" hidden="1">{"'Sheet1'!$L$16"}</definedName>
    <definedName name="sds">{"'Sheet1'!$L$16"}</definedName>
    <definedName name="sdz" localSheetId="0" hidden="1">{"'Sheet1'!$L$16"}</definedName>
    <definedName name="sdz" localSheetId="1">{"'Sheet1'!$L$16"}</definedName>
    <definedName name="sdz" localSheetId="9" hidden="1">{"'Sheet1'!$L$16"}</definedName>
    <definedName name="sdz">{"'Sheet1'!$L$16"}</definedName>
    <definedName name="seet2" localSheetId="0" hidden="1">{"'Sheet1'!$L$16"}</definedName>
    <definedName name="seet2" localSheetId="1">{"'Sheet1'!$L$16"}</definedName>
    <definedName name="seet2" localSheetId="9" hidden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0" hidden="1">{"'Sheet1'!$L$16"}</definedName>
    <definedName name="Sosanh2" localSheetId="1" hidden="1">{"'Sheet1'!$L$16"}</definedName>
    <definedName name="Sosanh2" localSheetId="3" hidden="1">{"'Sheet1'!$L$16"}</definedName>
    <definedName name="Sosanh2" localSheetId="9" hidden="1">{"'Sheet1'!$L$16"}</definedName>
    <definedName name="Sosanh2" localSheetId="14" hidden="1">{"'Sheet1'!$L$16"}</definedName>
    <definedName name="Sosanh2" localSheetId="15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1" hidden="1">#REF!</definedName>
    <definedName name="SpecialPrice" localSheetId="3" hidden="1">#REF!</definedName>
    <definedName name="SpecialPrice" localSheetId="8" hidden="1">#REF!</definedName>
    <definedName name="SpecialPrice" localSheetId="9" hidden="1">#REF!</definedName>
    <definedName name="SpecialPrice" localSheetId="14" hidden="1">#REF!</definedName>
    <definedName name="SpecialPrice" localSheetId="15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0" hidden="1">{"'Sheet1'!$L$16"}</definedName>
    <definedName name="tbao" localSheetId="1" hidden="1">{"'Sheet1'!$L$16"}</definedName>
    <definedName name="tbao" localSheetId="3" hidden="1">{"'Sheet1'!$L$16"}</definedName>
    <definedName name="tbao" localSheetId="9" hidden="1">{"'Sheet1'!$L$16"}</definedName>
    <definedName name="tbao" localSheetId="14" hidden="1">{"'Sheet1'!$L$16"}</definedName>
    <definedName name="tbao" localSheetId="15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" hidden="1">#REF!</definedName>
    <definedName name="tbl_ProdInfo" localSheetId="3" hidden="1">#REF!</definedName>
    <definedName name="tbl_ProdInfo" localSheetId="8" hidden="1">#REF!</definedName>
    <definedName name="tbl_ProdInfo" localSheetId="9" hidden="1">#REF!</definedName>
    <definedName name="tbl_ProdInfo" localSheetId="14" hidden="1">#REF!</definedName>
    <definedName name="tbl_ProdInfo" localSheetId="15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0" hidden="1">{"'Sheet1'!$L$16"}</definedName>
    <definedName name="tecco" localSheetId="1">{"'Sheet1'!$L$16"}</definedName>
    <definedName name="tecco" localSheetId="9" hidden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0" hidden="1">{"'Sheet1'!$L$16"}</definedName>
    <definedName name="tuyennhanh" localSheetId="1" hidden="1">{"'Sheet1'!$L$16"}</definedName>
    <definedName name="tuyennhanh" localSheetId="3" hidden="1">{"'Sheet1'!$L$16"}</definedName>
    <definedName name="tuyennhanh" localSheetId="9" hidden="1">{"'Sheet1'!$L$16"}</definedName>
    <definedName name="tuyennhanh" localSheetId="14" hidden="1">{"'Sheet1'!$L$16"}</definedName>
    <definedName name="tuyennhanh" localSheetId="15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0" hidden="1">{"'Sheet1'!$L$16"}</definedName>
    <definedName name="thanh" localSheetId="1" hidden="1">{"'Sheet1'!$L$16"}</definedName>
    <definedName name="thanh" localSheetId="3" hidden="1">{"'Sheet1'!$L$16"}</definedName>
    <definedName name="thanh" localSheetId="9" hidden="1">{"'Sheet1'!$L$16"}</definedName>
    <definedName name="thanh" localSheetId="14" hidden="1">{"'Sheet1'!$L$16"}</definedName>
    <definedName name="thanh" localSheetId="15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0" hidden="1">{"'Sheet1'!$L$16"}</definedName>
    <definedName name="VATM" localSheetId="1" hidden="1">{"'Sheet1'!$L$16"}</definedName>
    <definedName name="VATM" localSheetId="3" hidden="1">{"'Sheet1'!$L$16"}</definedName>
    <definedName name="VATM" localSheetId="9" hidden="1">{"'Sheet1'!$L$16"}</definedName>
    <definedName name="VATM" localSheetId="14" hidden="1">{"'Sheet1'!$L$16"}</definedName>
    <definedName name="VATM" localSheetId="15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0" hidden="1">{#N/A,#N/A,FALSE,"Chi tiÆt"}</definedName>
    <definedName name="wrn.chi._.tiÆt." localSheetId="1" hidden="1">{#N/A,#N/A,FALSE,"Chi tiÆt"}</definedName>
    <definedName name="wrn.chi._.tiÆt." localSheetId="3" hidden="1">{#N/A,#N/A,FALSE,"Chi tiÆt"}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4" hidden="1">{#N/A,#N/A,FALSE,"Chi tiÆt"}</definedName>
    <definedName name="wrn.chi._.tiÆt." localSheetId="15" hidden="1">{#N/A,#N/A,FALSE,"Chi tiÆt"}</definedName>
    <definedName name="wrn.chi._.tiÆt.">{#N/A,#N/A,FALSE,"Chi tiÆt"}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0" hidden="1">{"'Sheet1'!$L$16"}</definedName>
    <definedName name="XmT5" localSheetId="1" hidden="1">{"'Sheet1'!$L$16"}</definedName>
    <definedName name="XmT5" localSheetId="3" hidden="1">{"'Sheet1'!$L$16"}</definedName>
    <definedName name="XmT5" localSheetId="9" hidden="1">{"'Sheet1'!$L$16"}</definedName>
    <definedName name="XmT5" localSheetId="14" hidden="1">{"'Sheet1'!$L$16"}</definedName>
    <definedName name="XmT5" localSheetId="15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<sst xmlns="http://schemas.openxmlformats.org/spreadsheetml/2006/main" count="1630" uniqueCount="553">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</sst>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8" t="s">
        <v>436</v>
      </c>
      <c r="D1" s="818"/>
      <c r="E1" s="818"/>
      <c r="F1" s="818"/>
      <c r="G1" s="818"/>
      <c r="H1" s="818"/>
      <c r="I1" s="818"/>
      <c r="J1" s="818"/>
      <c r="K1" s="818"/>
      <c r="L1" s="818"/>
      <c r="M1" s="818"/>
      <c r="N1" s="818"/>
      <c r="O1" s="818"/>
      <c r="P1" s="818"/>
      <c r="Q1" s="818"/>
      <c r="R1" s="711"/>
      <c r="S1" s="711"/>
    </row>
    <row r="2" spans="1:31" ht="20.25" customHeight="1">
      <c r="C2" s="827" t="s">
        <v>541</v>
      </c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712"/>
      <c r="S2" s="712"/>
    </row>
    <row r="3" spans="1:31" ht="20.25" customHeight="1">
      <c r="C3" s="828" t="s">
        <v>195</v>
      </c>
      <c r="D3" s="828"/>
      <c r="E3" s="828"/>
      <c r="F3" s="828"/>
      <c r="G3" s="828"/>
      <c r="H3" s="828"/>
      <c r="I3" s="828"/>
      <c r="J3" s="828"/>
      <c r="K3" s="828"/>
      <c r="L3" s="828"/>
      <c r="M3" s="828"/>
      <c r="N3" s="828"/>
      <c r="O3" s="828"/>
      <c r="P3" s="828"/>
      <c r="Q3" s="828"/>
      <c r="R3" s="712"/>
      <c r="S3" s="712"/>
    </row>
    <row r="4" spans="1:31" ht="20.25" customHeight="1">
      <c r="C4" s="827" t="s">
        <v>542</v>
      </c>
      <c r="D4" s="827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15" t="s">
        <v>452</v>
      </c>
      <c r="B6" s="714"/>
      <c r="C6" s="816" t="s">
        <v>18</v>
      </c>
      <c r="D6" s="816" t="s">
        <v>453</v>
      </c>
      <c r="E6" s="817" t="s">
        <v>454</v>
      </c>
      <c r="F6" s="817" t="s">
        <v>455</v>
      </c>
      <c r="G6" s="824" t="s">
        <v>456</v>
      </c>
      <c r="H6" s="826"/>
      <c r="I6" s="825"/>
      <c r="J6" s="819" t="s">
        <v>510</v>
      </c>
      <c r="K6" s="820"/>
      <c r="L6" s="821"/>
      <c r="M6" s="824" t="s">
        <v>508</v>
      </c>
      <c r="N6" s="825"/>
      <c r="O6" s="824" t="s">
        <v>509</v>
      </c>
      <c r="P6" s="825"/>
      <c r="Q6" s="822" t="s">
        <v>19</v>
      </c>
      <c r="R6" s="712"/>
      <c r="S6" s="712"/>
      <c r="U6" s="710">
        <v>3</v>
      </c>
    </row>
    <row r="7" spans="1:31" ht="57.6" customHeight="1">
      <c r="A7" s="815"/>
      <c r="B7" s="714"/>
      <c r="C7" s="816"/>
      <c r="D7" s="816"/>
      <c r="E7" s="817"/>
      <c r="F7" s="817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3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S01_DT105!C2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S01_DT105!C4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S01_DT105!M47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S01_DT105!N47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S01_DT105!O47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S01_DT105!P47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S13_DT105!L18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S08_DT105!T9</f>
        <v>0</v>
      </c>
      <c r="F2" s="462">
        <f>S08_DT105!V9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2" t="s">
        <v>0</v>
      </c>
      <c r="B15" s="852" t="s">
        <v>304</v>
      </c>
      <c r="C15" s="855" t="s">
        <v>305</v>
      </c>
      <c r="D15" s="856"/>
      <c r="E15" s="856"/>
      <c r="F15" s="856"/>
      <c r="G15" s="857"/>
    </row>
    <row r="16" spans="1:7" ht="15" customHeight="1">
      <c r="A16" s="853"/>
      <c r="B16" s="853"/>
      <c r="C16" s="852" t="s">
        <v>306</v>
      </c>
      <c r="D16" s="852" t="s">
        <v>307</v>
      </c>
      <c r="E16" s="478" t="s">
        <v>308</v>
      </c>
      <c r="F16" s="852" t="s">
        <v>310</v>
      </c>
      <c r="G16" s="479" t="s">
        <v>311</v>
      </c>
    </row>
    <row r="17" spans="1:7">
      <c r="A17" s="854"/>
      <c r="B17" s="854"/>
      <c r="C17" s="854"/>
      <c r="D17" s="854"/>
      <c r="E17" s="480" t="s">
        <v>309</v>
      </c>
      <c r="F17" s="854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3" t="s">
        <v>0</v>
      </c>
      <c r="B26" s="485" t="s">
        <v>264</v>
      </c>
      <c r="C26" s="845" t="s">
        <v>317</v>
      </c>
      <c r="D26" s="846"/>
      <c r="E26" s="847"/>
    </row>
    <row r="27" spans="1:7" ht="30.6" customHeight="1">
      <c r="A27" s="844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1" t="s">
        <v>0</v>
      </c>
      <c r="B35" s="461" t="s">
        <v>264</v>
      </c>
      <c r="C35" s="849" t="s">
        <v>305</v>
      </c>
      <c r="D35" s="850"/>
      <c r="E35" s="851"/>
    </row>
    <row r="36" spans="1:7" ht="67.2" customHeight="1">
      <c r="A36" s="848"/>
      <c r="B36" s="491" t="s">
        <v>316</v>
      </c>
      <c r="C36" s="491" t="s">
        <v>321</v>
      </c>
      <c r="D36" s="841" t="s">
        <v>323</v>
      </c>
      <c r="E36" s="841" t="s">
        <v>324</v>
      </c>
      <c r="F36" s="841" t="s">
        <v>323</v>
      </c>
      <c r="G36" s="841" t="s">
        <v>324</v>
      </c>
    </row>
    <row r="37" spans="1:7" ht="16.8">
      <c r="A37" s="842"/>
      <c r="B37" s="492"/>
      <c r="C37" s="493" t="s">
        <v>322</v>
      </c>
      <c r="D37" s="842"/>
      <c r="E37" s="842"/>
      <c r="F37" s="842"/>
      <c r="G37" s="842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12" t="s">
        <v>121</v>
      </c>
      <c r="B2" s="812"/>
      <c r="C2" s="812"/>
      <c r="D2" s="812"/>
      <c r="E2" s="812"/>
      <c r="F2" s="812"/>
    </row>
    <row r="3" spans="1:10" s="630" customFormat="1" ht="48" customHeight="1">
      <c r="A3" s="813" t="str">
        <f>S01_DT105!C2</f>
        <v>Dự án: Cải tạo, nâng cấp  trạm bơm Trà Phương 3 tiêu thoát nước cho vùng các khu công nghiệp huyện Kim Động, Ân Thi, Yên Mỹ tỉnh Hưng Yên</v>
      </c>
      <c r="B3" s="814"/>
      <c r="C3" s="814"/>
      <c r="D3" s="814"/>
      <c r="E3" s="814"/>
      <c r="F3" s="814"/>
      <c r="H3" s="631"/>
    </row>
    <row r="4" spans="1:10" s="632" customFormat="1" ht="16.8" customHeight="1">
      <c r="A4" s="813" t="str">
        <f>S01_DT105!C3</f>
        <v>Hạng mục: Rà phá bom mìn, vật nổ</v>
      </c>
      <c r="B4" s="814"/>
      <c r="C4" s="814"/>
      <c r="D4" s="814"/>
      <c r="E4" s="814"/>
      <c r="F4" s="814"/>
    </row>
    <row r="5" spans="1:10" s="630" customFormat="1" ht="22.8" customHeight="1">
      <c r="A5" s="813" t="str">
        <f>S01_DT105!C4</f>
        <v>Địa điểm: Xã Hồng Quang, tỉnh Hưng Yên</v>
      </c>
      <c r="B5" s="814"/>
      <c r="C5" s="814"/>
      <c r="D5" s="814"/>
      <c r="E5" s="814"/>
      <c r="F5" s="814"/>
    </row>
    <row r="6" spans="1:10" s="632" customFormat="1" ht="21" hidden="1" customHeight="1">
      <c r="A6" s="811" t="s">
        <v>240</v>
      </c>
      <c r="B6" s="811"/>
      <c r="C6" s="811"/>
      <c r="D6" s="811"/>
      <c r="E6" s="811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TRANSPOSE(S08_DT105!I27:K27)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S12_DT105!P7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8" t="s">
        <v>545</v>
      </c>
      <c r="B28" s="808"/>
      <c r="C28" s="808"/>
      <c r="D28" s="808"/>
      <c r="E28" s="808"/>
      <c r="F28" s="808"/>
      <c r="G28" s="809"/>
      <c r="H28" s="809"/>
      <c r="I28" s="809"/>
      <c r="J28" s="809"/>
      <c r="K28" s="809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0" t="s">
        <v>179</v>
      </c>
      <c r="B30" s="810"/>
      <c r="C30" s="424"/>
      <c r="D30" s="810" t="s">
        <v>123</v>
      </c>
      <c r="E30" s="810"/>
      <c r="F30" s="810"/>
    </row>
    <row r="31" spans="1:12" ht="16.95" customHeight="1">
      <c r="A31" s="810"/>
      <c r="B31" s="810"/>
      <c r="C31" s="424"/>
      <c r="D31" s="810" t="s">
        <v>551</v>
      </c>
      <c r="E31" s="810"/>
      <c r="F31" s="810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0" t="s">
        <v>552</v>
      </c>
      <c r="E35" s="810"/>
      <c r="F35" s="810"/>
    </row>
    <row r="36" spans="1:6" ht="18">
      <c r="A36" s="806"/>
      <c r="B36" s="806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7"/>
      <c r="B39" s="807"/>
      <c r="C39" s="807"/>
      <c r="D39" s="807"/>
      <c r="E39" s="807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6" t="s">
        <v>351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23"/>
      <c r="M1" s="23"/>
      <c r="N1" s="23"/>
      <c r="O1" s="23"/>
    </row>
    <row r="2" spans="1:22" ht="24" customHeight="1">
      <c r="A2" s="866" t="s">
        <v>112</v>
      </c>
      <c r="B2" s="866"/>
      <c r="C2" s="866"/>
      <c r="D2" s="866"/>
      <c r="E2" s="866"/>
      <c r="F2" s="866"/>
      <c r="G2" s="866"/>
      <c r="H2" s="866"/>
      <c r="I2" s="866"/>
      <c r="J2" s="866"/>
      <c r="K2" s="866"/>
      <c r="L2" s="23"/>
      <c r="M2" s="23"/>
      <c r="N2" s="23"/>
      <c r="O2" s="23"/>
      <c r="Q2" s="867"/>
      <c r="R2" s="867"/>
      <c r="S2" s="867"/>
      <c r="T2" s="867"/>
    </row>
    <row r="3" spans="1:22" ht="24" hidden="1" customHeight="1">
      <c r="A3" s="862" t="e">
        <f>#REF!</f>
        <v>#REF!</v>
      </c>
      <c r="B3" s="862"/>
      <c r="C3" s="862"/>
      <c r="D3" s="862"/>
      <c r="E3" s="862"/>
      <c r="F3" s="862"/>
      <c r="G3" s="862"/>
      <c r="H3" s="862"/>
      <c r="I3" s="862"/>
      <c r="J3" s="862"/>
      <c r="K3" s="862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2" t="s">
        <v>195</v>
      </c>
      <c r="B5" s="862"/>
      <c r="C5" s="862"/>
      <c r="D5" s="862"/>
      <c r="E5" s="862"/>
      <c r="F5" s="862"/>
      <c r="G5" s="862"/>
      <c r="H5" s="862"/>
      <c r="I5" s="862"/>
      <c r="J5" s="862"/>
      <c r="K5" s="862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S06_DT105!A5</f>
        <v>Địa điểm: Xã Hồng Quang, tỉnh Hưng Yên</v>
      </c>
      <c r="B6" s="862"/>
      <c r="C6" s="862"/>
      <c r="D6" s="862"/>
      <c r="E6" s="862"/>
      <c r="F6" s="862"/>
      <c r="G6" s="862"/>
      <c r="H6" s="862"/>
      <c r="I6" s="862"/>
      <c r="J6" s="862"/>
      <c r="K6" s="862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3"/>
      <c r="B7" s="863"/>
      <c r="C7" s="863"/>
      <c r="D7" s="863"/>
      <c r="E7" s="863"/>
      <c r="F7" s="863"/>
      <c r="G7" s="863"/>
      <c r="H7" s="863"/>
      <c r="I7" s="863"/>
      <c r="J7" s="863"/>
      <c r="K7" s="863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S06_DT105!G10</f>
        <v>2</v>
      </c>
    </row>
    <row r="9" spans="1:22" s="5" customFormat="1" ht="21" customHeight="1">
      <c r="A9" s="864" t="s">
        <v>0</v>
      </c>
      <c r="B9" s="864" t="s">
        <v>49</v>
      </c>
      <c r="C9" s="864" t="s">
        <v>53</v>
      </c>
      <c r="D9" s="864" t="s">
        <v>22</v>
      </c>
      <c r="E9" s="864" t="s">
        <v>164</v>
      </c>
      <c r="F9" s="858" t="s">
        <v>31</v>
      </c>
      <c r="G9" s="858"/>
      <c r="H9" s="858"/>
      <c r="I9" s="858" t="s">
        <v>45</v>
      </c>
      <c r="J9" s="858"/>
      <c r="K9" s="858"/>
      <c r="L9" s="858" t="s">
        <v>167</v>
      </c>
      <c r="M9" s="858"/>
      <c r="N9" s="858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5"/>
      <c r="B10" s="865"/>
      <c r="C10" s="865"/>
      <c r="D10" s="865"/>
      <c r="E10" s="865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+S09_DT105!$F$11</f>
        <v>0</v>
      </c>
      <c r="G12" s="384">
        <f>+S09_DT105!$G$11</f>
        <v>33165000</v>
      </c>
      <c r="H12" s="384">
        <f>+S09_DT105!$H$11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S02_DT105!F18</f>
        <v>3.81</v>
      </c>
      <c r="E13" s="242"/>
      <c r="F13" s="385">
        <f>S09_DT105!F29</f>
        <v>851550</v>
      </c>
      <c r="G13" s="385">
        <f>S09_DT105!G29</f>
        <v>8593200</v>
      </c>
      <c r="H13" s="385">
        <f>S09_DT105!H29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+S09_DT105!$F$75</f>
        <v>0</v>
      </c>
      <c r="G14" s="385">
        <f>+S09_DT105!$G$75</f>
        <v>31050</v>
      </c>
      <c r="H14" s="385">
        <f>+S09_DT105!$H$75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HLOOKUP(T14,S05_DT105!$B$18:$G$23,T13,FALSE)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S02_DT105!F19</f>
        <v>2.4699999999999998</v>
      </c>
      <c r="E15" s="242"/>
      <c r="F15" s="385">
        <f>S09_DT105!$F$93</f>
        <v>640500</v>
      </c>
      <c r="G15" s="385">
        <f>S09_DT105!$G$93</f>
        <v>3489750</v>
      </c>
      <c r="H15" s="385">
        <f>S09_DT105!$H$93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S09_DT105!$F$111</f>
        <v>0</v>
      </c>
      <c r="G16" s="385">
        <f>S09_DT105!$G$111</f>
        <v>0</v>
      </c>
      <c r="H16" s="385">
        <f>S09_DT105!$H$111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+S09_DT105!$F$127</f>
        <v>19108.739440000001</v>
      </c>
      <c r="G17" s="385">
        <f>+S09_DT105!$G$127</f>
        <v>589950</v>
      </c>
      <c r="H17" s="385">
        <f>+S09_DT105!$H$127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HLOOKUP(T17,S05_DT105!$B$18:$G$23,T13,FALSE)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+S09_DT105!$F$145</f>
        <v>0</v>
      </c>
      <c r="G18" s="385">
        <f>+S09_DT105!$G$145</f>
        <v>0</v>
      </c>
      <c r="H18" s="385">
        <f>+S09_DT105!$H$145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HLOOKUP(T18,S05_DT105!$B$18:$G$23,T13,FALSE)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S02_DT105!F21</f>
        <v>6.65</v>
      </c>
      <c r="E20" s="242"/>
      <c r="F20" s="385">
        <f>S10_DT105!$F$34</f>
        <v>572387.19999999995</v>
      </c>
      <c r="G20" s="385">
        <f>S10_DT105!$G$34</f>
        <v>11790900</v>
      </c>
      <c r="H20" s="385">
        <f>S10_DT105!$H$34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S02_DT105!F22</f>
        <v>6.58</v>
      </c>
      <c r="E21" s="242"/>
      <c r="F21" s="385">
        <f>S10_DT105!$F$57</f>
        <v>360287.2</v>
      </c>
      <c r="G21" s="385">
        <f>S10_DT105!$G$57</f>
        <v>4855950</v>
      </c>
      <c r="H21" s="385">
        <f>S10_DT105!$H$57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S10_DT105!$F$74</f>
        <v>4393.5</v>
      </c>
      <c r="G22" s="385">
        <f>S10_DT105!$G$74</f>
        <v>27720</v>
      </c>
      <c r="H22" s="385">
        <f>S10_DT105!$H$74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S10_DT105!$F$88</f>
        <v>0</v>
      </c>
      <c r="G23" s="385">
        <f>S10_DT105!$G$88</f>
        <v>113850</v>
      </c>
      <c r="H23" s="385">
        <f>S10_DT105!$H$88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HLOOKUP(T23,S05_DT105!$B$28:$G$33,T13,FALSE)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S10_DT105!$F$103</f>
        <v>0</v>
      </c>
      <c r="G24" s="385">
        <f>S10_DT105!$G$103</f>
        <v>113850</v>
      </c>
      <c r="H24" s="385">
        <f>S10_DT105!$H$103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HLOOKUP(T24,S05_DT105!$B$28:$G$33,T13,FALSE)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S10_DT105!$F$121</f>
        <v>535040</v>
      </c>
      <c r="G25" s="385">
        <f>S10_DT105!$G$121</f>
        <v>495000</v>
      </c>
      <c r="H25" s="385">
        <f>S10_DT105!$H$121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HLOOKUP(T25,S05_DT105!$B$28:$G$33,T13,FALSE)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9"/>
      <c r="D30" s="860"/>
      <c r="I30" s="206"/>
      <c r="J30" s="206"/>
      <c r="K30" s="206"/>
      <c r="P30" s="207"/>
    </row>
    <row r="31" spans="1:22">
      <c r="C31" s="859"/>
      <c r="D31" s="860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4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f>S08_DT105!D12</f>
        <v>1.905</v>
      </c>
      <c r="K6" s="519">
        <f>S08_DT105!E12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S11_DT105!F11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69" t="s">
        <v>42</v>
      </c>
      <c r="D17" s="869" t="s">
        <v>20</v>
      </c>
      <c r="E17" s="869" t="s">
        <v>80</v>
      </c>
      <c r="F17" s="869" t="s">
        <v>17</v>
      </c>
      <c r="G17" s="869"/>
      <c r="H17" s="869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69"/>
      <c r="D18" s="869"/>
      <c r="E18" s="869"/>
      <c r="F18" s="414" t="s">
        <v>59</v>
      </c>
      <c r="G18" s="414" t="s">
        <v>25</v>
      </c>
      <c r="H18" s="414" t="s">
        <v>81</v>
      </c>
      <c r="J18" s="539">
        <f>S08_DT105!D13</f>
        <v>3.81</v>
      </c>
      <c r="K18" s="539">
        <f>S08_DT105!E13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VLOOKUP($B20,S11_DT105!$B$6:$F$101,5,0)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VLOOKUP($B21,S11_DT105!$B$6:$F$101,5,0)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VLOOKUP($B22,S11_DT105!$B$6:$F$101,5,0)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VLOOKUP($B23,S11_DT105!$B$6:$F$101,5,0)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VLOOKUP($B26,S11_DT105!$B$6:$F$101,5,0)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VLOOKUP($B28,S11_DT105!$B$6:$F$101,5,0)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69" t="s">
        <v>42</v>
      </c>
      <c r="D34" s="869" t="s">
        <v>20</v>
      </c>
      <c r="E34" s="869" t="s">
        <v>80</v>
      </c>
      <c r="F34" s="869" t="s">
        <v>17</v>
      </c>
      <c r="G34" s="869"/>
      <c r="H34" s="869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69"/>
      <c r="D35" s="869"/>
      <c r="E35" s="869"/>
      <c r="F35" s="414" t="s">
        <v>59</v>
      </c>
      <c r="G35" s="414" t="s">
        <v>25</v>
      </c>
      <c r="H35" s="414" t="s">
        <v>81</v>
      </c>
      <c r="J35" s="539"/>
      <c r="K35" s="519" t="e">
        <f>S08_DT105!#REF!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VLOOKUP($B37,S11_DT105!$B$6:$F$101,5,0)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VLOOKUP($B38,S11_DT105!$B$6:$F$101,5,0)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VLOOKUP($B39,S11_DT105!$B$6:$F$101,5,0)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VLOOKUP($B40,S11_DT105!$B$6:$F$101,5,0)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VLOOKUP($B43,S11_DT105!$B$6:$F$101,5,0)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VLOOKUP($B45,S11_DT105!$B$6:$F$101,5,0)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69" t="s">
        <v>42</v>
      </c>
      <c r="D51" s="869" t="s">
        <v>20</v>
      </c>
      <c r="E51" s="869" t="s">
        <v>80</v>
      </c>
      <c r="F51" s="869" t="s">
        <v>17</v>
      </c>
      <c r="G51" s="869"/>
      <c r="H51" s="869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69"/>
      <c r="D52" s="869"/>
      <c r="E52" s="869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S08_DT105!#REF!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VLOOKUP($B54,S11_DT105!$B$6:$F$101,5,0)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VLOOKUP($B55,S11_DT105!$B$6:$F$101,5,0)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VLOOKUP($B56,S11_DT105!$B$6:$F$101,5,0)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VLOOKUP($B57,S11_DT105!$B$6:$F$101,5,0)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VLOOKUP($B60,S11_DT105!$B$6:$F$101,5,0)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VLOOKUP($B62,S11_DT105!$B$6:$F$101,5,0)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69" t="s">
        <v>42</v>
      </c>
      <c r="D68" s="869" t="s">
        <v>20</v>
      </c>
      <c r="E68" s="869" t="s">
        <v>80</v>
      </c>
      <c r="F68" s="869" t="s">
        <v>17</v>
      </c>
      <c r="G68" s="869"/>
      <c r="H68" s="869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69"/>
      <c r="D69" s="869"/>
      <c r="E69" s="869"/>
      <c r="F69" s="414" t="s">
        <v>59</v>
      </c>
      <c r="G69" s="414" t="s">
        <v>25</v>
      </c>
      <c r="H69" s="414" t="s">
        <v>81</v>
      </c>
      <c r="J69" s="519">
        <f>S08_DT105!D14</f>
        <v>267</v>
      </c>
      <c r="K69" s="519">
        <f>S08_DT105!E14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VLOOKUP($B72,S11_DT105!$B$6:$F$101,5,0)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VLOOKUP($B74,S11_DT105!$B$6:$F$101,5,0)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69" t="s">
        <v>42</v>
      </c>
      <c r="D82" s="869" t="s">
        <v>20</v>
      </c>
      <c r="E82" s="869" t="s">
        <v>80</v>
      </c>
      <c r="F82" s="869" t="s">
        <v>17</v>
      </c>
      <c r="G82" s="869"/>
      <c r="H82" s="869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69"/>
      <c r="D83" s="869"/>
      <c r="E83" s="869"/>
      <c r="F83" s="414" t="s">
        <v>59</v>
      </c>
      <c r="G83" s="414" t="s">
        <v>25</v>
      </c>
      <c r="H83" s="414" t="s">
        <v>81</v>
      </c>
      <c r="J83" s="546">
        <f>S08_DT105!D15</f>
        <v>2.4699999999999998</v>
      </c>
      <c r="K83" s="546">
        <f>S08_DT105!E15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VLOOKUP($B85,S11_DT105!$B$6:$F$101,5,0)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VLOOKUP($B86,S11_DT105!$B$6:$F$101,5,0)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VLOOKUP($B87,S11_DT105!$B$6:$F$101,5,0)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VLOOKUP($B90,S11_DT105!$B$6:$F$101,5,0)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VLOOKUP($B92,S11_DT105!$B$6:$F$101,5,0)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69" t="s">
        <v>42</v>
      </c>
      <c r="D100" s="869" t="s">
        <v>20</v>
      </c>
      <c r="E100" s="869" t="s">
        <v>80</v>
      </c>
      <c r="F100" s="869" t="s">
        <v>17</v>
      </c>
      <c r="G100" s="869"/>
      <c r="H100" s="869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69"/>
      <c r="D101" s="869"/>
      <c r="E101" s="869"/>
      <c r="F101" s="414" t="s">
        <v>59</v>
      </c>
      <c r="G101" s="414" t="s">
        <v>25</v>
      </c>
      <c r="H101" s="414" t="s">
        <v>81</v>
      </c>
      <c r="J101" s="547">
        <f>S08_DT105!D16</f>
        <v>0</v>
      </c>
      <c r="K101" s="547">
        <f>S08_DT105!E16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VLOOKUP($B103,S11_DT105!$B$6:$F$101,5,0)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VLOOKUP($B104,S11_DT105!$B$6:$F$101,5,0)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VLOOKUP($B105,S11_DT105!$B$6:$F$101,5,0)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VLOOKUP($B108,S11_DT105!$B$6:$F$101,5,0)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VLOOKUP($B110,S11_DT105!$B$6:$F$101,5,0)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69" t="s">
        <v>42</v>
      </c>
      <c r="D116" s="869" t="s">
        <v>20</v>
      </c>
      <c r="E116" s="869" t="s">
        <v>80</v>
      </c>
      <c r="F116" s="869" t="s">
        <v>17</v>
      </c>
      <c r="G116" s="869"/>
      <c r="H116" s="869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69"/>
      <c r="D117" s="869"/>
      <c r="E117" s="869"/>
      <c r="F117" s="414" t="s">
        <v>59</v>
      </c>
      <c r="G117" s="414" t="s">
        <v>25</v>
      </c>
      <c r="H117" s="414" t="s">
        <v>81</v>
      </c>
      <c r="J117" s="548">
        <f>S08_DT105!D17</f>
        <v>20.02</v>
      </c>
      <c r="K117" s="548">
        <f>S08_DT105!E17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VLOOKUP($B119,S11_DT105!$B$6:$F$101,5,0)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VLOOKUP($B120,S11_DT105!$B$6:$F$101,5,0)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VLOOKUP($B121,S11_DT105!$B$6:$F$101,5,0)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VLOOKUP($B124,S11_DT105!$B$6:$F$101,5,0)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VLOOKUP($B126,S11_DT105!$B$6:$F$101,5,0)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S08_DT105!D18</f>
        <v>0</v>
      </c>
      <c r="K133" s="552">
        <f>S08_DT105!E18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VLOOKUP($B135,S11_DT105!$B$6:$F$101,5,0)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VLOOKUP($B136,S11_DT105!$B$6:$F$101,5,0)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VLOOKUP($B137,S11_DT105!$B$6:$F$101,5,0)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VLOOKUP($B138,S11_DT105!$B$6:$F$101,5,0)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VLOOKUP($B139,S11_DT105!$B$6:$F$101,5,0)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VLOOKUP($B142,S11_DT105!$B$6:$F$101,5,0)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VLOOKUP($B144,S11_DT105!$B$6:$F$101,5,0)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1" t="s">
        <v>435</v>
      </c>
      <c r="B1" s="882"/>
      <c r="C1" s="882"/>
      <c r="D1" s="882"/>
      <c r="E1" s="882"/>
      <c r="F1" s="882"/>
      <c r="G1" s="882"/>
      <c r="H1" s="882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70" t="s">
        <v>43</v>
      </c>
      <c r="C5" s="872" t="s">
        <v>42</v>
      </c>
      <c r="D5" s="872" t="s">
        <v>20</v>
      </c>
      <c r="E5" s="874" t="s">
        <v>80</v>
      </c>
      <c r="F5" s="869" t="s">
        <v>17</v>
      </c>
      <c r="G5" s="869"/>
      <c r="H5" s="869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1"/>
      <c r="C6" s="873"/>
      <c r="D6" s="873"/>
      <c r="E6" s="875"/>
      <c r="F6" s="413" t="s">
        <v>59</v>
      </c>
      <c r="G6" s="413" t="s">
        <v>25</v>
      </c>
      <c r="H6" s="413" t="s">
        <v>81</v>
      </c>
      <c r="J6" s="519">
        <v>0</v>
      </c>
      <c r="K6" s="539" t="e">
        <f>S08_DT105!E19+S08_DT105!#REF!+S08_DT105!#REF!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S11_DT105!F11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6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6"/>
      <c r="C13" s="876"/>
      <c r="D13" s="876"/>
      <c r="E13" s="876"/>
      <c r="F13" s="876"/>
      <c r="G13" s="876"/>
      <c r="H13" s="876"/>
    </row>
    <row r="14" spans="1:21" ht="19.5" customHeight="1">
      <c r="A14" s="876" t="str" cm="1">
        <f t="array" aca="1" ref="A14" ca="1">"Số hiệu định mức: 030.0100."&amp;INDIRECT(ADDRESS(ROW(L17),COLUMN(L17)+L17,1,1))</f>
        <v>Số hiệu định mức: 030.0100.1</v>
      </c>
      <c r="B14" s="876"/>
      <c r="C14" s="876"/>
      <c r="D14" s="876"/>
      <c r="E14" s="876"/>
      <c r="F14" s="876"/>
      <c r="G14" s="876"/>
      <c r="H14" s="876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7" t="s">
        <v>18</v>
      </c>
      <c r="B16" s="877" t="s">
        <v>43</v>
      </c>
      <c r="C16" s="878" t="s">
        <v>42</v>
      </c>
      <c r="D16" s="878" t="s">
        <v>22</v>
      </c>
      <c r="E16" s="878" t="s">
        <v>237</v>
      </c>
      <c r="F16" s="879" t="s">
        <v>45</v>
      </c>
      <c r="G16" s="879"/>
      <c r="H16" s="879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7"/>
      <c r="B17" s="877"/>
      <c r="C17" s="878"/>
      <c r="D17" s="878"/>
      <c r="E17" s="878"/>
      <c r="F17" s="105" t="s">
        <v>59</v>
      </c>
      <c r="G17" s="105" t="s">
        <v>25</v>
      </c>
      <c r="H17" s="105" t="s">
        <v>81</v>
      </c>
      <c r="J17" s="183">
        <f>S08_DT105!D20</f>
        <v>6.65</v>
      </c>
      <c r="K17" s="183">
        <f>S08_DT105!E20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VLOOKUP($B19,S11_DT105!$B$81:$F$101,5,0)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VLOOKUP($B20,S11_DT105!$B$81:$F$101,5,0)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VLOOKUP($B21,S11_DT105!$B$81:$F$101,5,0)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VLOOKUP($B22,S11_DT105!$B$81:$F$101,5,0)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VLOOKUP($B23,S11_DT105!$B$81:$F$101,5,0)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VLOOKUP($B24,S11_DT105!$B$81:$F$101,5,0)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VLOOKUP($B25,S11_DT105!$B$81:$F$101,5,0)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VLOOKUP($B28,S11_DT105!$B$6:$F$101,5,0)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VLOOKUP($B30,S11_DT105!$B$6:$F$101,5,0)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VLOOKUP($B31,S11_DT105!$B$6:$F$101,5,0)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VLOOKUP($B32,S11_DT105!$B$6:$F$101,5,0)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VLOOKUP($B33,S11_DT105!$B$6:$F$101,5,0)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6" t="str">
        <f>"Dò tìm bom mìn, vật nổ dưới nước từ 0,5m - 3m cho 1 ha. Nước sâu "&amp;L57</f>
        <v>Dò tìm bom mìn, vật nổ dưới nước từ 0,5m - 3m cho 1 ha. Nước sâu 0,5 ÷ 12m</v>
      </c>
      <c r="B36" s="876"/>
      <c r="C36" s="876"/>
      <c r="D36" s="876"/>
      <c r="E36" s="876"/>
      <c r="F36" s="876"/>
      <c r="G36" s="876"/>
      <c r="H36" s="876"/>
    </row>
    <row r="37" spans="1:17" ht="19.5" customHeight="1">
      <c r="A37" s="876" t="str" cm="1">
        <f t="array" aca="1" ref="A37" ca="1">"Số hiệu định mức: 030.0200."&amp;INDIRECT(ADDRESS(ROW(L40),COLUMN(L40)+L40,1,1))</f>
        <v>Số hiệu định mức: 030.0200.1</v>
      </c>
      <c r="B37" s="876"/>
      <c r="C37" s="876"/>
      <c r="D37" s="876"/>
      <c r="E37" s="876"/>
      <c r="F37" s="876"/>
      <c r="G37" s="876"/>
      <c r="H37" s="876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7" t="s">
        <v>18</v>
      </c>
      <c r="B39" s="877" t="s">
        <v>43</v>
      </c>
      <c r="C39" s="878" t="s">
        <v>42</v>
      </c>
      <c r="D39" s="878" t="s">
        <v>22</v>
      </c>
      <c r="E39" s="878" t="s">
        <v>237</v>
      </c>
      <c r="F39" s="879" t="s">
        <v>45</v>
      </c>
      <c r="G39" s="879"/>
      <c r="H39" s="879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7"/>
      <c r="B40" s="877"/>
      <c r="C40" s="878"/>
      <c r="D40" s="878"/>
      <c r="E40" s="878"/>
      <c r="F40" s="105" t="s">
        <v>59</v>
      </c>
      <c r="G40" s="105" t="s">
        <v>25</v>
      </c>
      <c r="H40" s="105" t="s">
        <v>81</v>
      </c>
      <c r="J40" s="184">
        <f>S08_DT105!D21</f>
        <v>6.58</v>
      </c>
      <c r="K40" s="184">
        <f>S08_DT105!E21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VLOOKUP($B42,S11_DT105!$B$81:$F$101,5,0)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VLOOKUP($B43,S11_DT105!$B$81:$F$101,5,0)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VLOOKUP($B44,S11_DT105!$B$81:$F$101,5,0)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VLOOKUP($B45,S11_DT105!$B$81:$F$101,5,0)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VLOOKUP($B46,S11_DT105!$B$81:$F$101,5,0)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VLOOKUP($B47,S11_DT105!$B$81:$F$101,5,0)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VLOOKUP($B48,S11_DT105!$B$81:$F$101,5,0)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VLOOKUP($B51,S11_DT105!$B$6:$F$101,5,0)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VLOOKUP($B53,S11_DT105!$B$6:$F$101,5,0)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VLOOKUP($B54,S11_DT105!$B$6:$F$101,5,0)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VLOOKUP($B55,S11_DT105!$B$6:$F$101,5,0)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VLOOKUP($B56,S11_DT105!$B$6:$F$101,5,0)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0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0"/>
      <c r="C58" s="880"/>
      <c r="D58" s="880"/>
      <c r="E58" s="880"/>
      <c r="F58" s="880"/>
      <c r="G58" s="880"/>
      <c r="H58" s="880"/>
      <c r="M58" s="556" t="s">
        <v>267</v>
      </c>
    </row>
    <row r="59" spans="1:17" ht="19.5" customHeight="1">
      <c r="A59" s="876" t="str" cm="1">
        <f t="array" aca="1" ref="A59" ca="1">"Số hiệu định mức: 030.0300."&amp;INDIRECT(ADDRESS(ROW(L62),COLUMN(L62)+L62,1,1))</f>
        <v>Số hiệu định mức: 030.0300.1</v>
      </c>
      <c r="B59" s="876"/>
      <c r="C59" s="876"/>
      <c r="D59" s="876"/>
      <c r="E59" s="876"/>
      <c r="F59" s="876"/>
      <c r="G59" s="876"/>
      <c r="H59" s="876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7" t="s">
        <v>18</v>
      </c>
      <c r="B61" s="877" t="s">
        <v>43</v>
      </c>
      <c r="C61" s="878" t="s">
        <v>42</v>
      </c>
      <c r="D61" s="878" t="s">
        <v>22</v>
      </c>
      <c r="E61" s="878" t="s">
        <v>237</v>
      </c>
      <c r="F61" s="879" t="s">
        <v>45</v>
      </c>
      <c r="G61" s="879"/>
      <c r="H61" s="879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7"/>
      <c r="B62" s="877"/>
      <c r="C62" s="878"/>
      <c r="D62" s="878"/>
      <c r="E62" s="878"/>
      <c r="F62" s="105" t="s">
        <v>59</v>
      </c>
      <c r="G62" s="105" t="s">
        <v>25</v>
      </c>
      <c r="H62" s="105" t="s">
        <v>81</v>
      </c>
      <c r="J62" s="185">
        <f>S08_DT105!D22</f>
        <v>141</v>
      </c>
      <c r="K62" s="185">
        <f>S08_DT105!E22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VLOOKUP($B64,S11_DT105!$B$81:$F$101,5,0)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VLOOKUP($B65,S11_DT105!$B$81:$F$101,5,0)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VLOOKUP($B66,S11_DT105!$B$81:$F$101,5,0)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VLOOKUP($B67,S11_DT105!$B$81:$F$101,5,0)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VLOOKUP($B70,S11_DT105!$B$6:$F$101,5,0)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VLOOKUP($B72,S11_DT105!$B$6:$F$101,5,0)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VLOOKUP($B73,S11_DT105!$B$6:$F$101,5,0)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6" t="str">
        <f>"Lặn xử lý tín hiệu đến độ sâu 0,5m. Nước sâu "&amp;L88</f>
        <v>Lặn xử lý tín hiệu đến độ sâu 0,5m. Nước sâu 0,5 ÷ 12m</v>
      </c>
      <c r="B76" s="876"/>
      <c r="C76" s="876"/>
      <c r="D76" s="876"/>
      <c r="E76" s="876"/>
      <c r="F76" s="876"/>
      <c r="G76" s="876"/>
      <c r="H76" s="876"/>
    </row>
    <row r="77" spans="1:17" ht="19.5" customHeight="1">
      <c r="A77" s="876" t="str" cm="1">
        <f t="array" aca="1" ref="A77" ca="1">"Số hiệu định mức: 030.0400."&amp;INDIRECT(ADDRESS(ROW(L80),COLUMN(L80)+L80,1,1))</f>
        <v>Số hiệu định mức: 030.0400.1</v>
      </c>
      <c r="B77" s="876"/>
      <c r="C77" s="876"/>
      <c r="D77" s="876"/>
      <c r="E77" s="876"/>
      <c r="F77" s="876"/>
      <c r="G77" s="876"/>
      <c r="H77" s="876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7" t="s">
        <v>18</v>
      </c>
      <c r="B79" s="877" t="s">
        <v>43</v>
      </c>
      <c r="C79" s="878" t="s">
        <v>42</v>
      </c>
      <c r="D79" s="878" t="s">
        <v>22</v>
      </c>
      <c r="E79" s="878" t="s">
        <v>237</v>
      </c>
      <c r="F79" s="879" t="s">
        <v>17</v>
      </c>
      <c r="G79" s="879"/>
      <c r="H79" s="879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7"/>
      <c r="B80" s="877"/>
      <c r="C80" s="878"/>
      <c r="D80" s="878"/>
      <c r="E80" s="878"/>
      <c r="F80" s="105" t="s">
        <v>59</v>
      </c>
      <c r="G80" s="105" t="s">
        <v>25</v>
      </c>
      <c r="H80" s="105" t="s">
        <v>81</v>
      </c>
      <c r="J80" s="185">
        <f>S08_DT105!D23</f>
        <v>133</v>
      </c>
      <c r="K80" s="185">
        <f>S08_DT105!E23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VLOOKUP($B83,S11_DT105!$B$6:$F$101,5,0)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VLOOKUP($B85,S11_DT105!$B$6:$F$101,5,0)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VLOOKUP($B86,S11_DT105!$B$6:$F$101,5,0)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VLOOKUP($B87,S11_DT105!$B$6:$F$101,5,0)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6" t="str">
        <f>"Lặn xử lý tín hiệu nằm từ độ sâu 0,5m-1m. Nước sâu "&amp;L103</f>
        <v>Lặn xử lý tín hiệu nằm từ độ sâu 0,5m-1m. Nước sâu 0,5 ÷ 12m</v>
      </c>
      <c r="B89" s="876"/>
      <c r="C89" s="876"/>
      <c r="D89" s="876"/>
      <c r="E89" s="876"/>
      <c r="F89" s="876"/>
      <c r="G89" s="876"/>
      <c r="H89" s="876"/>
    </row>
    <row r="90" spans="1:17" ht="19.5" customHeight="1">
      <c r="A90" s="876" t="str" cm="1">
        <f t="array" aca="1" ref="A90" ca="1">"Số hiệu định mức: 030.0500."&amp;INDIRECT(ADDRESS(ROW(L93),COLUMN(L93)+L93,1,1))</f>
        <v>Số hiệu định mức: 030.0500.1</v>
      </c>
      <c r="B90" s="876"/>
      <c r="C90" s="876"/>
      <c r="D90" s="876"/>
      <c r="E90" s="876"/>
      <c r="F90" s="876"/>
      <c r="G90" s="876"/>
      <c r="H90" s="876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7" t="s">
        <v>18</v>
      </c>
      <c r="B92" s="877" t="s">
        <v>43</v>
      </c>
      <c r="C92" s="878" t="s">
        <v>42</v>
      </c>
      <c r="D92" s="878" t="s">
        <v>22</v>
      </c>
      <c r="E92" s="878" t="s">
        <v>237</v>
      </c>
      <c r="F92" s="879" t="s">
        <v>45</v>
      </c>
      <c r="G92" s="879"/>
      <c r="H92" s="879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7"/>
      <c r="B93" s="877"/>
      <c r="C93" s="878"/>
      <c r="D93" s="878"/>
      <c r="E93" s="878"/>
      <c r="F93" s="105" t="s">
        <v>59</v>
      </c>
      <c r="G93" s="105" t="s">
        <v>25</v>
      </c>
      <c r="H93" s="105" t="s">
        <v>81</v>
      </c>
      <c r="J93" s="186">
        <f>S08_DT105!D24</f>
        <v>7</v>
      </c>
      <c r="K93" s="186">
        <f>S08_DT105!E24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VLOOKUP($B96,S11_DT105!$B$6:$F$101,5,0)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VLOOKUP($B98,S11_DT105!$B$6:$F$101,5,0)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VLOOKUP($B99,S11_DT105!$B$6:$F$101,5,0)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VLOOKUP($B100,S11_DT105!$B$6:$F$101,5,0)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VLOOKUP($B101,S11_DT105!$B$6:$F$101,5,0)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VLOOKUP($B102,S11_DT105!$B$6:$F$101,5,0)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6" t="str">
        <f>"Lặn xử lý tín hiệu nằm từ độ sâu 1m-3m. Nước sâu "&amp;L121</f>
        <v>Lặn xử lý tín hiệu nằm từ độ sâu 1m-3m. Nước sâu 0,5 ÷ 12m</v>
      </c>
      <c r="B106" s="876"/>
      <c r="C106" s="876"/>
      <c r="D106" s="876"/>
      <c r="E106" s="876"/>
      <c r="F106" s="876"/>
      <c r="G106" s="876"/>
      <c r="H106" s="876"/>
    </row>
    <row r="107" spans="1:17" ht="19.5" customHeight="1">
      <c r="A107" s="876" t="str" cm="1">
        <f t="array" aca="1" ref="A107" ca="1">"Số hiệu định mức: 030.0600."&amp;INDIRECT(ADDRESS(ROW(L110),COLUMN(L110)+L110,1,1))</f>
        <v>Số hiệu định mức: 030.0600.1</v>
      </c>
      <c r="B107" s="876"/>
      <c r="C107" s="876"/>
      <c r="D107" s="876"/>
      <c r="E107" s="876"/>
      <c r="F107" s="876"/>
      <c r="G107" s="876"/>
      <c r="H107" s="876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7" t="s">
        <v>18</v>
      </c>
      <c r="B109" s="877" t="s">
        <v>43</v>
      </c>
      <c r="C109" s="878" t="s">
        <v>42</v>
      </c>
      <c r="D109" s="878" t="s">
        <v>22</v>
      </c>
      <c r="E109" s="878" t="s">
        <v>237</v>
      </c>
      <c r="F109" s="879" t="s">
        <v>45</v>
      </c>
      <c r="G109" s="879"/>
      <c r="H109" s="879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7"/>
      <c r="B110" s="877"/>
      <c r="C110" s="878"/>
      <c r="D110" s="878"/>
      <c r="E110" s="878"/>
      <c r="F110" s="105" t="s">
        <v>59</v>
      </c>
      <c r="G110" s="105" t="s">
        <v>25</v>
      </c>
      <c r="H110" s="105" t="s">
        <v>81</v>
      </c>
      <c r="J110" s="185">
        <f>S08_DT105!D25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VLOOKUP($B112,S11_DT105!$B$81:$F$101,5,0)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VLOOKUP($B114,S11_DT105!$B$6:$F$101,5,0)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VLOOKUP($B116,S11_DT105!$B$6:$F$101,5,0)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VLOOKUP($B117,S11_DT105!$B$6:$F$101,5,0)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VLOOKUP($B118,S11_DT105!$B$6:$F$101,5,0)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VLOOKUP($B119,S11_DT105!$B$6:$F$101,5,0)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VLOOKUP($B120,S11_DT105!$B$6:$F$101,5,0)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6" t="str">
        <f>"Lặn xử lý tín hiệu nằm từ độ sâu 1m-5m. Nước sâu "&amp;L138</f>
        <v>Lặn xử lý tín hiệu nằm từ độ sâu 1m-5m. Nước sâu Không có</v>
      </c>
      <c r="B123" s="876"/>
      <c r="C123" s="876"/>
      <c r="D123" s="876"/>
      <c r="E123" s="876"/>
      <c r="F123" s="876"/>
      <c r="G123" s="876"/>
      <c r="H123" s="876"/>
    </row>
    <row r="124" spans="1:17" hidden="1" outlineLevel="1">
      <c r="A124" s="876" t="str" cm="1">
        <f t="array" aca="1" ref="A124" ca="1">"Số hiệu định mức: 030.0700."&amp;INDIRECT(ADDRESS(ROW(L127),COLUMN(L127)+L127,1,1))</f>
        <v>Số hiệu định mức: 030.0700.4</v>
      </c>
      <c r="B124" s="876"/>
      <c r="C124" s="876"/>
      <c r="D124" s="876"/>
      <c r="E124" s="876"/>
      <c r="F124" s="876"/>
      <c r="G124" s="876"/>
      <c r="H124" s="876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7" t="s">
        <v>18</v>
      </c>
      <c r="B126" s="877" t="s">
        <v>43</v>
      </c>
      <c r="C126" s="878" t="s">
        <v>42</v>
      </c>
      <c r="D126" s="878" t="s">
        <v>22</v>
      </c>
      <c r="E126" s="878" t="s">
        <v>237</v>
      </c>
      <c r="F126" s="879" t="s">
        <v>45</v>
      </c>
      <c r="G126" s="879"/>
      <c r="H126" s="879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7"/>
      <c r="B127" s="877"/>
      <c r="C127" s="878"/>
      <c r="D127" s="878"/>
      <c r="E127" s="878"/>
      <c r="F127" s="105" t="s">
        <v>59</v>
      </c>
      <c r="G127" s="105" t="s">
        <v>25</v>
      </c>
      <c r="H127" s="105" t="s">
        <v>81</v>
      </c>
      <c r="J127" s="185"/>
      <c r="K127" s="185">
        <f>S08_DT105!E25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VLOOKUP($B129,S11_DT105!$B$81:$F$101,5,0)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VLOOKUP($B131,S11_DT105!$B$6:$F$101,5,0)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VLOOKUP($B133,S11_DT105!$B$6:$F$101,5,0)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VLOOKUP($B134,S11_DT105!$B$6:$F$101,5,0)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VLOOKUP($B135,S11_DT105!$B$6:$F$101,5,0)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VLOOKUP($B136,S11_DT105!$B$6:$F$101,5,0)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VLOOKUP($B137,S11_DT105!$B$6:$F$101,5,0)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S06_DT105!$G$10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1" t="s">
        <v>286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</row>
    <row r="3" spans="1:18">
      <c r="A3" s="902" t="s">
        <v>358</v>
      </c>
      <c r="B3" s="903"/>
      <c r="C3" s="903"/>
      <c r="D3" s="903"/>
      <c r="E3" s="903"/>
      <c r="F3" s="903"/>
      <c r="G3" s="903"/>
      <c r="H3" s="903"/>
      <c r="I3" s="903"/>
      <c r="J3" s="903"/>
      <c r="K3" s="903"/>
      <c r="L3" s="903"/>
      <c r="M3" s="903"/>
      <c r="N3" s="903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S06_DT105!E16</f>
        <v>998575387.25788343</v>
      </c>
      <c r="Q5" s="235">
        <f>S06_DT105!E16</f>
        <v>998575387.25788343</v>
      </c>
    </row>
    <row r="6" spans="1:18">
      <c r="A6" s="904" t="s">
        <v>0</v>
      </c>
      <c r="B6" s="905" t="s">
        <v>222</v>
      </c>
      <c r="C6" s="95" t="s">
        <v>18</v>
      </c>
      <c r="D6" s="905" t="s">
        <v>230</v>
      </c>
      <c r="E6" s="905"/>
      <c r="F6" s="905"/>
      <c r="G6" s="905"/>
      <c r="H6" s="905"/>
      <c r="I6" s="905"/>
      <c r="J6" s="905"/>
      <c r="K6" s="905"/>
      <c r="L6" s="905"/>
      <c r="M6" s="905"/>
      <c r="N6" s="905"/>
      <c r="O6" s="201"/>
      <c r="P6" s="201"/>
    </row>
    <row r="7" spans="1:18">
      <c r="A7" s="904"/>
      <c r="B7" s="905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900" t="s">
        <v>287</v>
      </c>
      <c r="B15" s="900"/>
      <c r="C15" s="900"/>
      <c r="D15" s="900"/>
      <c r="E15" s="900"/>
      <c r="F15" s="900"/>
      <c r="G15" s="900"/>
      <c r="H15" s="900"/>
    </row>
    <row r="16" spans="1:18">
      <c r="A16" s="897" t="s">
        <v>357</v>
      </c>
      <c r="B16" s="897"/>
      <c r="C16" s="897"/>
      <c r="D16" s="897"/>
      <c r="E16" s="897"/>
      <c r="F16" s="897"/>
      <c r="G16" s="897"/>
      <c r="H16" s="897"/>
    </row>
    <row r="17" spans="1:13">
      <c r="A17" s="898" t="s">
        <v>224</v>
      </c>
      <c r="B17" s="898"/>
      <c r="C17" s="898"/>
      <c r="D17" s="898"/>
      <c r="E17" s="898"/>
      <c r="F17" s="898"/>
      <c r="G17" s="898"/>
      <c r="H17" s="898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9" t="s">
        <v>0</v>
      </c>
      <c r="B19" s="899" t="s">
        <v>222</v>
      </c>
      <c r="C19" s="190"/>
      <c r="D19" s="890" t="s">
        <v>221</v>
      </c>
      <c r="E19" s="890"/>
      <c r="F19" s="890"/>
      <c r="G19" s="890"/>
      <c r="H19" s="890"/>
      <c r="I19" s="175" t="s">
        <v>278</v>
      </c>
      <c r="J19" s="896">
        <f>IF(S06_DT105!$E$13&lt;15*10^9,15*10^9,S06_DT105!$E$13)</f>
        <v>15000000000</v>
      </c>
      <c r="K19" s="896"/>
      <c r="L19" s="889">
        <f>S06_DT105!E13</f>
        <v>839151026.70680892</v>
      </c>
      <c r="M19" s="889"/>
    </row>
    <row r="20" spans="1:13" ht="16.8">
      <c r="A20" s="899"/>
      <c r="B20" s="899"/>
      <c r="C20" s="190"/>
      <c r="D20" s="890" t="s">
        <v>220</v>
      </c>
      <c r="E20" s="890"/>
      <c r="F20" s="890"/>
      <c r="G20" s="890"/>
      <c r="H20" s="890"/>
      <c r="I20" s="80" t="s">
        <v>277</v>
      </c>
      <c r="J20" s="891" t="e">
        <f>I22</f>
        <v>#REF!</v>
      </c>
      <c r="K20" s="892"/>
    </row>
    <row r="21" spans="1:13">
      <c r="A21" s="899"/>
      <c r="B21" s="899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VLOOKUP(S06_DT105!$G$19,$B$22:$C$23,2,FALSE)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3" t="s">
        <v>0</v>
      </c>
      <c r="B28" s="893" t="s">
        <v>216</v>
      </c>
      <c r="C28" s="894" t="s">
        <v>18</v>
      </c>
      <c r="D28" s="893" t="s">
        <v>215</v>
      </c>
      <c r="E28" s="893"/>
      <c r="F28" s="893" t="s">
        <v>214</v>
      </c>
    </row>
    <row r="29" spans="1:13" ht="34.200000000000003">
      <c r="A29" s="893"/>
      <c r="B29" s="893"/>
      <c r="C29" s="895"/>
      <c r="D29" s="195" t="s">
        <v>285</v>
      </c>
      <c r="E29" s="195" t="s">
        <v>213</v>
      </c>
      <c r="F29" s="893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VLOOKUP(S06_DT105!#REF!,$B$31:$C$38,2,FALSE)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9">
        <f>IF(S06_DT105!E16&lt;1*10^9,1*10^9,S06_DT105!E16)</f>
        <v>1000000000</v>
      </c>
      <c r="F42" s="889"/>
      <c r="G42" s="235">
        <f>S06_DT105!E16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IFERROR(VLOOKUP(S06_DT105!$G$23,$B$53:$C$54,2,FALSE),0)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8" t="s">
        <v>399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919"/>
      <c r="V1" s="600"/>
      <c r="W1" s="600"/>
      <c r="X1" s="600"/>
    </row>
    <row r="2" spans="1:24" s="601" customFormat="1" ht="24" customHeight="1">
      <c r="A2" s="920" t="str">
        <f>S01_DT105!C2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  <c r="T2" s="921"/>
      <c r="U2" s="921"/>
    </row>
    <row r="3" spans="1:24" s="601" customFormat="1" ht="24.75" customHeight="1">
      <c r="A3" s="920" t="str">
        <f>S01_DT105!C4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  <c r="T3" s="921"/>
      <c r="U3" s="921"/>
    </row>
    <row r="4" spans="1:24" s="32" customFormat="1" ht="33.6" hidden="1" customHeight="1">
      <c r="A4" s="921" t="s">
        <v>197</v>
      </c>
      <c r="B4" s="921"/>
      <c r="C4" s="921"/>
      <c r="D4" s="921"/>
      <c r="E4" s="921"/>
      <c r="F4" s="921"/>
      <c r="G4" s="921"/>
      <c r="H4" s="921"/>
      <c r="I4" s="921"/>
      <c r="J4" s="921"/>
      <c r="K4" s="921"/>
      <c r="L4" s="921"/>
      <c r="M4" s="921"/>
      <c r="N4" s="921"/>
      <c r="O4" s="921"/>
      <c r="P4" s="921"/>
      <c r="Q4" s="921"/>
      <c r="R4" s="921"/>
      <c r="S4" s="921"/>
      <c r="T4" s="921"/>
      <c r="U4" s="921"/>
    </row>
    <row r="5" spans="1:24" ht="28.95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141</v>
      </c>
      <c r="F5" s="923"/>
      <c r="G5" s="908" t="s">
        <v>147</v>
      </c>
      <c r="H5" s="908" t="s">
        <v>148</v>
      </c>
      <c r="I5" s="908" t="s">
        <v>133</v>
      </c>
      <c r="J5" s="908" t="s">
        <v>194</v>
      </c>
      <c r="K5" s="908" t="s">
        <v>241</v>
      </c>
      <c r="L5" s="908" t="s">
        <v>393</v>
      </c>
      <c r="M5" s="908" t="s">
        <v>395</v>
      </c>
      <c r="N5" s="908" t="s">
        <v>394</v>
      </c>
      <c r="O5" s="908" t="s">
        <v>396</v>
      </c>
      <c r="P5" s="924" t="s">
        <v>134</v>
      </c>
      <c r="Q5" s="925"/>
      <c r="R5" s="925"/>
      <c r="S5" s="925"/>
      <c r="T5" s="926"/>
      <c r="U5" s="908" t="s">
        <v>19</v>
      </c>
    </row>
    <row r="6" spans="1:24" ht="49.5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27"/>
      <c r="I6" s="909"/>
      <c r="J6" s="909"/>
      <c r="K6" s="909"/>
      <c r="L6" s="909"/>
      <c r="M6" s="909"/>
      <c r="N6" s="909"/>
      <c r="O6" s="909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9"/>
    </row>
    <row r="7" spans="1:24" s="339" customFormat="1" ht="19.5" customHeight="1">
      <c r="A7" s="915">
        <v>1</v>
      </c>
      <c r="B7" s="91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6"/>
      <c r="B8" s="91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6"/>
      <c r="B9" s="91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7"/>
      <c r="B10" s="91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0" t="s">
        <v>548</v>
      </c>
      <c r="B14" s="910"/>
      <c r="C14" s="910"/>
      <c r="D14" s="910"/>
      <c r="E14" s="910"/>
      <c r="F14" s="910"/>
      <c r="G14" s="47"/>
      <c r="H14" s="203"/>
      <c r="I14" s="48"/>
      <c r="J14" s="49"/>
      <c r="K14" s="49"/>
      <c r="L14" s="911" t="s">
        <v>140</v>
      </c>
      <c r="M14" s="911"/>
      <c r="N14" s="911"/>
      <c r="O14" s="911"/>
      <c r="P14" s="911"/>
      <c r="Q14" s="911"/>
      <c r="R14" s="911"/>
      <c r="S14" s="911"/>
      <c r="T14" s="911"/>
      <c r="U14" s="91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6"/>
      <c r="B18" s="906"/>
      <c r="C18" s="906"/>
      <c r="D18" s="906"/>
      <c r="E18" s="906"/>
      <c r="F18" s="906"/>
      <c r="G18" s="60"/>
      <c r="H18" s="61"/>
      <c r="I18" s="62"/>
      <c r="J18" s="62"/>
      <c r="K18" s="62"/>
      <c r="L18" s="907" t="s">
        <v>550</v>
      </c>
      <c r="M18" s="907"/>
      <c r="N18" s="907"/>
      <c r="O18" s="907"/>
      <c r="P18" s="907"/>
      <c r="Q18" s="907"/>
      <c r="R18" s="907"/>
      <c r="S18" s="907"/>
      <c r="T18" s="907"/>
      <c r="U18" s="907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8" t="s">
        <v>400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</row>
    <row r="2" spans="1:19" ht="36.75" customHeight="1">
      <c r="A2" s="920" t="str">
        <f>S01_DT105!C2</f>
        <v>Dự án: Cải tạo, nâng cấp  trạm bơm Trà Phương 3 tiêu thoát nước cho vùng các khu công nghiệp huyện Kim Động, Ân Thi, Yên Mỹ tỉnh Hưng Yên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1"/>
    </row>
    <row r="3" spans="1:19" ht="24.75" customHeight="1">
      <c r="A3" s="920" t="str">
        <f>S01_DT105!C4</f>
        <v>Địa điểm: Xã Hồng Quang, tỉnh Hưng Yên</v>
      </c>
      <c r="B3" s="921"/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  <c r="O3" s="921"/>
      <c r="P3" s="921"/>
      <c r="Q3" s="921"/>
      <c r="R3" s="921"/>
      <c r="S3" s="921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8" t="s">
        <v>0</v>
      </c>
      <c r="B5" s="908" t="s">
        <v>132</v>
      </c>
      <c r="C5" s="908" t="s">
        <v>145</v>
      </c>
      <c r="D5" s="908" t="s">
        <v>146</v>
      </c>
      <c r="E5" s="922" t="s">
        <v>250</v>
      </c>
      <c r="F5" s="923"/>
      <c r="G5" s="908" t="s">
        <v>249</v>
      </c>
      <c r="H5" s="908" t="s">
        <v>544</v>
      </c>
      <c r="I5" s="908" t="s">
        <v>248</v>
      </c>
      <c r="J5" s="908" t="s">
        <v>247</v>
      </c>
      <c r="K5" s="908" t="s">
        <v>246</v>
      </c>
      <c r="L5" s="908" t="s">
        <v>245</v>
      </c>
      <c r="M5" s="908" t="s">
        <v>344</v>
      </c>
      <c r="N5" s="908" t="s">
        <v>244</v>
      </c>
      <c r="O5" s="930" t="s">
        <v>134</v>
      </c>
      <c r="P5" s="930"/>
      <c r="Q5" s="930"/>
      <c r="R5" s="930"/>
      <c r="S5" s="908" t="s">
        <v>19</v>
      </c>
    </row>
    <row r="6" spans="1:19" ht="60.6" customHeight="1">
      <c r="A6" s="909"/>
      <c r="B6" s="909"/>
      <c r="C6" s="909"/>
      <c r="D6" s="909"/>
      <c r="E6" s="147" t="s">
        <v>142</v>
      </c>
      <c r="F6" s="147" t="s">
        <v>143</v>
      </c>
      <c r="G6" s="909"/>
      <c r="H6" s="909"/>
      <c r="I6" s="909"/>
      <c r="J6" s="909"/>
      <c r="K6" s="909"/>
      <c r="L6" s="909"/>
      <c r="M6" s="909"/>
      <c r="N6" s="909"/>
      <c r="O6" s="148" t="s">
        <v>136</v>
      </c>
      <c r="P6" s="148" t="s">
        <v>137</v>
      </c>
      <c r="Q6" s="148" t="s">
        <v>138</v>
      </c>
      <c r="R6" s="148" t="s">
        <v>243</v>
      </c>
      <c r="S6" s="909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6" t="str">
        <f>S13_DT105!A14</f>
        <v>CÁN BỘ QUẢN LÝ CHẤT LƯỢNG</v>
      </c>
      <c r="B12" s="906"/>
      <c r="C12" s="906"/>
      <c r="D12" s="906"/>
      <c r="E12" s="906"/>
      <c r="F12" s="906"/>
      <c r="G12" s="906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6"/>
      <c r="B17" s="906"/>
      <c r="C17" s="906"/>
      <c r="D17" s="906"/>
      <c r="E17" s="906"/>
      <c r="F17" s="906"/>
      <c r="G17" s="906"/>
      <c r="H17" s="130"/>
      <c r="I17" s="130"/>
      <c r="J17" s="130"/>
      <c r="K17" s="130"/>
      <c r="L17" s="130"/>
      <c r="M17" s="130"/>
      <c r="N17" s="929" t="str">
        <f>S13_DT105!L18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S06_DT105!E10</f>
        <v>12540585.6195888</v>
      </c>
    </row>
    <row r="6" spans="1:16" outlineLevel="1" collapsed="1">
      <c r="A6" s="21">
        <v>1</v>
      </c>
      <c r="B6" s="18" t="str">
        <f>S11_DT105!B81</f>
        <v>Cọc bê tông cốt thép (12x12x120)cm</v>
      </c>
      <c r="C6" s="350" t="str">
        <f>+S11_DT105!E81</f>
        <v>Cái</v>
      </c>
      <c r="D6" s="351">
        <f>+SUMIF(S09_DT105!$B$5:$B$145,$B6,S09_DT105!$J$5:$J$145)+SUMIF(S10_DT105!$B$7:$B$139,$B6,S10_DT105!$J$7:$J$139)</f>
        <v>15.24</v>
      </c>
      <c r="E6" s="351" t="e">
        <f>SUMIF(#REF!,$B6,#REF!)+SUMIF(#REF!,$B6,#REF!)</f>
        <v>#REF!</v>
      </c>
      <c r="F6" s="352">
        <f>VLOOKUP(B6,S11_DT105!$B$80:$F$102,5,0)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S11_DT105!B82</f>
        <v>Cọc gỗ d = 3cm, L= 50 cm</v>
      </c>
      <c r="C7" s="354" t="str">
        <f>+S11_DT105!E82</f>
        <v>Cái</v>
      </c>
      <c r="D7" s="351">
        <f>+SUMIF(S09_DT105!$B$5:$B$145,$B7,S09_DT105!$J$5:$J$145)+SUMIF(S10_DT105!$B$7:$B$139,$B7,S10_DT105!$J$7:$J$139)</f>
        <v>253.03999999999996</v>
      </c>
      <c r="E7" s="355" t="e">
        <f>SUMIF(#REF!,$B7,#REF!)+SUMIF(#REF!,$B7,#REF!)</f>
        <v>#REF!</v>
      </c>
      <c r="F7" s="352">
        <f>VLOOKUP(B7,S11_DT105!$B$80:$F$102,5,0)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S11_DT105!B83</f>
        <v>Cờ đỏ đuôi nheo</v>
      </c>
      <c r="C8" s="354" t="str">
        <f>+S11_DT105!E83</f>
        <v>Cái</v>
      </c>
      <c r="D8" s="351">
        <f>+SUMIF(S09_DT105!$B$5:$B$145,$B8,S09_DT105!$J$5:$J$145)+SUMIF(S10_DT105!$B$7:$B$139,$B8,S10_DT105!$J$7:$J$139)</f>
        <v>7.62</v>
      </c>
      <c r="E8" s="355" t="e">
        <f>SUMIF(#REF!,$B8,#REF!)+SUMIF(#REF!,$B8,#REF!)</f>
        <v>#REF!</v>
      </c>
      <c r="F8" s="352">
        <f>VLOOKUP(B8,S11_DT105!$B$80:$F$102,5,0)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S11_DT105!B84</f>
        <v>Cờ đỏ to ( 40 x 60 ) cm</v>
      </c>
      <c r="C9" s="354" t="str">
        <f>+S11_DT105!E84</f>
        <v>Cái</v>
      </c>
      <c r="D9" s="351">
        <f>+SUMIF(S09_DT105!$B$5:$B$145,$B9,S09_DT105!$J$5:$J$145)+SUMIF(S10_DT105!$B$7:$B$139,$B9,S10_DT105!$J$7:$J$139)</f>
        <v>2.4699999999999998</v>
      </c>
      <c r="E9" s="355" t="e">
        <f>SUMIF(#REF!,$B9,#REF!)+SUMIF(#REF!,$B9,#REF!)</f>
        <v>#REF!</v>
      </c>
      <c r="F9" s="352">
        <f>VLOOKUP(B9,S11_DT105!$B$80:$F$102,5,0)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S11_DT105!B85</f>
        <v>Dây thừng 10 mm</v>
      </c>
      <c r="C10" s="354" t="str">
        <f>+S11_DT105!E85</f>
        <v>m</v>
      </c>
      <c r="D10" s="351">
        <f>+SUMIF(S09_DT105!$B$5:$B$145,$B10,S09_DT105!$J$5:$J$145)+SUMIF(S10_DT105!$B$7:$B$139,$B10,S10_DT105!$J$7:$J$139)</f>
        <v>502.27</v>
      </c>
      <c r="E10" s="355" t="e">
        <f>SUMIF(#REF!,$B10,#REF!)+SUMIF(#REF!,$B10,#REF!)</f>
        <v>#REF!</v>
      </c>
      <c r="F10" s="352">
        <f>VLOOKUP(B10,S11_DT105!$B$80:$F$102,5,0)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S11_DT105!B86</f>
        <v>Cọc tre d=8, L=200 Cm</v>
      </c>
      <c r="C11" s="354" t="str">
        <f>+S11_DT105!E86</f>
        <v>Cái</v>
      </c>
      <c r="D11" s="351">
        <f>+SUMIF(S09_DT105!$B$5:$B$145,$B11,S09_DT105!$J$5:$J$145)+SUMIF(S10_DT105!$B$7:$B$139,$B11,S10_DT105!$J$7:$J$139)</f>
        <v>4.0040000000000004</v>
      </c>
      <c r="E11" s="355" t="e">
        <f>SUMIF(#REF!,$B11,#REF!)+SUMIF(#REF!,$B11,#REF!)</f>
        <v>#REF!</v>
      </c>
      <c r="F11" s="352">
        <f>VLOOKUP(B11,S11_DT105!$B$80:$F$102,5,0)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S11_DT105!B87</f>
        <v>Ván gỗ dày 3 Cm</v>
      </c>
      <c r="C12" s="354" t="str">
        <f>+S11_DT105!E87</f>
        <v>m3</v>
      </c>
      <c r="D12" s="351">
        <f>+SUMIF(S09_DT105!$B$5:$B$145,$B12,S09_DT105!$J$5:$J$145)+SUMIF(S10_DT105!$B$7:$B$139,$B12,S10_DT105!$J$7:$J$139)</f>
        <v>8.0079999999999998E-2</v>
      </c>
      <c r="E12" s="355" t="e">
        <f>SUMIF(#REF!,$B12,#REF!)+SUMIF(#REF!,$B12,#REF!)</f>
        <v>#REF!</v>
      </c>
      <c r="F12" s="352">
        <f>VLOOKUP(B12,S11_DT105!$B$80:$F$102,5,0)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S11_DT105!B88</f>
        <v>Đinh 10 cm</v>
      </c>
      <c r="C13" s="354" t="str">
        <f>+S11_DT105!E88</f>
        <v>Kg</v>
      </c>
      <c r="D13" s="351">
        <f>+SUMIF(S09_DT105!$B$5:$B$145,$B13,S09_DT105!$J$5:$J$145)+SUMIF(S10_DT105!$B$7:$B$139,$B13,S10_DT105!$J$7:$J$139)</f>
        <v>3.0029999999999997</v>
      </c>
      <c r="E13" s="355" t="e">
        <f>SUMIF(#REF!,$B13,#REF!)+SUMIF(#REF!,$B13,#REF!)</f>
        <v>#REF!</v>
      </c>
      <c r="F13" s="352">
        <f>VLOOKUP(B13,S11_DT105!$B$80:$F$102,5,0)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S11_DT105!B89</f>
        <v>Đinh 2 mỏ</v>
      </c>
      <c r="C14" s="354" t="str">
        <f>+S11_DT105!E89</f>
        <v>Cái</v>
      </c>
      <c r="D14" s="351">
        <f>+SUMIF(S09_DT105!$B$5:$B$145,$B14,S09_DT105!$J$5:$J$145)+SUMIF(S10_DT105!$B$7:$B$139,$B14,S10_DT105!$J$7:$J$139)</f>
        <v>0</v>
      </c>
      <c r="E14" s="355" t="e">
        <f>SUMIF(#REF!,$B14,#REF!)+SUMIF(#REF!,$B14,#REF!)</f>
        <v>#REF!</v>
      </c>
      <c r="F14" s="352">
        <f>VLOOKUP(B14,S11_DT105!$B$80:$F$102,5,0)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S11_DT105!B90</f>
        <v>Dây thép buộc 2 ly</v>
      </c>
      <c r="C15" s="354" t="str">
        <f>+S11_DT105!E90</f>
        <v>Kg</v>
      </c>
      <c r="D15" s="351">
        <f>+SUMIF(S09_DT105!$B$5:$B$145,$B15,S09_DT105!$J$5:$J$145)+SUMIF(S10_DT105!$B$7:$B$139,$B15,S10_DT105!$J$7:$J$139)</f>
        <v>0</v>
      </c>
      <c r="E15" s="355" t="e">
        <f>SUMIF(#REF!,$B15,#REF!)+SUMIF(#REF!,$B15,#REF!)</f>
        <v>#REF!</v>
      </c>
      <c r="F15" s="352">
        <f>VLOOKUP(B15,S11_DT105!$B$80:$F$102,5,0)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S11_DT105!B91</f>
        <v>Sào tre d=7, L=500 Cm</v>
      </c>
      <c r="C16" s="354" t="str">
        <f>+S11_DT105!E91</f>
        <v>Cái</v>
      </c>
      <c r="D16" s="351">
        <f>+SUMIF(S09_DT105!$B$5:$B$145,$B16,S09_DT105!$J$5:$J$145)+SUMIF(S10_DT105!$B$7:$B$139,$B16,S10_DT105!$J$7:$J$139)</f>
        <v>0</v>
      </c>
      <c r="E16" s="355" t="e">
        <f>SUMIF(#REF!,$B16,#REF!)+SUMIF(#REF!,$B16,#REF!)</f>
        <v>#REF!</v>
      </c>
      <c r="F16" s="352">
        <f>VLOOKUP(B16,S11_DT105!$B$80:$F$102,5,0)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S11_DT105!B92</f>
        <v>Mỏ neo loại 50 kg</v>
      </c>
      <c r="C17" s="354" t="str">
        <f>+S11_DT105!E92</f>
        <v>Cái</v>
      </c>
      <c r="D17" s="351">
        <f>+SUMIF(S09_DT105!$B$5:$B$145,$B17,S09_DT105!$J$5:$J$145)+SUMIF(S10_DT105!$B$7:$B$139,$B17,S10_DT105!$J$7:$J$139)</f>
        <v>0.42336000000000001</v>
      </c>
      <c r="E17" s="355" t="e">
        <f>SUMIF(#REF!,$B17,#REF!)+SUMIF(#REF!,$B17,#REF!)</f>
        <v>#REF!</v>
      </c>
      <c r="F17" s="352">
        <f>VLOOKUP(B17,S11_DT105!$B$80:$F$102,5,0)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S11_DT105!B93</f>
        <v>Mỏ neo loại 20 kg</v>
      </c>
      <c r="C18" s="354" t="str">
        <f>+S11_DT105!E93</f>
        <v>Cái</v>
      </c>
      <c r="D18" s="351">
        <f>+SUMIF(S09_DT105!$B$5:$B$145,$B18,S09_DT105!$J$5:$J$145)+SUMIF(S10_DT105!$B$7:$B$139,$B18,S10_DT105!$J$7:$J$139)</f>
        <v>0.84672000000000003</v>
      </c>
      <c r="E18" s="355" t="e">
        <f>SUMIF(#REF!,$B18,#REF!)+SUMIF(#REF!,$B18,#REF!)</f>
        <v>#REF!</v>
      </c>
      <c r="F18" s="352">
        <f>VLOOKUP(B18,S11_DT105!$B$80:$F$102,5,0)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S11_DT105!B94</f>
        <v>Mỏ neo đặc biệt loại 20kg</v>
      </c>
      <c r="C19" s="354" t="str">
        <f>+S11_DT105!E94</f>
        <v>Cái</v>
      </c>
      <c r="D19" s="351">
        <f>+SUMIF(S09_DT105!$B$5:$B$145,$B19,S09_DT105!$J$5:$J$145)+SUMIF(S10_DT105!$B$7:$B$139,$B19,S10_DT105!$J$7:$J$139)</f>
        <v>0.28200000000000003</v>
      </c>
      <c r="E19" s="355" t="e">
        <f>SUMIF(#REF!,$B19,#REF!)+SUMIF(#REF!,$B19,#REF!)</f>
        <v>#REF!</v>
      </c>
      <c r="F19" s="352">
        <f>VLOOKUP(B19,S11_DT105!$B$80:$F$102,5,0)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S11_DT105!B95</f>
        <v>Phao lớn 1m3</v>
      </c>
      <c r="C20" s="354" t="str">
        <f>+S11_DT105!E95</f>
        <v>Cái</v>
      </c>
      <c r="D20" s="351">
        <f>+SUMIF(S09_DT105!$B$5:$B$145,$B20,S09_DT105!$J$5:$J$145)+SUMIF(S10_DT105!$B$7:$B$139,$B20,S10_DT105!$J$7:$J$139)</f>
        <v>4.2336</v>
      </c>
      <c r="E20" s="355" t="e">
        <f>SUMIF(#REF!,$B20,#REF!)+SUMIF(#REF!,$B20,#REF!)</f>
        <v>#REF!</v>
      </c>
      <c r="F20" s="352">
        <f>VLOOKUP(B20,S11_DT105!$B$80:$F$102,5,0)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S11_DT105!B96</f>
        <v>Phao nhựa tròn phi 30 cm</v>
      </c>
      <c r="C21" s="354" t="str">
        <f>+S11_DT105!E96</f>
        <v>Cái</v>
      </c>
      <c r="D21" s="351">
        <f>+SUMIF(S09_DT105!$B$5:$B$145,$B21,S09_DT105!$J$5:$J$145)+SUMIF(S10_DT105!$B$7:$B$139,$B21,S10_DT105!$J$7:$J$139)</f>
        <v>9.447000000000001</v>
      </c>
      <c r="E21" s="355" t="e">
        <f>SUMIF(#REF!,$B21,#REF!)+SUMIF(#REF!,$B21,#REF!)</f>
        <v>#REF!</v>
      </c>
      <c r="F21" s="352">
        <f>VLOOKUP(B21,S11_DT105!$B$80:$F$102,5,0)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S11_DT105!B97</f>
        <v>Phao nhỏ phi 12 cm</v>
      </c>
      <c r="C22" s="354" t="str">
        <f>+S11_DT105!E97</f>
        <v>Cái</v>
      </c>
      <c r="D22" s="351">
        <f>+SUMIF(S09_DT105!$B$5:$B$145,$B22,S09_DT105!$J$5:$J$145)+SUMIF(S10_DT105!$B$7:$B$139,$B22,S10_DT105!$J$7:$J$139)</f>
        <v>52.92</v>
      </c>
      <c r="E22" s="355" t="e">
        <f>SUMIF(#REF!,$B22,#REF!)+SUMIF(#REF!,$B22,#REF!)</f>
        <v>#REF!</v>
      </c>
      <c r="F22" s="352">
        <f>VLOOKUP(B22,S11_DT105!$B$80:$F$102,5,0)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S11_DT105!B98</f>
        <v>Dây Nilon phi 10mm</v>
      </c>
      <c r="C23" s="354" t="str">
        <f>+S11_DT105!E98</f>
        <v>m</v>
      </c>
      <c r="D23" s="351">
        <f>+SUMIF(S09_DT105!$B$5:$B$145,$B23,S09_DT105!$J$5:$J$145)+SUMIF(S10_DT105!$B$7:$B$139,$B23,S10_DT105!$J$7:$J$139)</f>
        <v>2087.4</v>
      </c>
      <c r="E23" s="355" t="e">
        <f>SUMIF(#REF!,$B23,#REF!)+SUMIF(#REF!,$B23,#REF!)</f>
        <v>#REF!</v>
      </c>
      <c r="F23" s="352">
        <f>VLOOKUP(B23,S11_DT105!$B$80:$F$102,5,0)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S11_DT105!B99</f>
        <v>Dây Nilon phi 12mm</v>
      </c>
      <c r="C24" s="354" t="str">
        <f>+S11_DT105!E99</f>
        <v>m</v>
      </c>
      <c r="D24" s="351">
        <f>+SUMIF(S09_DT105!$B$5:$B$145,$B24,S09_DT105!$J$5:$J$145)+SUMIF(S10_DT105!$B$7:$B$139,$B24,S10_DT105!$J$7:$J$139)</f>
        <v>128.4</v>
      </c>
      <c r="E24" s="355" t="e">
        <f>SUMIF(#REF!,$B24,#REF!)+SUMIF(#REF!,$B24,#REF!)</f>
        <v>#REF!</v>
      </c>
      <c r="F24" s="352">
        <f>VLOOKUP(B24,S11_DT105!$B$80:$F$102,5,0)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S11_DT105!B100</f>
        <v>Dây Nilon phi 18mm</v>
      </c>
      <c r="C25" s="354" t="str">
        <f>+S11_DT105!E100</f>
        <v>m</v>
      </c>
      <c r="D25" s="351">
        <f>+SUMIF(S09_DT105!$B$5:$B$145,$B25,S09_DT105!$J$5:$J$145)+SUMIF(S10_DT105!$B$7:$B$139,$B25,S10_DT105!$J$7:$J$139)</f>
        <v>114.30720000000002</v>
      </c>
      <c r="E25" s="355" t="e">
        <f>SUMIF(#REF!,$B25,#REF!)+SUMIF(#REF!,$B25,#REF!)</f>
        <v>#REF!</v>
      </c>
      <c r="F25" s="352">
        <f>VLOOKUP(B25,S11_DT105!$B$80:$F$102,5,0)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S11_DT105!B101</f>
        <v>Khung gia công bằng tôn 3mm và sắt góc (45x45)mm</v>
      </c>
      <c r="C26" s="354" t="str">
        <f>+S11_DT105!E101</f>
        <v>Kg</v>
      </c>
      <c r="D26" s="351">
        <f>+SUMIF(S09_DT105!$B$5:$B$145,$B26,S09_DT105!$J$5:$J$145)+SUMIF(S10_DT105!$B$7:$B$139,$B26,S10_DT105!$J$7:$J$139)</f>
        <v>24.32</v>
      </c>
      <c r="E26" s="355" t="e">
        <f>SUMIF(#REF!,$B26,#REF!)+SUMIF(#REF!,$B26,#REF!)</f>
        <v>#REF!</v>
      </c>
      <c r="F26" s="352">
        <f>VLOOKUP(B26,S11_DT105!$B$80:$F$102,5,0)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+SUMIF(S09_DT105!$B$5:$B$145,$B27,S09_DT105!$J$5:$J$145)+SUMIF(S10_DT105!$B$7:$B$139,$B27,S10_DT105!$J$7:$J$139)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S06_DT105!E11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+SUMIF(S09_DT105!$B$5:$B$145,$B29,S09_DT105!$J$5:$J$145)+SUMIF(S10_DT105!$B$7:$B$139,$B29,S10_DT105!$J$7:$J$139)</f>
        <v>0</v>
      </c>
      <c r="E29" s="351"/>
      <c r="F29" s="375">
        <f>S11_DT105!F7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SUMIF(S10_DT105!$B$7:$B$139,$B29,S10_DT105!$J$7:$J$139)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+SUMIF(S09_DT105!$B$5:$B$145,$B30,S09_DT105!$J$5:$J$145)+SUMIF(S10_DT105!$B$7:$B$139,$B30,S10_DT105!$J$7:$J$139)</f>
        <v>501.64378000000011</v>
      </c>
      <c r="E30" s="355"/>
      <c r="F30" s="361">
        <f>S11_DT105!F11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SUMIF(S10_DT105!$B$7:$B$139,$B30,S10_DT105!$J$7:$J$139)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+SUMIF(S09_DT105!$B$5:$B$145,$B31,S09_DT105!$J$5:$J$145)+SUMIF(S10_DT105!$B$7:$B$139,$B31,S10_DT105!$J$7:$J$139)</f>
        <v>38.842799999999997</v>
      </c>
      <c r="E31" s="362"/>
      <c r="F31" s="363">
        <f>S11_DT105!F15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SUMIF(S10_DT105!$B$7:$B$139,$B31,S10_DT105!$J$7:$J$139)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S06_DT105!E12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+SUMIF(S09_DT105!$B$5:$B$145,$B33,S09_DT105!$J$5:$J$145)+SUMIF(S10_DT105!$B$7:$B$139,$B33,S10_DT105!$J$7:$J$139)</f>
        <v>47.819700000000005</v>
      </c>
      <c r="E33" s="365"/>
      <c r="F33" s="366">
        <f>VLOOKUP(B33,S11_DT105!$B$23:$F$77,5,0)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+SUMIF(S09_DT105!$B$5:$B$145,$B34,S09_DT105!$J$5:$J$145)+SUMIF(S10_DT105!$B$7:$B$139,$B34,S10_DT105!$J$7:$J$139)</f>
        <v>11.769159999999999</v>
      </c>
      <c r="E34" s="355"/>
      <c r="F34" s="361">
        <f>VLOOKUP(B34,S11_DT105!$B$23:$F$77,5,0)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+SUMIF(S09_DT105!$B$5:$B$145,$B35,S09_DT105!$J$5:$J$145)+SUMIF(S10_DT105!$B$7:$B$139,$B35,S10_DT105!$J$7:$J$139)</f>
        <v>105.59164</v>
      </c>
      <c r="E35" s="355"/>
      <c r="F35" s="361">
        <f>VLOOKUP(B35,S11_DT105!$B$23:$F$77,5,0)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+SUMIF(S09_DT105!$B$5:$B$145,$B36,S09_DT105!$J$5:$J$145)+SUMIF(S10_DT105!$B$7:$B$139,$B36,S10_DT105!$J$7:$J$139)</f>
        <v>202.49768</v>
      </c>
      <c r="E36" s="355"/>
      <c r="F36" s="361">
        <f>VLOOKUP(B36,S11_DT105!$B$23:$F$77,5,0)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+SUMIF(S09_DT105!$B$5:$B$145,$B37,S09_DT105!$J$5:$J$145)+SUMIF(S10_DT105!$B$7:$B$139,$B37,S10_DT105!$J$7:$J$139)</f>
        <v>103.54344</v>
      </c>
      <c r="E37" s="355"/>
      <c r="F37" s="361">
        <f>VLOOKUP(B37,S11_DT105!$B$23:$F$77,5,0)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+SUMIF(S09_DT105!$B$5:$B$145,$B38,S09_DT105!$J$5:$J$145)+SUMIF(S10_DT105!$B$7:$B$139,$B38,S10_DT105!$J$7:$J$139)</f>
        <v>143.72325000000001</v>
      </c>
      <c r="E38" s="355"/>
      <c r="F38" s="361">
        <f>VLOOKUP(B38,S11_DT105!$B$23:$F$77,5,0)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+SUMIF(S09_DT105!$B$5:$B$145,$B39,S09_DT105!$J$5:$J$145)+SUMIF(S10_DT105!$B$7:$B$139,$B39,S10_DT105!$J$7:$J$139)</f>
        <v>1.1000000000000001</v>
      </c>
      <c r="E39" s="355"/>
      <c r="F39" s="361">
        <f>VLOOKUP(B39,S11_DT105!$B$23:$F$77,5,0)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+SUMIF(S09_DT105!$B$5:$B$145,$B40,S09_DT105!$J$5:$J$145)+SUMIF(S10_DT105!$B$7:$B$139,$B40,S10_DT105!$J$7:$J$139)</f>
        <v>0.29040000000000005</v>
      </c>
      <c r="E40" s="368"/>
      <c r="F40" s="369">
        <f>VLOOKUP(B40,S11_DT105!$B$23:$F$77,5,0)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+SUMIF(S09_DT105!$B$5:$B$145,$B41,S09_DT105!$J$5:$J$145)+SUMIF(S10_DT105!$B$7:$B$139,$B41,S10_DT105!$J$7:$J$139)</f>
        <v>29.414000000000005</v>
      </c>
      <c r="E41" s="355"/>
      <c r="F41" s="361">
        <f>VLOOKUP(B41,S11_DT105!$B$23:$F$77,5,0)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S06_DT105!E13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S08_DT105!D13</f>
        <v>3.81</v>
      </c>
      <c r="O50" s="12">
        <f>S08_DT105!D20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S08_DT105!D13*10^4</f>
        <v>38100</v>
      </c>
      <c r="O52" s="404">
        <f>S08_DT105!D20*10^4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S01_DT105</vt:lpstr>
      <vt:lpstr>S02_DT105</vt:lpstr>
      <vt:lpstr>S03_DT105</vt:lpstr>
      <vt:lpstr>S04_DT105</vt:lpstr>
      <vt:lpstr>S05_DT105</vt:lpstr>
      <vt:lpstr>S06_DT105</vt:lpstr>
      <vt:lpstr>S07_DT105</vt:lpstr>
      <vt:lpstr>S08_DT105</vt:lpstr>
      <vt:lpstr>S09_DT105</vt:lpstr>
      <vt:lpstr>S10_DT105</vt:lpstr>
      <vt:lpstr>S11_DT105</vt:lpstr>
      <vt:lpstr>S12_DT105</vt:lpstr>
      <vt:lpstr>S13_DT105</vt:lpstr>
      <vt:lpstr>S14_DT105</vt:lpstr>
      <vt:lpstr>S15_DT105</vt:lpstr>
      <vt:lpstr>S16_DT105</vt:lpstr>
      <vt:lpstr>S01_DT105!Km_2</vt:lpstr>
      <vt:lpstr>S01_DT105!Print_Area</vt:lpstr>
      <vt:lpstr>S02_DT105!Print_Area</vt:lpstr>
      <vt:lpstr>S04_DT105!Print_Area</vt:lpstr>
      <vt:lpstr>S06_DT105!Print_Area</vt:lpstr>
      <vt:lpstr>S08_DT105!Print_Area</vt:lpstr>
      <vt:lpstr>S09_DT105!Print_Area</vt:lpstr>
      <vt:lpstr>S10_DT105!Print_Area</vt:lpstr>
      <vt:lpstr>S11_DT105!Print_Area</vt:lpstr>
      <vt:lpstr>S13_DT105!Print_Area</vt:lpstr>
      <vt:lpstr>S01_DT105!Print_Titles</vt:lpstr>
      <vt:lpstr>S08_DT105!Print_Titles</vt:lpstr>
      <vt:lpstr>S13_DT105!Print_Titles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2026-08-03T07:36:25Z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Part.14665ec74db04b75b0d3eda638d94897.0000">
    <vt:lpwstr>TTBMVN_PROJECT_PROFILE
schema=1
projectId=VEVTVC1EVC0xMDMtMDAtRFUtVE9BTi1UUDM=
preparedDate=2026-08-03
approvalDate=
priceDate=2026-08-03
regulationPackageId=VEVTVC1EVDEwMy1QQUNLQUdFLU5PVC1GT1ItQ0FMQ1VMQVRJT04=
priceProfileId=VEVTVC1EVDEwMy</vt:lpwstr>
  </property>
  <property fmtid="{D5CDD505-2E9C-101B-9397-08002B2CF9AE}" pid="12" name="TTBMVN.ProjectProfile.Part.14665ec74db04b75b0d3eda638d94897.0001">
    <vt:lpwstr>1QUklDRS1CQVNFTElORQ==
overrideSummary=RFQtMTAzIHBlcnNpc3RlbmNlIHByb2ZpbGUgb25seTsgbm8gYnVzaW5lc3Mgb3ZlcnJpZGUuIERULTEwMyBwZXJzaXN0ZW5jZSBwcm9maWxlIG9ubHk7IG5vIGJ1c2luZXNzIG92ZXJyaWRlLiBEVC0xMDMgcGVyc2lzdGVuY2UgcHJvZmlsZSBvbmx5OyBubyBidXNpb</vt:lpwstr>
  </property>
  <property fmtid="{D5CDD505-2E9C-101B-9397-08002B2CF9AE}" pid="13" name="TTBMVN.ProjectProfile.Part.14665ec74db04b75b0d3eda638d94897.0002">
    <vt:lpwstr>mVzcyBvdmVycmlkZS4gRFQtMTAzIHBlcnNpc3RlbmNlIHByb2ZpbGUgb25seTsgbm8gYnVzaW5lc3Mgb3ZlcnJpZGUuIERULTEwMyBwZXJzaXN0ZW5jZSBwcm9maWxlIG9ubHk7IG5vIGJ1c2luZXNzIG92ZXJyaWRlLiBEVC0xMDMgcGVyc2lzdGVuY2UgcHJvZmlsZSBvbmx5OyBubyBidXNpbmVzcyBvdmVycmlkZS4gR</vt:lpwstr>
  </property>
  <property fmtid="{D5CDD505-2E9C-101B-9397-08002B2CF9AE}" pid="14" name="TTBMVN.ProjectProfile.Part.14665ec74db04b75b0d3eda638d94897.0003">
    <vt:lpwstr>FQtMTAzIHBlcnNpc3RlbmNlIHByb2ZpbGUgb25seTsgbm8gYnVzaW5lc3Mgb3ZlcnJpZGUuIERULTEwMyBwZXJzaXN0ZW5jZSBwcm9maWxlIG9ubHk7IG5vIGJ1c2luZXNzIG92ZXJyaWRlLiBEVC0xMDMgcGVyc2lzdGVuY2UgcHJvZmlsZSBvbmx5OyBubyBidXNpbmVzcyBvdmVycmlkZS4gRFQtMTAzIHBlcnNpc3Rlb</vt:lpwstr>
  </property>
  <property fmtid="{D5CDD505-2E9C-101B-9397-08002B2CF9AE}" pid="15" name="TTBMVN.ProjectProfile.Part.14665ec74db04b75b0d3eda638d94897.0004">
    <vt:lpwstr>mNlIHByb2ZpbGUgb25seTsgbm8gYnVzaW5lc3Mgb3ZlcnJpZGUuIERULTEwMyBwZXJzaXN0ZW5jZSBwcm9maWxlIG9ubHk7IG5vIGJ1c2luZXNzIG92ZXJyaWRlLiBEVC0xMDMgcGVyc2lzdGVuY2UgcHJvZmlsZSBvbmx5OyBubyBidXNpbmVzcyBvdmVycmlkZS4gRFQtMTAzIHBlcnNpc3RlbmNlIHByb2ZpbGUgb25se</vt:lpwstr>
  </property>
  <property fmtid="{D5CDD505-2E9C-101B-9397-08002B2CF9AE}" pid="16" name="TTBMVN.ProjectProfile.Part.14665ec74db04b75b0d3eda638d94897.0005">
    <vt:lpwstr>Tsgbm8gYnVzaW5lc3Mgb3ZlcnJpZGUuIERULTEwMyBwZXJzaXN0ZW5jZSBwcm9maWxlIG9ubHk7IG5vIGJ1c2luZXNzIG92ZXJyaWRlLiBEVC0xMDMgcGVyc2lzdGVuY2UgcHJvZmlsZSBvbmx5OyBubyBidXNpbmVzcyBvdmVycmlkZS4gRFQtMTAzIHBlcnNpc3RlbmNlIHByb2ZpbGUgb25seTsgbm8gYnVzaW5lc3Mgb</vt:lpwstr>
  </property>
  <property fmtid="{D5CDD505-2E9C-101B-9397-08002B2CF9AE}" pid="17" name="TTBMVN.ProjectProfile.Part.14665ec74db04b75b0d3eda638d94897.0006">
    <vt:lpwstr>3ZlcnJpZGUuIERULTEwMyBwZXJzaXN0ZW5jZSBwcm9maWxlIG9ubHk7IG5vIGJ1c2luZXNzIG92ZXJyaWRlLiBEVC0xMDMgcGVyc2lzdGVuY2UgcHJvZmlsZSBvbmx5OyBubyBidXNpbmVzcyBvdmVycmlkZS4gRFQtMTAzIHBlcnNpc3RlbmNlIHByb2ZpbGUgb25seTsgbm8gYnVzaW5lc3Mgb3ZlcnJpZGUuIERULTEwM</vt:lpwstr>
  </property>
  <property fmtid="{D5CDD505-2E9C-101B-9397-08002B2CF9AE}" pid="18" name="TTBMVN.ProjectProfile.Part.14665ec74db04b75b0d3eda638d94897.0007">
    <vt:lpwstr>yBwZXJzaXN0ZW5jZSBwcm9maWxlIG9ubHk7IG5vIGJ1c2luZXNzIG92ZXJyaWRlLg==</vt:lpwstr>
  </property>
  <property fmtid="{D5CDD505-2E9C-101B-9397-08002B2CF9AE}" pid="19" name="TTBMVN.ProjectProfile.Manifest">
    <vt:lpwstr>1|14665ec74db04b75b0d3eda638d94897|8|49723AFBE82F9E6C582CFC50F48DD8E89D3612222E7291E68050967D25BE03B4</vt:lpwstr>
  </property>
</Properties>
</file>