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90E8B7A7-1BC2-4807-9EA2-16E386E5DB2C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11" l="1"/>
  <c r="D11" i="211"/>
  <c r="E11" i="211"/>
  <c r="D12" i="211"/>
  <c r="E12" i="211"/>
  <c r="E13" i="211"/>
  <c r="E14" i="211"/>
  <c r="I12" i="212"/>
  <c r="I11" i="212" s="1"/>
  <c r="J12" i="212"/>
  <c r="J11" i="212" s="1"/>
  <c r="K12" i="212"/>
  <c r="K11" i="212" s="1"/>
  <c r="L12" i="212"/>
  <c r="L11" i="212" s="1"/>
  <c r="M12" i="212"/>
  <c r="M11" i="212" s="1"/>
  <c r="N12" i="212"/>
  <c r="N11" i="212" s="1"/>
  <c r="I13" i="212"/>
  <c r="J13" i="212"/>
  <c r="K13" i="212"/>
  <c r="L13" i="212"/>
  <c r="M13" i="212"/>
  <c r="N13" i="212"/>
  <c r="I14" i="212"/>
  <c r="J14" i="212"/>
  <c r="K14" i="212"/>
  <c r="L14" i="212"/>
  <c r="M14" i="212"/>
  <c r="N14" i="212"/>
  <c r="I15" i="212"/>
  <c r="J15" i="212"/>
  <c r="K15" i="212"/>
  <c r="L15" i="212"/>
  <c r="M15" i="212"/>
  <c r="N15" i="212"/>
  <c r="I16" i="212"/>
  <c r="J16" i="212"/>
  <c r="K16" i="212"/>
  <c r="L16" i="212"/>
  <c r="M16" i="212"/>
  <c r="N16" i="212"/>
  <c r="I17" i="212"/>
  <c r="J17" i="212"/>
  <c r="K17" i="212"/>
  <c r="L17" i="212"/>
  <c r="M17" i="212"/>
  <c r="N17" i="212"/>
  <c r="I18" i="212"/>
  <c r="J18" i="212"/>
  <c r="K18" i="212"/>
  <c r="L18" i="212"/>
  <c r="M18" i="212"/>
  <c r="N18" i="212"/>
  <c r="I20" i="212"/>
  <c r="I19" i="212" s="1"/>
  <c r="J20" i="212"/>
  <c r="J19" i="212" s="1"/>
  <c r="K20" i="212"/>
  <c r="K19" i="212" s="1"/>
  <c r="L20" i="212"/>
  <c r="L19" i="212" s="1"/>
  <c r="M20" i="212"/>
  <c r="M19" i="212" s="1"/>
  <c r="N20" i="212"/>
  <c r="N19" i="212" s="1"/>
  <c r="I21" i="212"/>
  <c r="J21" i="212"/>
  <c r="K21" i="212"/>
  <c r="L21" i="212"/>
  <c r="M21" i="212"/>
  <c r="N21" i="212"/>
  <c r="I22" i="212"/>
  <c r="J22" i="212"/>
  <c r="K22" i="212"/>
  <c r="L22" i="212"/>
  <c r="M22" i="212"/>
  <c r="N22" i="212"/>
  <c r="I23" i="212"/>
  <c r="J23" i="212"/>
  <c r="K23" i="212"/>
  <c r="L23" i="212"/>
  <c r="M23" i="212"/>
  <c r="N23" i="212"/>
  <c r="I24" i="212"/>
  <c r="J24" i="212"/>
  <c r="K24" i="212"/>
  <c r="L24" i="212"/>
  <c r="M24" i="212"/>
  <c r="N24" i="212"/>
  <c r="I25" i="212"/>
  <c r="J25" i="212"/>
  <c r="K25" i="212"/>
  <c r="L25" i="212"/>
  <c r="M25" i="212"/>
  <c r="N25" i="212"/>
  <c r="J26" i="212"/>
  <c r="K26" i="212"/>
  <c r="M26" i="212"/>
  <c r="N26" i="212"/>
  <c r="B12" i="212"/>
  <c r="B13" i="212"/>
  <c r="D13" i="212"/>
  <c r="D12" i="212" s="1"/>
  <c r="B14" i="212"/>
  <c r="D14" i="212"/>
  <c r="D15" i="212"/>
  <c r="B17" i="212"/>
  <c r="D17" i="212"/>
  <c r="B18" i="212"/>
  <c r="D18" i="212"/>
  <c r="D20" i="212"/>
  <c r="D21" i="212"/>
  <c r="B23" i="212"/>
  <c r="D23" i="212"/>
  <c r="D22" i="212" s="1"/>
  <c r="B24" i="212"/>
  <c r="D24" i="212"/>
  <c r="B25" i="212"/>
  <c r="D25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E19" i="211" l="1"/>
  <c r="E15" i="211"/>
  <c r="E16" i="211" s="1"/>
  <c r="I27" i="212"/>
  <c r="J27" i="212"/>
  <c r="K27" i="212"/>
  <c r="L27" i="212"/>
  <c r="M27" i="212"/>
  <c r="N27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E23" i="211" l="1"/>
  <c r="E22" i="211"/>
  <c r="E21" i="211"/>
  <c r="E20" i="211"/>
  <c r="E18" i="211"/>
  <c r="P23" i="232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E17" i="211" l="1"/>
  <c r="E24" i="211" s="1"/>
  <c r="P22" i="232"/>
  <c r="P47" i="232" s="1"/>
  <c r="C22" i="230" s="1"/>
  <c r="D22" i="230" s="1"/>
  <c r="F22" i="230" s="1"/>
  <c r="O22" i="232"/>
  <c r="N22" i="232"/>
  <c r="M22" i="232"/>
  <c r="M9" i="232"/>
  <c r="N9" i="232"/>
  <c r="O9" i="232"/>
  <c r="N17" i="230"/>
  <c r="C13" i="232" a="1"/>
  <c r="E25" i="211" l="1"/>
  <c r="E26" i="211" s="1"/>
  <c r="E27" i="211" s="1"/>
  <c r="O47" i="232"/>
  <c r="C21" i="230" s="1"/>
  <c r="D21" i="230" s="1"/>
  <c r="N47" i="232"/>
  <c r="C19" i="230" s="1"/>
  <c r="D19" i="230" s="1"/>
  <c r="F19" i="230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F20" i="230"/>
  <c r="C15" i="232" a="1"/>
  <c r="F17" i="230" l="1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3" i="210" l="1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A14" i="212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E54" i="214" l="1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D22" i="219" l="1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D11" i="215" l="1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A19" i="219" l="1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<sst xmlns="http://schemas.openxmlformats.org/spreadsheetml/2006/main" count="1637" uniqueCount="555">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</sst>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8" t="s">
        <v>436</v>
      </c>
      <c r="D1" s="818"/>
      <c r="E1" s="818"/>
      <c r="F1" s="818"/>
      <c r="G1" s="818"/>
      <c r="H1" s="818"/>
      <c r="I1" s="818"/>
      <c r="J1" s="818"/>
      <c r="K1" s="818"/>
      <c r="L1" s="818"/>
      <c r="M1" s="818"/>
      <c r="N1" s="818"/>
      <c r="O1" s="818"/>
      <c r="P1" s="818"/>
      <c r="Q1" s="818"/>
      <c r="R1" s="710"/>
      <c r="S1" s="710"/>
    </row>
    <row r="2" spans="1:31" ht="20.25" customHeight="1">
      <c r="C2" s="827" t="s">
        <v>541</v>
      </c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827"/>
      <c r="O2" s="827"/>
      <c r="P2" s="827"/>
      <c r="Q2" s="827"/>
      <c r="R2" s="711"/>
      <c r="S2" s="711"/>
    </row>
    <row r="3" spans="1:31" ht="20.25" customHeight="1">
      <c r="C3" s="828" t="s">
        <v>195</v>
      </c>
      <c r="D3" s="828"/>
      <c r="E3" s="828"/>
      <c r="F3" s="828"/>
      <c r="G3" s="828"/>
      <c r="H3" s="828"/>
      <c r="I3" s="828"/>
      <c r="J3" s="828"/>
      <c r="K3" s="828"/>
      <c r="L3" s="828"/>
      <c r="M3" s="828"/>
      <c r="N3" s="828"/>
      <c r="O3" s="828"/>
      <c r="P3" s="828"/>
      <c r="Q3" s="828"/>
      <c r="R3" s="711"/>
      <c r="S3" s="711"/>
    </row>
    <row r="4" spans="1:31" ht="20.25" customHeight="1">
      <c r="C4" s="827" t="s">
        <v>542</v>
      </c>
      <c r="D4" s="827"/>
      <c r="E4" s="827"/>
      <c r="F4" s="827"/>
      <c r="G4" s="827"/>
      <c r="H4" s="827"/>
      <c r="I4" s="827"/>
      <c r="J4" s="827"/>
      <c r="K4" s="827"/>
      <c r="L4" s="827"/>
      <c r="M4" s="827"/>
      <c r="N4" s="827"/>
      <c r="O4" s="827"/>
      <c r="P4" s="827"/>
      <c r="Q4" s="827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5" t="s">
        <v>452</v>
      </c>
      <c r="B6" s="713"/>
      <c r="C6" s="816" t="s">
        <v>18</v>
      </c>
      <c r="D6" s="816" t="s">
        <v>453</v>
      </c>
      <c r="E6" s="817" t="s">
        <v>454</v>
      </c>
      <c r="F6" s="817" t="s">
        <v>455</v>
      </c>
      <c r="G6" s="824" t="s">
        <v>456</v>
      </c>
      <c r="H6" s="826"/>
      <c r="I6" s="825"/>
      <c r="J6" s="819" t="s">
        <v>510</v>
      </c>
      <c r="K6" s="820"/>
      <c r="L6" s="821"/>
      <c r="M6" s="824" t="s">
        <v>508</v>
      </c>
      <c r="N6" s="825"/>
      <c r="O6" s="824" t="s">
        <v>509</v>
      </c>
      <c r="P6" s="825"/>
      <c r="Q6" s="822" t="s">
        <v>19</v>
      </c>
      <c r="R6" s="711"/>
      <c r="S6" s="711"/>
      <c r="U6" s="709">
        <v>3</v>
      </c>
    </row>
    <row r="7" spans="1:31" ht="57.6" customHeight="1">
      <c r="A7" s="815"/>
      <c r="B7" s="713"/>
      <c r="C7" s="816"/>
      <c r="D7" s="816"/>
      <c r="E7" s="817"/>
      <c r="F7" s="81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3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2" t="s">
        <v>0</v>
      </c>
      <c r="B15" s="852" t="s">
        <v>304</v>
      </c>
      <c r="C15" s="855" t="s">
        <v>305</v>
      </c>
      <c r="D15" s="856"/>
      <c r="E15" s="856"/>
      <c r="F15" s="856"/>
      <c r="G15" s="857"/>
    </row>
    <row r="16" spans="1:7" ht="15" customHeight="1">
      <c r="A16" s="853"/>
      <c r="B16" s="853"/>
      <c r="C16" s="852" t="s">
        <v>306</v>
      </c>
      <c r="D16" s="852" t="s">
        <v>307</v>
      </c>
      <c r="E16" s="478" t="s">
        <v>308</v>
      </c>
      <c r="F16" s="852" t="s">
        <v>310</v>
      </c>
      <c r="G16" s="479" t="s">
        <v>311</v>
      </c>
    </row>
    <row r="17" spans="1:7">
      <c r="A17" s="854"/>
      <c r="B17" s="854"/>
      <c r="C17" s="854"/>
      <c r="D17" s="854"/>
      <c r="E17" s="480" t="s">
        <v>309</v>
      </c>
      <c r="F17" s="854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3" t="s">
        <v>0</v>
      </c>
      <c r="B26" s="485" t="s">
        <v>264</v>
      </c>
      <c r="C26" s="845" t="s">
        <v>317</v>
      </c>
      <c r="D26" s="846"/>
      <c r="E26" s="847"/>
    </row>
    <row r="27" spans="1:7" ht="30.6" customHeight="1">
      <c r="A27" s="844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1" t="s">
        <v>0</v>
      </c>
      <c r="B35" s="461" t="s">
        <v>264</v>
      </c>
      <c r="C35" s="849" t="s">
        <v>305</v>
      </c>
      <c r="D35" s="850"/>
      <c r="E35" s="851"/>
    </row>
    <row r="36" spans="1:7" ht="67.2" customHeight="1">
      <c r="A36" s="848"/>
      <c r="B36" s="491" t="s">
        <v>316</v>
      </c>
      <c r="C36" s="491" t="s">
        <v>321</v>
      </c>
      <c r="D36" s="841" t="s">
        <v>323</v>
      </c>
      <c r="E36" s="841" t="s">
        <v>324</v>
      </c>
      <c r="F36" s="841" t="s">
        <v>323</v>
      </c>
      <c r="G36" s="841" t="s">
        <v>324</v>
      </c>
    </row>
    <row r="37" spans="1:7" ht="16.8">
      <c r="A37" s="842"/>
      <c r="B37" s="492"/>
      <c r="C37" s="493" t="s">
        <v>322</v>
      </c>
      <c r="D37" s="842"/>
      <c r="E37" s="842"/>
      <c r="F37" s="842"/>
      <c r="G37" s="842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64" t="s">
        <v>121</v>
      </c>
      <c r="B2" s="864"/>
      <c r="C2" s="864"/>
      <c r="D2" s="864"/>
      <c r="E2" s="864"/>
      <c r="F2" s="864"/>
    </row>
    <row r="3" spans="1:25" s="630" customFormat="1" ht="48" customHeight="1">
      <c r="A3" s="865" t="str">
        <f>'PL01'!C2</f>
        <v>Dự án: Cải tạo, nâng cấp  trạm bơm Trà Phương 3 tiêu thoát nước cho vùng các khu công nghiệp huyện Kim Động, Ân Thi, Yên Mỹ tỉnh Hưng Yên</v>
      </c>
      <c r="B3" s="866"/>
      <c r="C3" s="866"/>
      <c r="D3" s="866"/>
      <c r="E3" s="866"/>
      <c r="F3" s="866"/>
      <c r="H3" s="631"/>
    </row>
    <row r="4" spans="1:25" s="632" customFormat="1" ht="16.8" customHeight="1">
      <c r="A4" s="865" t="str">
        <f>'PL01'!C3</f>
        <v>Hạng mục: Rà phá bom mìn, vật nổ</v>
      </c>
      <c r="B4" s="866"/>
      <c r="C4" s="866"/>
      <c r="D4" s="866"/>
      <c r="E4" s="866"/>
      <c r="F4" s="866"/>
    </row>
    <row r="5" spans="1:25" s="630" customFormat="1" ht="22.8" customHeight="1">
      <c r="A5" s="865" t="str">
        <f>'PL01'!C4</f>
        <v>Địa điểm: Xã Hồng Quang, tỉnh Hưng Yên</v>
      </c>
      <c r="B5" s="866"/>
      <c r="C5" s="866"/>
      <c r="D5" s="866"/>
      <c r="E5" s="866"/>
      <c r="F5" s="866"/>
    </row>
    <row r="6" spans="1:25" s="632" customFormat="1" ht="21" hidden="1" customHeight="1">
      <c r="A6" s="863" t="s">
        <v>240</v>
      </c>
      <c r="B6" s="863"/>
      <c r="C6" s="863"/>
      <c r="D6" s="863"/>
      <c r="E6" s="863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0" t="s">
        <v>554</v>
      </c>
      <c r="B28" s="860"/>
      <c r="C28" s="860"/>
      <c r="D28" s="860"/>
      <c r="E28" s="860"/>
      <c r="F28" s="860"/>
      <c r="G28" s="861"/>
      <c r="H28" s="861"/>
      <c r="I28" s="861"/>
      <c r="J28" s="861"/>
      <c r="K28" s="861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2" t="s">
        <v>179</v>
      </c>
      <c r="B30" s="862"/>
      <c r="C30" s="424"/>
      <c r="D30" s="862" t="s">
        <v>123</v>
      </c>
      <c r="E30" s="862"/>
      <c r="F30" s="862"/>
    </row>
    <row r="31" spans="1:12" ht="16.95" customHeight="1">
      <c r="A31" s="862"/>
      <c r="B31" s="862"/>
      <c r="C31" s="424"/>
      <c r="D31" s="862" t="s">
        <v>550</v>
      </c>
      <c r="E31" s="862"/>
      <c r="F31" s="862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2" t="s">
        <v>551</v>
      </c>
      <c r="E35" s="862"/>
      <c r="F35" s="862"/>
    </row>
    <row r="36" spans="1:6" ht="18">
      <c r="A36" s="858"/>
      <c r="B36" s="858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59"/>
      <c r="B39" s="859"/>
      <c r="C39" s="859"/>
      <c r="D39" s="859"/>
      <c r="E39" s="859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13" t="s">
        <v>351</v>
      </c>
      <c r="B1" s="813"/>
      <c r="C1" s="813"/>
      <c r="D1" s="813"/>
      <c r="E1" s="813"/>
      <c r="F1" s="813"/>
      <c r="G1" s="813"/>
      <c r="H1" s="813"/>
      <c r="I1" s="813"/>
      <c r="J1" s="813"/>
      <c r="K1" s="813"/>
      <c r="L1" s="23"/>
      <c r="M1" s="23"/>
      <c r="N1" s="23"/>
      <c r="O1" s="23"/>
    </row>
    <row r="2" spans="1:22" ht="24" customHeight="1">
      <c r="A2" s="813" t="s">
        <v>112</v>
      </c>
      <c r="B2" s="813"/>
      <c r="C2" s="813"/>
      <c r="D2" s="813"/>
      <c r="E2" s="813"/>
      <c r="F2" s="813"/>
      <c r="G2" s="813"/>
      <c r="H2" s="813"/>
      <c r="I2" s="813"/>
      <c r="J2" s="813"/>
      <c r="K2" s="813"/>
      <c r="L2" s="23"/>
      <c r="M2" s="23"/>
      <c r="N2" s="23"/>
      <c r="O2" s="23"/>
      <c r="Q2" s="814"/>
      <c r="R2" s="814"/>
      <c r="S2" s="814"/>
      <c r="T2" s="814"/>
    </row>
    <row r="3" spans="1:22" ht="24" hidden="1" customHeight="1">
      <c r="A3" s="809" t="e">
        <f>#REF!</f>
        <v>#REF!</v>
      </c>
      <c r="B3" s="809"/>
      <c r="C3" s="809"/>
      <c r="D3" s="809"/>
      <c r="E3" s="809"/>
      <c r="F3" s="809"/>
      <c r="G3" s="809"/>
      <c r="H3" s="809"/>
      <c r="I3" s="809"/>
      <c r="J3" s="809"/>
      <c r="K3" s="809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9" t="s">
        <v>195</v>
      </c>
      <c r="B5" s="809"/>
      <c r="C5" s="809"/>
      <c r="D5" s="809"/>
      <c r="E5" s="809"/>
      <c r="F5" s="809"/>
      <c r="G5" s="809"/>
      <c r="H5" s="809"/>
      <c r="I5" s="809"/>
      <c r="J5" s="809"/>
      <c r="K5" s="809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9"/>
      <c r="C6" s="809"/>
      <c r="D6" s="809"/>
      <c r="E6" s="809"/>
      <c r="F6" s="809"/>
      <c r="G6" s="809"/>
      <c r="H6" s="809"/>
      <c r="I6" s="809"/>
      <c r="J6" s="809"/>
      <c r="K6" s="809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0"/>
      <c r="B7" s="810"/>
      <c r="C7" s="810"/>
      <c r="D7" s="810"/>
      <c r="E7" s="810"/>
      <c r="F7" s="810"/>
      <c r="G7" s="810"/>
      <c r="H7" s="810"/>
      <c r="I7" s="810"/>
      <c r="J7" s="810"/>
      <c r="K7" s="810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1" t="s">
        <v>0</v>
      </c>
      <c r="B9" s="811" t="s">
        <v>49</v>
      </c>
      <c r="C9" s="811" t="s">
        <v>53</v>
      </c>
      <c r="D9" s="811" t="s">
        <v>22</v>
      </c>
      <c r="E9" s="811" t="s">
        <v>164</v>
      </c>
      <c r="F9" s="805" t="s">
        <v>31</v>
      </c>
      <c r="G9" s="805"/>
      <c r="H9" s="805"/>
      <c r="I9" s="805" t="s">
        <v>45</v>
      </c>
      <c r="J9" s="805"/>
      <c r="K9" s="805"/>
      <c r="L9" s="805" t="s">
        <v>167</v>
      </c>
      <c r="M9" s="805"/>
      <c r="N9" s="805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2"/>
      <c r="B10" s="812"/>
      <c r="C10" s="812"/>
      <c r="D10" s="812"/>
      <c r="E10" s="812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 t="shared" ref="I11:N11" si="0">SUM(I12:I18)</f>
        <v>5208997.4635888003</v>
      </c>
      <c r="J11" s="382">
        <f t="shared" si="0"/>
        <v>124640248.5</v>
      </c>
      <c r="K11" s="382">
        <f t="shared" si="0"/>
        <v>49083054.229040004</v>
      </c>
      <c r="L11" s="66">
        <f t="shared" si="0"/>
        <v>0</v>
      </c>
      <c r="M11" s="66">
        <f t="shared" si="0"/>
        <v>0</v>
      </c>
      <c r="N11" s="66">
        <f t="shared" si="0"/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 t="shared" ref="I12:I18" si="1">D12*F12</f>
        <v>0</v>
      </c>
      <c r="J12" s="384">
        <f t="shared" ref="J12:J18" si="2">D12*G12</f>
        <v>63179325</v>
      </c>
      <c r="K12" s="384">
        <f t="shared" ref="K12:K18" si="3">D12*H12</f>
        <v>0</v>
      </c>
      <c r="L12" s="241">
        <f t="shared" ref="L12:L18" si="4">E12*F12</f>
        <v>0</v>
      </c>
      <c r="M12" s="241">
        <f t="shared" ref="M12:M18" si="5">E12*G12</f>
        <v>0</v>
      </c>
      <c r="N12" s="241">
        <f t="shared" ref="N12:N18" si="6">E12*H12</f>
        <v>0</v>
      </c>
      <c r="O12" s="241"/>
      <c r="P12" s="501">
        <f t="shared" ref="P12:P14" si="7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 t="shared" si="1"/>
        <v>3244405.5</v>
      </c>
      <c r="J13" s="385">
        <f t="shared" si="2"/>
        <v>32740092</v>
      </c>
      <c r="K13" s="385">
        <f t="shared" si="3"/>
        <v>33634160.773200005</v>
      </c>
      <c r="L13" s="241">
        <f t="shared" si="4"/>
        <v>0</v>
      </c>
      <c r="M13" s="241">
        <f t="shared" si="5"/>
        <v>0</v>
      </c>
      <c r="N13" s="241">
        <f t="shared" si="6"/>
        <v>0</v>
      </c>
      <c r="O13" s="241"/>
      <c r="P13" s="501" t="str">
        <f t="shared" si="7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 t="shared" si="1"/>
        <v>0</v>
      </c>
      <c r="J14" s="385">
        <f t="shared" si="2"/>
        <v>8290350</v>
      </c>
      <c r="K14" s="385">
        <f t="shared" si="3"/>
        <v>2852079.048</v>
      </c>
      <c r="L14" s="241">
        <f t="shared" si="4"/>
        <v>0</v>
      </c>
      <c r="M14" s="241">
        <f t="shared" si="5"/>
        <v>0</v>
      </c>
      <c r="N14" s="241">
        <f t="shared" si="6"/>
        <v>0</v>
      </c>
      <c r="O14" s="241"/>
      <c r="P14" s="501">
        <f t="shared" si="7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 t="shared" si="1"/>
        <v>1582034.9999999998</v>
      </c>
      <c r="J15" s="385">
        <f t="shared" si="2"/>
        <v>8619682.5</v>
      </c>
      <c r="K15" s="385">
        <f t="shared" si="3"/>
        <v>12425391.315999998</v>
      </c>
      <c r="L15" s="241">
        <f t="shared" si="4"/>
        <v>0</v>
      </c>
      <c r="M15" s="241">
        <f t="shared" si="5"/>
        <v>0</v>
      </c>
      <c r="N15" s="241">
        <f t="shared" si="6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 t="shared" si="1"/>
        <v>0</v>
      </c>
      <c r="J16" s="385">
        <f t="shared" si="2"/>
        <v>0</v>
      </c>
      <c r="K16" s="385">
        <f t="shared" si="3"/>
        <v>0</v>
      </c>
      <c r="L16" s="241">
        <f t="shared" si="4"/>
        <v>0</v>
      </c>
      <c r="M16" s="241">
        <f t="shared" si="5"/>
        <v>0</v>
      </c>
      <c r="N16" s="241">
        <f t="shared" si="6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 t="shared" si="1"/>
        <v>382556.96358879999</v>
      </c>
      <c r="J17" s="385">
        <f t="shared" si="2"/>
        <v>11810799</v>
      </c>
      <c r="K17" s="385">
        <f t="shared" si="3"/>
        <v>171423.09184000001</v>
      </c>
      <c r="L17" s="241">
        <f t="shared" si="4"/>
        <v>0</v>
      </c>
      <c r="M17" s="241">
        <f t="shared" si="5"/>
        <v>0</v>
      </c>
      <c r="N17" s="241">
        <f t="shared" si="6"/>
        <v>0</v>
      </c>
      <c r="O17" s="241"/>
      <c r="P17" s="501">
        <f t="shared" ref="P17:P18" si="8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 t="shared" si="1"/>
        <v>0</v>
      </c>
      <c r="J18" s="385">
        <f t="shared" si="2"/>
        <v>0</v>
      </c>
      <c r="K18" s="385">
        <f t="shared" si="3"/>
        <v>0</v>
      </c>
      <c r="L18" s="241">
        <f t="shared" si="4"/>
        <v>0</v>
      </c>
      <c r="M18" s="241">
        <f t="shared" si="5"/>
        <v>0</v>
      </c>
      <c r="N18" s="241">
        <f t="shared" si="6"/>
        <v>0</v>
      </c>
      <c r="O18" s="241"/>
      <c r="P18" s="501">
        <f t="shared" si="8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 t="shared" ref="I19:N19" si="9">SUM(I20:I26)</f>
        <v>7331588.1559999995</v>
      </c>
      <c r="J19" s="382">
        <f t="shared" si="9"/>
        <v>143774571.59999999</v>
      </c>
      <c r="K19" s="382">
        <f t="shared" si="9"/>
        <v>509776991.89318007</v>
      </c>
      <c r="L19" s="66">
        <f t="shared" si="9"/>
        <v>0</v>
      </c>
      <c r="M19" s="66">
        <f t="shared" si="9"/>
        <v>0</v>
      </c>
      <c r="N19" s="66">
        <f t="shared" si="9"/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 t="shared" ref="I20:I25" si="10">D20*F20</f>
        <v>3806374.88</v>
      </c>
      <c r="J20" s="385">
        <f t="shared" ref="J20:J25" si="11">D20*G20</f>
        <v>78409485</v>
      </c>
      <c r="K20" s="385">
        <f t="shared" ref="K20:K25" si="12">D20*H20</f>
        <v>263169948.06200004</v>
      </c>
      <c r="L20" s="241">
        <f t="shared" ref="L20:L25" si="13">E20*F20</f>
        <v>0</v>
      </c>
      <c r="M20" s="241">
        <f t="shared" ref="M20:M25" si="14">E20*G20</f>
        <v>0</v>
      </c>
      <c r="N20" s="241">
        <f t="shared" ref="N20:N25" si="15"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 t="shared" si="10"/>
        <v>2370689.7760000001</v>
      </c>
      <c r="J21" s="385">
        <f t="shared" si="11"/>
        <v>31952151</v>
      </c>
      <c r="K21" s="385">
        <f t="shared" si="12"/>
        <v>130232616.18780001</v>
      </c>
      <c r="L21" s="241">
        <f t="shared" si="13"/>
        <v>0</v>
      </c>
      <c r="M21" s="241">
        <f t="shared" si="14"/>
        <v>0</v>
      </c>
      <c r="N21" s="241">
        <f t="shared" si="15"/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 t="shared" si="10"/>
        <v>619483.5</v>
      </c>
      <c r="J22" s="385">
        <f t="shared" si="11"/>
        <v>3908520</v>
      </c>
      <c r="K22" s="385">
        <f t="shared" si="12"/>
        <v>4832182.8000000007</v>
      </c>
      <c r="L22" s="241">
        <f t="shared" si="13"/>
        <v>0</v>
      </c>
      <c r="M22" s="241">
        <f t="shared" si="14"/>
        <v>0</v>
      </c>
      <c r="N22" s="241">
        <f t="shared" si="15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 t="shared" si="10"/>
        <v>0</v>
      </c>
      <c r="J23" s="385">
        <f t="shared" si="11"/>
        <v>15142050</v>
      </c>
      <c r="K23" s="385">
        <f t="shared" si="12"/>
        <v>58738803.620000005</v>
      </c>
      <c r="L23" s="241">
        <f t="shared" si="13"/>
        <v>0</v>
      </c>
      <c r="M23" s="241">
        <f t="shared" si="14"/>
        <v>0</v>
      </c>
      <c r="N23" s="241">
        <f t="shared" si="15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 t="shared" si="10"/>
        <v>0</v>
      </c>
      <c r="J24" s="385">
        <f t="shared" si="11"/>
        <v>796950</v>
      </c>
      <c r="K24" s="385">
        <f t="shared" si="12"/>
        <v>5352092.9910000004</v>
      </c>
      <c r="L24" s="241">
        <f t="shared" si="13"/>
        <v>0</v>
      </c>
      <c r="M24" s="241">
        <f t="shared" si="14"/>
        <v>0</v>
      </c>
      <c r="N24" s="241">
        <f t="shared" si="15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 t="shared" si="10"/>
        <v>535040</v>
      </c>
      <c r="J25" s="385">
        <f t="shared" si="11"/>
        <v>495000</v>
      </c>
      <c r="K25" s="385">
        <f t="shared" si="12"/>
        <v>1107985.3330000001</v>
      </c>
      <c r="L25" s="241">
        <f t="shared" si="13"/>
        <v>0</v>
      </c>
      <c r="M25" s="241">
        <f t="shared" si="14"/>
        <v>0</v>
      </c>
      <c r="N25" s="241">
        <f t="shared" si="15"/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 t="shared" ref="I27:N27" si="16">I11+I19</f>
        <v>12540585.6195888</v>
      </c>
      <c r="J27" s="512">
        <f t="shared" si="16"/>
        <v>268414820.09999999</v>
      </c>
      <c r="K27" s="512">
        <f t="shared" si="16"/>
        <v>558860046.12222004</v>
      </c>
      <c r="L27" s="512">
        <f t="shared" si="16"/>
        <v>0</v>
      </c>
      <c r="M27" s="512">
        <f t="shared" si="16"/>
        <v>0</v>
      </c>
      <c r="N27" s="512">
        <f t="shared" si="16"/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06"/>
      <c r="D30" s="807"/>
      <c r="I30" s="206"/>
      <c r="J30" s="206"/>
      <c r="K30" s="206"/>
      <c r="P30" s="207"/>
    </row>
    <row r="31" spans="1:22">
      <c r="C31" s="806"/>
      <c r="D31" s="807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6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839815452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547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549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2026-08-03T13:38:37Z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1|c1d4843dc50a4d09938b2e87e82be119|8|487EA0D9CAFC9106FB52DFAE8CA0E9E2E82CA2638101F85B7DE6EBD4E7024A50</vt:lpwstr>
  </property>
  <property fmtid="{D5CDD505-2E9C-101B-9397-08002B2CF9AE}" pid="12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4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5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6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7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8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9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0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1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22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23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24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25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26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27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28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29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0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1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32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33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34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35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36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37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38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39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0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1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42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43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44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45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46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47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48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49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0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1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52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53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54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55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56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57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58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59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0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1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62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63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64" name="TTBMVN.PriceProfile.Part.4fddd3b4fffe45e6b4c638ab6bcb62e8.0052">
    <vt:lpwstr>deCount=0
checksum=8345661796B51CC48A6E4821015ECA03F301FAA2D4E3168C5AD34C0108100C87</vt:lpwstr>
  </property>
  <property fmtid="{D5CDD505-2E9C-101B-9397-08002B2CF9AE}" pid="65" name="TTBMVN.PriceProfile.Manifest">
    <vt:lpwstr>1|4fddd3b4fffe45e6b4c638ab6bcb62e8|53|4F741B8B555B884720CFAA7CFAD37E55149EA91D158E1D2836ED723880F5D6DB</vt:lpwstr>
  </property>
  <property fmtid="{D5CDD505-2E9C-101B-9397-08002B2CF9AE}" pid="66" name="TTBMVN.ResultAudit.Manifest">
    <vt:lpwstr>1|b24958dd8ddf45b1a9686d30672dfaf5|112|FB103C145EC8E41AF777B21B722D61229132557BE0FE91D1C829B9F27C299622</vt:lpwstr>
  </property>
  <property fmtid="{D5CDD505-2E9C-101B-9397-08002B2CF9AE}" pid="67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68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69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0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1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2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73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4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5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6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7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78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79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0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1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82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3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4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5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86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7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88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89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0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1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2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3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4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5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96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7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98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99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0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1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2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3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4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5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06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07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08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09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0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1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2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13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4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5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6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7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18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19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0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1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2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3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24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5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6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7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28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29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0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1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2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3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4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5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36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37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38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39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0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1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2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3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4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5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6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7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48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49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0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1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2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3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4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5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6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7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58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59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0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1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62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63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64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65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66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67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68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69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0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1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72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73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74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75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76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77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78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79" name="TTBMVN.ProjectProfile.Part.c1d4843dc50a4d09938b2e87e82be119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80" name="TTBMVN.ProjectProfile.Part.c1d4843dc50a4d09938b2e87e82be119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81" name="TTBMVN.ProjectProfile.Part.c1d4843dc50a4d09938b2e87e82be119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82" name="TTBMVN.ProjectProfile.Part.c1d4843dc50a4d09938b2e87e82be119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83" name="TTBMVN.ProjectProfile.Part.c1d4843dc50a4d09938b2e87e82be119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84" name="TTBMVN.ProjectProfile.Part.c1d4843dc50a4d09938b2e87e82be119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5" name="TTBMVN.ProjectProfile.Part.c1d4843dc50a4d09938b2e87e82be119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86" name="TTBMVN.ProjectProfile.Part.c1d4843dc50a4d09938b2e87e82be119.0007">
    <vt:lpwstr>dmVycmlkZS4gRFQtMTAzIHBlcnNpc3RlbmNlIHByb2ZpbGUgb25seTsgbm8gYnVzaW5lc3Mgb3ZlcnJpZGUuIERULTEwMyBwZXJzaXN0ZW5jZSBwcm9maWxlIG9ubHk7IG5vIGJ1c2luZXNzIG92ZXJyaWRlLg==</vt:lpwstr>
  </property>
</Properties>
</file>