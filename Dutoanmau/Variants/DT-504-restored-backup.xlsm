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8_{89E598AE-60F0-4AC3-AAFC-3A909E2810A6}" xr6:coauthVersionLast="47" xr6:coauthVersionMax="47" xr10:uidLastSave="{00000000-0000-0000-0000-000000000000}"/>
  <bookViews>
    <workbookView xWindow="2304" yWindow="2304" windowWidth="17280" windowHeight="8880" tabRatio="771" activeTab="7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11" l="1"/>
  <c r="D12" i="211"/>
  <c r="B12" i="212"/>
  <c r="L12" i="212"/>
  <c r="L11" i="212" s="1"/>
  <c r="L27" i="212" s="1"/>
  <c r="M12" i="212"/>
  <c r="M11" i="212" s="1"/>
  <c r="M27" i="212" s="1"/>
  <c r="N12" i="212"/>
  <c r="N11" i="212" s="1"/>
  <c r="N27" i="212" s="1"/>
  <c r="B13" i="212"/>
  <c r="D13" i="212"/>
  <c r="L13" i="212"/>
  <c r="M13" i="212"/>
  <c r="N13" i="212"/>
  <c r="B14" i="212"/>
  <c r="D14" i="212"/>
  <c r="L14" i="212"/>
  <c r="M14" i="212"/>
  <c r="N14" i="212"/>
  <c r="D15" i="212"/>
  <c r="L15" i="212"/>
  <c r="M15" i="212"/>
  <c r="N15" i="212"/>
  <c r="I16" i="212"/>
  <c r="J16" i="212"/>
  <c r="K16" i="212"/>
  <c r="L16" i="212"/>
  <c r="M16" i="212"/>
  <c r="N16" i="212"/>
  <c r="B17" i="212"/>
  <c r="D17" i="212"/>
  <c r="L17" i="212"/>
  <c r="M17" i="212"/>
  <c r="N17" i="212"/>
  <c r="B18" i="212"/>
  <c r="D18" i="212"/>
  <c r="I18" i="212"/>
  <c r="J18" i="212"/>
  <c r="K18" i="212"/>
  <c r="L18" i="212"/>
  <c r="M18" i="212"/>
  <c r="N18" i="212"/>
  <c r="D20" i="212"/>
  <c r="I20" i="212" s="1"/>
  <c r="J20" i="212"/>
  <c r="K20" i="212"/>
  <c r="L20" i="212"/>
  <c r="L19" i="212" s="1"/>
  <c r="M20" i="212"/>
  <c r="M19" i="212" s="1"/>
  <c r="N20" i="212"/>
  <c r="N19" i="212" s="1"/>
  <c r="D21" i="212"/>
  <c r="I21" i="212" s="1"/>
  <c r="J21" i="212"/>
  <c r="K21" i="212"/>
  <c r="L21" i="212"/>
  <c r="M21" i="212"/>
  <c r="N21" i="212"/>
  <c r="L22" i="212"/>
  <c r="M22" i="212"/>
  <c r="N22" i="212"/>
  <c r="B23" i="212"/>
  <c r="D23" i="212"/>
  <c r="D22" i="212" s="1"/>
  <c r="I23" i="212"/>
  <c r="J23" i="212"/>
  <c r="K23" i="212"/>
  <c r="L23" i="212"/>
  <c r="M23" i="212"/>
  <c r="N23" i="212"/>
  <c r="B24" i="212"/>
  <c r="D24" i="212"/>
  <c r="K24" i="212"/>
  <c r="L24" i="212"/>
  <c r="M24" i="212"/>
  <c r="N24" i="212"/>
  <c r="B25" i="212"/>
  <c r="D25" i="212"/>
  <c r="I25" i="212" s="1"/>
  <c r="J25" i="212"/>
  <c r="K25" i="212"/>
  <c r="L25" i="212"/>
  <c r="M25" i="212"/>
  <c r="N25" i="212"/>
  <c r="M26" i="212"/>
  <c r="N26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N45" i="232"/>
  <c r="O45" i="232"/>
  <c r="M45" i="232" s="1"/>
  <c r="E30" i="216"/>
  <c r="E36" i="216" s="1"/>
  <c r="I13" i="212" l="1"/>
  <c r="J13" i="212"/>
  <c r="K13" i="212"/>
  <c r="D12" i="212"/>
  <c r="I14" i="212"/>
  <c r="J14" i="212"/>
  <c r="K14" i="212"/>
  <c r="I15" i="212"/>
  <c r="J15" i="212"/>
  <c r="K15" i="212"/>
  <c r="I17" i="212"/>
  <c r="J17" i="212"/>
  <c r="K17" i="212"/>
  <c r="K22" i="212"/>
  <c r="I22" i="212"/>
  <c r="J22" i="212"/>
  <c r="I24" i="212"/>
  <c r="J24" i="212"/>
  <c r="I19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K12" i="212" l="1"/>
  <c r="K11" i="212" s="1"/>
  <c r="J12" i="212"/>
  <c r="J11" i="212" s="1"/>
  <c r="I12" i="212"/>
  <c r="I11" i="212" s="1"/>
  <c r="I27" i="212" s="1"/>
  <c r="E10" i="211" s="1"/>
  <c r="K19" i="212"/>
  <c r="K26" i="212"/>
  <c r="J26" i="212"/>
  <c r="J19" i="212" s="1"/>
  <c r="J27" i="212" s="1"/>
  <c r="E11" i="211" s="1"/>
  <c r="E14" i="211" s="1"/>
  <c r="P23" i="232"/>
  <c r="O23" i="232"/>
  <c r="N38" i="232"/>
  <c r="P9" i="232"/>
  <c r="E20" i="230"/>
  <c r="E23" i="230" s="1"/>
  <c r="E22" i="230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K27" i="212" l="1"/>
  <c r="E12" i="211" s="1"/>
  <c r="E13" i="211"/>
  <c r="P22" i="232"/>
  <c r="P47" i="232" s="1"/>
  <c r="C22" i="230" s="1"/>
  <c r="D22" i="230" s="1"/>
  <c r="F22" i="230" s="1"/>
  <c r="O22" i="232"/>
  <c r="N22" i="232"/>
  <c r="M22" i="232"/>
  <c r="M9" i="232"/>
  <c r="N9" i="232"/>
  <c r="O9" i="232"/>
  <c r="N17" i="230"/>
  <c r="C13" i="232" a="1"/>
  <c r="E15" i="211" l="1"/>
  <c r="E16" i="211" s="1"/>
  <c r="E19" i="211"/>
  <c r="O47" i="232"/>
  <c r="C21" i="230" s="1"/>
  <c r="D21" i="230" s="1"/>
  <c r="N47" i="232"/>
  <c r="C19" i="230" s="1"/>
  <c r="D19" i="230" s="1"/>
  <c r="F19" i="230" s="1"/>
  <c r="M47" i="232"/>
  <c r="C18" i="230" s="1"/>
  <c r="D18" i="230" s="1"/>
  <c r="C20" i="230"/>
  <c r="O21" i="230"/>
  <c r="R21" i="230" s="1"/>
  <c r="D20" i="230"/>
  <c r="F21" i="230"/>
  <c r="N20" i="230"/>
  <c r="C14" i="232" a="1"/>
  <c r="E23" i="211" l="1"/>
  <c r="E22" i="211"/>
  <c r="E21" i="211"/>
  <c r="E20" i="211"/>
  <c r="E18" i="211"/>
  <c r="C17" i="230"/>
  <c r="C23" i="230" s="1"/>
  <c r="O18" i="230"/>
  <c r="R18" i="230" s="1"/>
  <c r="F18" i="230"/>
  <c r="D17" i="230"/>
  <c r="D23" i="230" s="1"/>
  <c r="F20" i="230"/>
  <c r="C15" i="232" a="1"/>
  <c r="E17" i="211" l="1"/>
  <c r="E24" i="211" s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H21" i="219" s="1"/>
  <c r="F34" i="208"/>
  <c r="F47" i="214"/>
  <c r="F44" i="214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P17" i="212"/>
  <c r="P13" i="212"/>
  <c r="P12" i="212"/>
  <c r="P24" i="212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E25" i="211" l="1"/>
  <c r="E26" i="211"/>
  <c r="E27" i="211" s="1"/>
  <c r="E3" i="210"/>
  <c r="G3" i="210"/>
  <c r="F3" i="210" s="1"/>
  <c r="I12" i="217"/>
  <c r="K10" i="218"/>
  <c r="G41" i="208"/>
  <c r="E61" i="216"/>
  <c r="F61" i="216" s="1"/>
  <c r="F56" i="216" s="1"/>
  <c r="E50" i="216"/>
  <c r="F50" i="216" s="1"/>
  <c r="F46" i="216" s="1"/>
  <c r="E28" i="216"/>
  <c r="E66" i="216"/>
  <c r="F66" i="216" s="1"/>
  <c r="F62" i="216" s="1"/>
  <c r="F41" i="219" s="1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A14" i="212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E100" i="214"/>
  <c r="H100" i="214" s="1"/>
  <c r="E86" i="214"/>
  <c r="H86" i="214" s="1"/>
  <c r="F40" i="219"/>
  <c r="E135" i="214"/>
  <c r="H135" i="214" s="1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E54" i="214" l="1"/>
  <c r="H54" i="214" s="1"/>
  <c r="F37" i="219"/>
  <c r="E99" i="214"/>
  <c r="H99" i="214" s="1"/>
  <c r="E31" i="214"/>
  <c r="H31" i="214" s="1"/>
  <c r="E73" i="214"/>
  <c r="H73" i="214" s="1"/>
  <c r="E117" i="214"/>
  <c r="H117" i="214" s="1"/>
  <c r="E134" i="214"/>
  <c r="H134" i="214" s="1"/>
  <c r="F28" i="216"/>
  <c r="F23" i="216" s="1"/>
  <c r="E34" i="216"/>
  <c r="E40" i="216" s="1"/>
  <c r="F40" i="216" s="1"/>
  <c r="F35" i="216" s="1"/>
  <c r="E119" i="214"/>
  <c r="H119" i="214" s="1"/>
  <c r="F39" i="219"/>
  <c r="E101" i="214"/>
  <c r="H101" i="214" s="1"/>
  <c r="E136" i="214"/>
  <c r="H136" i="214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E98" i="214"/>
  <c r="H98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H34" i="214" l="1"/>
  <c r="H103" i="214"/>
  <c r="E62" i="213"/>
  <c r="H62" i="213" s="1"/>
  <c r="H63" i="213" s="1"/>
  <c r="E45" i="213"/>
  <c r="H45" i="213" s="1"/>
  <c r="H46" i="213" s="1"/>
  <c r="E74" i="213"/>
  <c r="H74" i="213" s="1"/>
  <c r="H75" i="213" s="1"/>
  <c r="E28" i="213"/>
  <c r="H28" i="213" s="1"/>
  <c r="H29" i="213" s="1"/>
  <c r="F33" i="219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 s="1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O52" i="219"/>
  <c r="O50" i="219"/>
  <c r="J17" i="214"/>
  <c r="J83" i="213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D22" i="219" l="1"/>
  <c r="G22" i="219" s="1"/>
  <c r="J108" i="213"/>
  <c r="J106" i="213"/>
  <c r="D27" i="219" s="1"/>
  <c r="G27" i="219" s="1"/>
  <c r="D10" i="215"/>
  <c r="C11" i="215"/>
  <c r="G41" i="219"/>
  <c r="K41" i="219"/>
  <c r="O41" i="219" s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A27" i="219"/>
  <c r="A17" i="219"/>
  <c r="N31" i="219"/>
  <c r="G31" i="219"/>
  <c r="K33" i="219"/>
  <c r="N33" i="219" s="1"/>
  <c r="G33" i="219"/>
  <c r="D36" i="219"/>
  <c r="D23" i="219"/>
  <c r="G23" i="219" s="1"/>
  <c r="J110" i="214"/>
  <c r="D11" i="215" l="1"/>
  <c r="E11" i="215"/>
  <c r="A18" i="219"/>
  <c r="G34" i="219"/>
  <c r="K34" i="219"/>
  <c r="N34" i="219" s="1"/>
  <c r="N32" i="219" s="1"/>
  <c r="J114" i="214"/>
  <c r="J117" i="214"/>
  <c r="D37" i="219" s="1"/>
  <c r="J116" i="214"/>
  <c r="D35" i="219" s="1"/>
  <c r="J119" i="214"/>
  <c r="D39" i="219" s="1"/>
  <c r="J118" i="214"/>
  <c r="D40" i="219" s="1"/>
  <c r="J112" i="214"/>
  <c r="D26" i="219" s="1"/>
  <c r="G26" i="219" s="1"/>
  <c r="G5" i="219" s="1"/>
  <c r="J120" i="214"/>
  <c r="D38" i="219" s="1"/>
  <c r="G36" i="219"/>
  <c r="K36" i="219"/>
  <c r="O36" i="219" s="1"/>
  <c r="A19" i="219" l="1"/>
  <c r="I5" i="219"/>
  <c r="D30" i="219"/>
  <c r="O30" i="219"/>
  <c r="O28" i="219" s="1"/>
  <c r="G37" i="219"/>
  <c r="K37" i="219"/>
  <c r="O37" i="219" s="1"/>
  <c r="K35" i="219"/>
  <c r="O35" i="219" s="1"/>
  <c r="G35" i="219"/>
  <c r="K39" i="219"/>
  <c r="O39" i="219" s="1"/>
  <c r="G39" i="219"/>
  <c r="G40" i="219"/>
  <c r="K40" i="219"/>
  <c r="O40" i="219" s="1"/>
  <c r="G38" i="219"/>
  <c r="K38" i="219"/>
  <c r="O38" i="219" s="1"/>
  <c r="A20" i="219" l="1"/>
  <c r="A21" i="219" s="1"/>
  <c r="A22" i="219"/>
  <c r="O32" i="219"/>
  <c r="O42" i="219" s="1"/>
  <c r="O44" i="219" s="1"/>
  <c r="O53" i="219" s="1"/>
  <c r="O54" i="219" s="1"/>
  <c r="I28" i="219"/>
  <c r="I32" i="219"/>
  <c r="D28" i="219"/>
  <c r="G30" i="219"/>
  <c r="G28" i="219" s="1"/>
  <c r="N30" i="219"/>
  <c r="N28" i="219" s="1"/>
  <c r="N42" i="219" s="1"/>
  <c r="G32" i="219"/>
  <c r="A23" i="219" l="1"/>
  <c r="A24" i="219" s="1"/>
  <c r="A25" i="219" s="1"/>
  <c r="A26" i="219" s="1"/>
  <c r="G43" i="219"/>
  <c r="J19" i="209"/>
  <c r="I21" i="209" s="1"/>
  <c r="I22" i="209" s="1"/>
  <c r="J20" i="209" s="1"/>
  <c r="L19" i="209"/>
  <c r="P42" i="219"/>
  <c r="Q42" i="219" s="1"/>
  <c r="Q44" i="219" s="1"/>
  <c r="N44" i="219"/>
  <c r="G42" i="219"/>
  <c r="P5" i="209"/>
  <c r="G42" i="209"/>
  <c r="Q5" i="209"/>
  <c r="E42" i="209"/>
  <c r="F45" i="209" s="1"/>
  <c r="E45" i="209" s="1"/>
  <c r="G44" i="219" l="1"/>
  <c r="I44" i="219" s="1"/>
  <c r="P44" i="219"/>
  <c r="N53" i="219"/>
  <c r="N54" i="219" s="1"/>
  <c r="E46" i="209"/>
  <c r="F44" i="209" s="1"/>
  <c r="O8" i="209"/>
  <c r="P8" i="209" a="1"/>
  <c r="P13" i="209"/>
  <c r="N60" i="219" l="1"/>
  <c r="N62" i="219"/>
  <c r="P7" i="20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<sst xmlns="http://schemas.openxmlformats.org/spreadsheetml/2006/main" count="1637" uniqueCount="555">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</sst>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0"/>
      <c r="S1" s="710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1"/>
      <c r="S2" s="711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1"/>
      <c r="S3" s="711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6" t="s">
        <v>452</v>
      </c>
      <c r="B6" s="713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1"/>
      <c r="S6" s="711"/>
      <c r="U6" s="709">
        <v>3</v>
      </c>
    </row>
    <row r="7" spans="1:31" ht="57.6" customHeight="1">
      <c r="A7" s="826"/>
      <c r="B7" s="713"/>
      <c r="C7" s="827"/>
      <c r="D7" s="827"/>
      <c r="E7" s="828"/>
      <c r="F7" s="828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0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549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59" t="s">
        <v>121</v>
      </c>
      <c r="B2" s="859"/>
      <c r="C2" s="859"/>
      <c r="D2" s="859"/>
      <c r="E2" s="859"/>
      <c r="F2" s="859"/>
    </row>
    <row r="3" spans="1:25" s="630" customFormat="1" ht="48" customHeight="1">
      <c r="A3" s="860" t="str">
        <f>'PL01'!C2</f>
        <v>Dự án: Cải tạo, nâng cấp  trạm bơm Trà Phương 3 tiêu thoát nước cho vùng các khu công nghiệp huyện Kim Động, Ân Thi, Yên Mỹ tỉnh Hưng Yên</v>
      </c>
      <c r="B3" s="861"/>
      <c r="C3" s="861"/>
      <c r="D3" s="861"/>
      <c r="E3" s="861"/>
      <c r="F3" s="861"/>
      <c r="H3" s="631"/>
    </row>
    <row r="4" spans="1:25" s="632" customFormat="1" ht="16.8" customHeight="1">
      <c r="A4" s="860" t="str">
        <f>'PL01'!C3</f>
        <v>Hạng mục: Rà phá bom mìn, vật nổ</v>
      </c>
      <c r="B4" s="861"/>
      <c r="C4" s="861"/>
      <c r="D4" s="861"/>
      <c r="E4" s="861"/>
      <c r="F4" s="861"/>
    </row>
    <row r="5" spans="1:25" s="630" customFormat="1" ht="22.8" customHeight="1">
      <c r="A5" s="860" t="str">
        <f>'PL01'!C4</f>
        <v>Địa điểm: Xã Hồng Quang, tỉnh Hưng Yên</v>
      </c>
      <c r="B5" s="861"/>
      <c r="C5" s="861"/>
      <c r="D5" s="861"/>
      <c r="E5" s="861"/>
      <c r="F5" s="861"/>
    </row>
    <row r="6" spans="1:25" s="632" customFormat="1" ht="21" hidden="1" customHeight="1">
      <c r="A6" s="858" t="s">
        <v>240</v>
      </c>
      <c r="B6" s="858"/>
      <c r="C6" s="858"/>
      <c r="D6" s="858"/>
      <c r="E6" s="858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64" t="s">
        <v>554</v>
      </c>
      <c r="B28" s="864"/>
      <c r="C28" s="864"/>
      <c r="D28" s="864"/>
      <c r="E28" s="864"/>
      <c r="F28" s="864"/>
      <c r="G28" s="865"/>
      <c r="H28" s="865"/>
      <c r="I28" s="865"/>
      <c r="J28" s="865"/>
      <c r="K28" s="865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6" t="s">
        <v>179</v>
      </c>
      <c r="B30" s="866"/>
      <c r="C30" s="424"/>
      <c r="D30" s="866" t="s">
        <v>123</v>
      </c>
      <c r="E30" s="866"/>
      <c r="F30" s="866"/>
    </row>
    <row r="31" spans="1:12" ht="16.95" customHeight="1">
      <c r="A31" s="866"/>
      <c r="B31" s="866"/>
      <c r="C31" s="424"/>
      <c r="D31" s="866" t="s">
        <v>550</v>
      </c>
      <c r="E31" s="866"/>
      <c r="F31" s="866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6" t="s">
        <v>551</v>
      </c>
      <c r="E35" s="866"/>
      <c r="F35" s="866"/>
    </row>
    <row r="36" spans="1:6" ht="18">
      <c r="A36" s="862"/>
      <c r="B36" s="862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63"/>
      <c r="B39" s="863"/>
      <c r="C39" s="863"/>
      <c r="D39" s="863"/>
      <c r="E39" s="863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tabSelected="1" view="pageBreakPreview" zoomScale="60" zoomScaleNormal="85" workbookViewId="0">
      <selection activeCell="K22" sqref="K22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06" t="s">
        <v>351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23"/>
      <c r="M1" s="23"/>
      <c r="N1" s="23"/>
      <c r="O1" s="23"/>
    </row>
    <row r="2" spans="1:22" ht="24" customHeight="1">
      <c r="A2" s="806" t="s">
        <v>112</v>
      </c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23"/>
      <c r="M2" s="23"/>
      <c r="N2" s="23"/>
      <c r="O2" s="23"/>
      <c r="Q2" s="807"/>
      <c r="R2" s="807"/>
      <c r="S2" s="807"/>
      <c r="T2" s="807"/>
    </row>
    <row r="3" spans="1:22" ht="24" hidden="1" customHeight="1">
      <c r="A3" s="805" t="e">
        <f>#REF!</f>
        <v>#REF!</v>
      </c>
      <c r="B3" s="805"/>
      <c r="C3" s="805"/>
      <c r="D3" s="805"/>
      <c r="E3" s="805"/>
      <c r="F3" s="805"/>
      <c r="G3" s="805"/>
      <c r="H3" s="805"/>
      <c r="I3" s="805"/>
      <c r="J3" s="805"/>
      <c r="K3" s="805"/>
      <c r="L3" s="23"/>
      <c r="M3" s="23"/>
      <c r="N3" s="23"/>
      <c r="O3" s="23"/>
    </row>
    <row r="4" spans="1:22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5" t="s">
        <v>195</v>
      </c>
      <c r="B5" s="805"/>
      <c r="C5" s="805"/>
      <c r="D5" s="805"/>
      <c r="E5" s="805"/>
      <c r="F5" s="805"/>
      <c r="G5" s="805"/>
      <c r="H5" s="805"/>
      <c r="I5" s="805"/>
      <c r="J5" s="805"/>
      <c r="K5" s="805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08" t="str">
        <f>'THKP-TC'!A5</f>
        <v>Địa điểm: Xã Hồng Quang, tỉnh Hưng Yên</v>
      </c>
      <c r="B6" s="805"/>
      <c r="C6" s="805"/>
      <c r="D6" s="805"/>
      <c r="E6" s="805"/>
      <c r="F6" s="805"/>
      <c r="G6" s="805"/>
      <c r="H6" s="805"/>
      <c r="I6" s="805"/>
      <c r="J6" s="805"/>
      <c r="K6" s="805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12"/>
      <c r="B7" s="812"/>
      <c r="C7" s="812"/>
      <c r="D7" s="812"/>
      <c r="E7" s="812"/>
      <c r="F7" s="812"/>
      <c r="G7" s="812"/>
      <c r="H7" s="812"/>
      <c r="I7" s="812"/>
      <c r="J7" s="812"/>
      <c r="K7" s="81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13" t="s">
        <v>0</v>
      </c>
      <c r="B9" s="813" t="s">
        <v>49</v>
      </c>
      <c r="C9" s="813" t="s">
        <v>53</v>
      </c>
      <c r="D9" s="813" t="s">
        <v>22</v>
      </c>
      <c r="E9" s="813" t="s">
        <v>164</v>
      </c>
      <c r="F9" s="809" t="s">
        <v>31</v>
      </c>
      <c r="G9" s="809"/>
      <c r="H9" s="809"/>
      <c r="I9" s="809" t="s">
        <v>45</v>
      </c>
      <c r="J9" s="809"/>
      <c r="K9" s="809"/>
      <c r="L9" s="809" t="s">
        <v>167</v>
      </c>
      <c r="M9" s="809"/>
      <c r="N9" s="809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14"/>
      <c r="B10" s="814"/>
      <c r="C10" s="814"/>
      <c r="D10" s="814"/>
      <c r="E10" s="81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SUM(L12:L18)</f>
        <v>0</v>
      </c>
      <c r="M11" s="66">
        <f>SUM(M12:M18)</f>
        <v>0</v>
      </c>
      <c r="N11" s="66">
        <f>SUM(N12:N18)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>D12*F12</f>
        <v>0</v>
      </c>
      <c r="J12" s="384">
        <f>D12*G12</f>
        <v>63179325</v>
      </c>
      <c r="K12" s="384">
        <f>D12*H12</f>
        <v>0</v>
      </c>
      <c r="L12" s="241">
        <f>E12*F12</f>
        <v>0</v>
      </c>
      <c r="M12" s="241">
        <f>E12*G12</f>
        <v>0</v>
      </c>
      <c r="N12" s="241">
        <f>E12*H12</f>
        <v>0</v>
      </c>
      <c r="O12" s="241"/>
      <c r="P12" s="501">
        <f t="shared" ref="P12:P14" si="0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>D13*F13</f>
        <v>3244405.5</v>
      </c>
      <c r="J13" s="385">
        <f>D13*G13</f>
        <v>32740092</v>
      </c>
      <c r="K13" s="385">
        <f>D13*H13</f>
        <v>33634160.773200005</v>
      </c>
      <c r="L13" s="241">
        <f>E13*F13</f>
        <v>0</v>
      </c>
      <c r="M13" s="241">
        <f>E13*G13</f>
        <v>0</v>
      </c>
      <c r="N13" s="241">
        <f>E13*H13</f>
        <v>0</v>
      </c>
      <c r="O13" s="241"/>
      <c r="P13" s="501" t="str">
        <f t="shared" si="0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>D14*F14</f>
        <v>0</v>
      </c>
      <c r="J14" s="385">
        <f>D14*G14</f>
        <v>8290350</v>
      </c>
      <c r="K14" s="385">
        <f>D14*H14</f>
        <v>2852079.048</v>
      </c>
      <c r="L14" s="241">
        <f>E14*F14</f>
        <v>0</v>
      </c>
      <c r="M14" s="241">
        <f>E14*G14</f>
        <v>0</v>
      </c>
      <c r="N14" s="241">
        <f>E14*H14</f>
        <v>0</v>
      </c>
      <c r="O14" s="241"/>
      <c r="P14" s="501">
        <f t="shared" si="0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>D15*F15</f>
        <v>1582034.9999999998</v>
      </c>
      <c r="J15" s="385">
        <f>D15*G15</f>
        <v>8619682.5</v>
      </c>
      <c r="K15" s="385">
        <f>D15*H15</f>
        <v>12425391.315999998</v>
      </c>
      <c r="L15" s="241">
        <f>E15*F15</f>
        <v>0</v>
      </c>
      <c r="M15" s="241">
        <f>E15*G15</f>
        <v>0</v>
      </c>
      <c r="N15" s="241">
        <f>E15*H15</f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>D16*F16</f>
        <v>0</v>
      </c>
      <c r="J16" s="385">
        <f>D16*G16</f>
        <v>0</v>
      </c>
      <c r="K16" s="385">
        <f>D16*H16</f>
        <v>0</v>
      </c>
      <c r="L16" s="241">
        <f>E16*F16</f>
        <v>0</v>
      </c>
      <c r="M16" s="241">
        <f>E16*G16</f>
        <v>0</v>
      </c>
      <c r="N16" s="241">
        <f>E16*H16</f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>D17*F17</f>
        <v>382556.96358879999</v>
      </c>
      <c r="J17" s="385">
        <f>D17*G17</f>
        <v>11810799</v>
      </c>
      <c r="K17" s="385">
        <f>D17*H17</f>
        <v>171423.09184000001</v>
      </c>
      <c r="L17" s="241">
        <f>E17*F17</f>
        <v>0</v>
      </c>
      <c r="M17" s="241">
        <f>E17*G17</f>
        <v>0</v>
      </c>
      <c r="N17" s="241">
        <f>E17*H17</f>
        <v>0</v>
      </c>
      <c r="O17" s="241"/>
      <c r="P17" s="501">
        <f t="shared" ref="P17:P18" si="1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>D18*F18</f>
        <v>0</v>
      </c>
      <c r="J18" s="385">
        <f>D18*G18</f>
        <v>0</v>
      </c>
      <c r="K18" s="385">
        <f>D18*H18</f>
        <v>0</v>
      </c>
      <c r="L18" s="241">
        <f>E18*F18</f>
        <v>0</v>
      </c>
      <c r="M18" s="241">
        <f>E18*G18</f>
        <v>0</v>
      </c>
      <c r="N18" s="241">
        <f>E18*H18</f>
        <v>0</v>
      </c>
      <c r="O18" s="241"/>
      <c r="P18" s="501">
        <f t="shared" si="1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509776991.89318007</v>
      </c>
      <c r="L19" s="66">
        <f>SUM(L20:L26)</f>
        <v>0</v>
      </c>
      <c r="M19" s="66">
        <f>SUM(M20:M26)</f>
        <v>0</v>
      </c>
      <c r="N19" s="66">
        <f>SUM(N20:N26)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>D20*F20</f>
        <v>3806374.88</v>
      </c>
      <c r="J20" s="385">
        <f>D20*G20</f>
        <v>78409485</v>
      </c>
      <c r="K20" s="385">
        <f>D20*H20</f>
        <v>263169948.06200004</v>
      </c>
      <c r="L20" s="241">
        <f>E20*F20</f>
        <v>0</v>
      </c>
      <c r="M20" s="241">
        <f>E20*G20</f>
        <v>0</v>
      </c>
      <c r="N20" s="241">
        <f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>D21*F21</f>
        <v>2370689.7760000001</v>
      </c>
      <c r="J21" s="385">
        <f>D21*G21</f>
        <v>31952151</v>
      </c>
      <c r="K21" s="385">
        <f>D21*H21</f>
        <v>130232616.18780001</v>
      </c>
      <c r="L21" s="241">
        <f>E21*F21</f>
        <v>0</v>
      </c>
      <c r="M21" s="241">
        <f>E21*G21</f>
        <v>0</v>
      </c>
      <c r="N21" s="241">
        <f>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>D22*F22</f>
        <v>619483.5</v>
      </c>
      <c r="J22" s="385">
        <f>D22*G22</f>
        <v>3908520</v>
      </c>
      <c r="K22" s="385">
        <f>D22*H22</f>
        <v>4832182.8000000007</v>
      </c>
      <c r="L22" s="241">
        <f>E22*F22</f>
        <v>0</v>
      </c>
      <c r="M22" s="241">
        <f>E22*G22</f>
        <v>0</v>
      </c>
      <c r="N22" s="241">
        <f>E22*H22</f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>D23*F23</f>
        <v>0</v>
      </c>
      <c r="J23" s="385">
        <f>D23*G23</f>
        <v>15142050</v>
      </c>
      <c r="K23" s="385">
        <f>D23*H23</f>
        <v>58738803.620000005</v>
      </c>
      <c r="L23" s="241">
        <f>E23*F23</f>
        <v>0</v>
      </c>
      <c r="M23" s="241">
        <f>E23*G23</f>
        <v>0</v>
      </c>
      <c r="N23" s="241">
        <f>E23*H23</f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>D24*F24</f>
        <v>0</v>
      </c>
      <c r="J24" s="385">
        <f>D24*G24</f>
        <v>796950</v>
      </c>
      <c r="K24" s="385">
        <f>D24*H24</f>
        <v>5352092.9910000004</v>
      </c>
      <c r="L24" s="241">
        <f>E24*F24</f>
        <v>0</v>
      </c>
      <c r="M24" s="241">
        <f>E24*G24</f>
        <v>0</v>
      </c>
      <c r="N24" s="241">
        <f>E24*H24</f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>D25*F25</f>
        <v>535040</v>
      </c>
      <c r="J25" s="385">
        <f>D25*G25</f>
        <v>495000</v>
      </c>
      <c r="K25" s="385">
        <f>D25*H25</f>
        <v>1107985.3330000001</v>
      </c>
      <c r="L25" s="241">
        <f>E25*F25</f>
        <v>0</v>
      </c>
      <c r="M25" s="241">
        <f>E25*G25</f>
        <v>0</v>
      </c>
      <c r="N25" s="241">
        <f>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 t="s">
        <v>553</v>
      </c>
      <c r="D27" s="511" t="s">
        <v>553</v>
      </c>
      <c r="E27" s="511" t="s">
        <v>553</v>
      </c>
      <c r="F27" s="511" t="s">
        <v>553</v>
      </c>
      <c r="G27" s="511" t="s">
        <v>553</v>
      </c>
      <c r="H27" s="511" t="s">
        <v>553</v>
      </c>
      <c r="I27" s="512">
        <f>I11+I19</f>
        <v>12540585.6195888</v>
      </c>
      <c r="J27" s="512">
        <f>J11+J19</f>
        <v>268414820.09999999</v>
      </c>
      <c r="K27" s="512">
        <f>K11+K19</f>
        <v>558860046.12222004</v>
      </c>
      <c r="L27" s="512">
        <f>L11+L19</f>
        <v>0</v>
      </c>
      <c r="M27" s="512">
        <f>M11+M19</f>
        <v>0</v>
      </c>
      <c r="N27" s="512">
        <f>N11+N19</f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10"/>
      <c r="D30" s="811"/>
      <c r="I30" s="206"/>
      <c r="J30" s="206"/>
      <c r="K30" s="206"/>
      <c r="P30" s="207"/>
    </row>
    <row r="31" spans="1:22">
      <c r="C31" s="810"/>
      <c r="D31" s="811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1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839815452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547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549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2026-08-03T14:55:49Z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1|9663bd13192849358f48881f0f5bca89|8|E03E66CB307F1CE6896FC32AEB142D40804F4423E76F0BD46C34DB2E72BB01C3</vt:lpwstr>
  </property>
  <property fmtid="{D5CDD505-2E9C-101B-9397-08002B2CF9AE}" pid="12" name="TTBMVN.PriceProfile.Part.4fddd3b4fffe45e6b4c638ab6bcb62e8.0000">
    <vt:lpwstr>TTBMVN_PRICE_PROFILE
schema=1
profileId=VEVTVC1EVDEwMy1QUklDRS1CQVNFTElORQ==
dataVersion=MS4wLjA=
displayName=TmhhcCB0dSBEVC00MDYtd29ya2luZy1jb3B5Lnhsc20=
location=SGEgTm9p
valuationDate=2026-08-03
laborAudience=2
createdAtUtc=2026-08-03T12</vt:lpwstr>
  </property>
  <property fmtid="{D5CDD505-2E9C-101B-9397-08002B2CF9AE}" pid="13" name="TTBMVN.PriceProfile.Part.4fddd3b4fffe45e6b4c638ab6bcb62e8.0001">
    <vt:lpwstr>:36:59.1093208Z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14" name="TTBMVN.PriceProfile.Part.4fddd3b4fffe45e6b4c638ab6bcb62e8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15" name="TTBMVN.PriceProfile.Part.4fddd3b4fffe45e6b4c638ab6bcb62e8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16" name="TTBMVN.PriceProfile.Part.4fddd3b4fffe45e6b4c638ab6bcb62e8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17" name="TTBMVN.PriceProfile.Part.4fddd3b4fffe45e6b4c638ab6bcb62e8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18" name="TTBMVN.PriceProfile.Part.4fddd3b4fffe45e6b4c638ab6bcb62e8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19" name="TTBMVN.PriceProfile.Part.4fddd3b4fffe45e6b4c638ab6bcb62e8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0" name="TTBMVN.PriceProfile.Part.4fddd3b4fffe45e6b4c638ab6bcb62e8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1" name="TTBMVN.PriceProfile.Part.4fddd3b4fffe45e6b4c638ab6bcb62e8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22" name="TTBMVN.PriceProfile.Part.4fddd3b4fffe45e6b4c638ab6bcb62e8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23" name="TTBMVN.PriceProfile.Part.4fddd3b4fffe45e6b4c638ab6bcb62e8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24" name="TTBMVN.PriceProfile.Part.4fddd3b4fffe45e6b4c638ab6bcb62e8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25" name="TTBMVN.PriceProfile.Part.4fddd3b4fffe45e6b4c638ab6bcb62e8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26" name="TTBMVN.PriceProfile.Part.4fddd3b4fffe45e6b4c638ab6bcb62e8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27" name="TTBMVN.PriceProfile.Part.4fddd3b4fffe45e6b4c638ab6bcb62e8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28" name="TTBMVN.PriceProfile.Part.4fddd3b4fffe45e6b4c638ab6bcb62e8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29" name="TTBMVN.PriceProfile.Part.4fddd3b4fffe45e6b4c638ab6bcb62e8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0" name="TTBMVN.PriceProfile.Part.4fddd3b4fffe45e6b4c638ab6bcb62e8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1" name="TTBMVN.PriceProfile.Part.4fddd3b4fffe45e6b4c638ab6bcb62e8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32" name="TTBMVN.PriceProfile.Part.4fddd3b4fffe45e6b4c638ab6bcb62e8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33" name="TTBMVN.PriceProfile.Part.4fddd3b4fffe45e6b4c638ab6bcb62e8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34" name="TTBMVN.PriceProfile.Part.4fddd3b4fffe45e6b4c638ab6bcb62e8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35" name="TTBMVN.PriceProfile.Part.4fddd3b4fffe45e6b4c638ab6bcb62e8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36" name="TTBMVN.PriceProfile.Part.4fddd3b4fffe45e6b4c638ab6bcb62e8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37" name="TTBMVN.PriceProfile.Part.4fddd3b4fffe45e6b4c638ab6bcb62e8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38" name="TTBMVN.PriceProfile.Part.4fddd3b4fffe45e6b4c638ab6bcb62e8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39" name="TTBMVN.PriceProfile.Part.4fddd3b4fffe45e6b4c638ab6bcb62e8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0" name="TTBMVN.PriceProfile.Part.4fddd3b4fffe45e6b4c638ab6bcb62e8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1" name="TTBMVN.PriceProfile.Part.4fddd3b4fffe45e6b4c638ab6bcb62e8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42" name="TTBMVN.PriceProfile.Part.4fddd3b4fffe45e6b4c638ab6bcb62e8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43" name="TTBMVN.PriceProfile.Part.4fddd3b4fffe45e6b4c638ab6bcb62e8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44" name="TTBMVN.PriceProfile.Part.4fddd3b4fffe45e6b4c638ab6bcb62e8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45" name="TTBMVN.PriceProfile.Part.4fddd3b4fffe45e6b4c638ab6bcb62e8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46" name="TTBMVN.PriceProfile.Part.4fddd3b4fffe45e6b4c638ab6bcb62e8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47" name="TTBMVN.PriceProfile.Part.4fddd3b4fffe45e6b4c638ab6bcb62e8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48" name="TTBMVN.PriceProfile.Part.4fddd3b4fffe45e6b4c638ab6bcb62e8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49" name="TTBMVN.PriceProfile.Part.4fddd3b4fffe45e6b4c638ab6bcb62e8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0" name="TTBMVN.PriceProfile.Part.4fddd3b4fffe45e6b4c638ab6bcb62e8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1" name="TTBMVN.PriceProfile.Part.4fddd3b4fffe45e6b4c638ab6bcb62e8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52" name="TTBMVN.PriceProfile.Part.4fddd3b4fffe45e6b4c638ab6bcb62e8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53" name="TTBMVN.PriceProfile.Part.4fddd3b4fffe45e6b4c638ab6bcb62e8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54" name="TTBMVN.PriceProfile.Part.4fddd3b4fffe45e6b4c638ab6bcb62e8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55" name="TTBMVN.PriceProfile.Part.4fddd3b4fffe45e6b4c638ab6bcb62e8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56" name="TTBMVN.PriceProfile.Part.4fddd3b4fffe45e6b4c638ab6bcb62e8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57" name="TTBMVN.PriceProfile.Part.4fddd3b4fffe45e6b4c638ab6bcb62e8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58" name="TTBMVN.PriceProfile.Part.4fddd3b4fffe45e6b4c638ab6bcb62e8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59" name="TTBMVN.PriceProfile.Part.4fddd3b4fffe45e6b4c638ab6bcb62e8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0" name="TTBMVN.PriceProfile.Part.4fddd3b4fffe45e6b4c638ab6bcb62e8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1" name="TTBMVN.PriceProfile.Part.4fddd3b4fffe45e6b4c638ab6bcb62e8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62" name="TTBMVN.PriceProfile.Part.4fddd3b4fffe45e6b4c638ab6bcb62e8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63" name="TTBMVN.PriceProfile.Part.4fddd3b4fffe45e6b4c638ab6bcb62e8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64" name="TTBMVN.PriceProfile.Part.4fddd3b4fffe45e6b4c638ab6bcb62e8.0052">
    <vt:lpwstr>deCount=0
checksum=8345661796B51CC48A6E4821015ECA03F301FAA2D4E3168C5AD34C0108100C87</vt:lpwstr>
  </property>
  <property fmtid="{D5CDD505-2E9C-101B-9397-08002B2CF9AE}" pid="65" name="TTBMVN.PriceProfile.Manifest">
    <vt:lpwstr>1|4fddd3b4fffe45e6b4c638ab6bcb62e8|53|4F741B8B555B884720CFAA7CFAD37E55149EA91D158E1D2836ED723880F5D6DB</vt:lpwstr>
  </property>
  <property fmtid="{D5CDD505-2E9C-101B-9397-08002B2CF9AE}" pid="66" name="TTBMVN.ResultAudit.Manifest">
    <vt:lpwstr>1|b24958dd8ddf45b1a9686d30672dfaf5|112|FB103C145EC8E41AF777B21B722D61229132557BE0FE91D1C829B9F27C299622</vt:lpwstr>
  </property>
  <property fmtid="{D5CDD505-2E9C-101B-9397-08002B2CF9AE}" pid="67" name="TTBMVN.ResultAudit.Part.b24958dd8ddf45b1a9686d30672dfaf5.0000">
    <vt:lpwstr>TTBMVN_RESULT_AUDIT
schema=1
entries=22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68" name="TTBMVN.ResultAudit.Part.b24958dd8ddf45b1a9686d30672dfaf5.0001">
    <vt:lpwstr>eG7h24gdMOtY2ggY+G6oW4sIGtow7RuZyBwaOG6o2kgYsOjaSBtw6xu|QlFQLVJQQk0tMjAyNQ==|Mi4wLjE=|E2537C08E7156414585BEFC446E74DD51E79AB8D67A3774B1F5250E7EECCDA90|VEVTVC1EVDEwMy1QUklDRS1CQVNFTElORQ==|MS4wLjA=|8345661796B51CC48A6E4821015ECA03F301FAA2D4E</vt:lpwstr>
  </property>
  <property fmtid="{D5CDD505-2E9C-101B-9397-08002B2CF9AE}" pid="69" name="TTBMVN.ResultAudit.Part.b24958dd8ddf45b1a9686d30672dfaf5.0002">
    <vt:lpwstr>3168C5AD34C0108100C87|Tk9STS0wMTAuMDIwMA==|Zm9yZXN0LTE=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70" name="TTBMVN.ResultAudit.Part.b24958dd8ddf45b1a9686d30672dfaf5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71" name="TTBMVN.ResultAudit.Part.b24958dd8ddf45b1a9686d30672dfaf5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72" name="TTBMVN.ResultAudit.Part.b24958dd8ddf45b1a9686d30672dfaf5.0005">
    <vt:lpwstr>|E2537C08E7156414585BEFC446E74DD51E79AB8D67A3774B1F5250E7EECCDA90|VEVTVC1EVDEwMy1QUklDRS1CQVNFTElORQ==|MS4wLjA=|8345661796B51CC48A6E4821015ECA03F301FAA2D4E3168C5AD34C0108100C87|Tk9STS0wMjAuMDIwMA==|ZGVuc2l0eS0x
source|RVNUfFNoZWV0MjR8MTM=|1</vt:lpwstr>
  </property>
  <property fmtid="{D5CDD505-2E9C-101B-9397-08002B2CF9AE}" pid="73" name="TTBMVN.ResultAudit.Part.b24958dd8ddf45b1a9686d30672dfaf5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74" name="TTBMVN.ResultAudit.Part.b24958dd8ddf45b1a9686d30672dfaf5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75" name="TTBMVN.ResultAudit.Part.b24958dd8ddf45b1a9686d30672dfaf5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76" name="TTBMVN.ResultAudit.Part.b24958dd8ddf45b1a9686d30672dfaf5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77" name="TTBMVN.ResultAudit.Part.b24958dd8ddf45b1a9686d30672dfaf5.0010">
    <vt:lpwstr>56414585BEFC446E74DD51E79AB8D67A3774B1F5250E7EECCDA90|VEVTVC1EVDEwMy1QUklDRS1CQVNFTElORQ==|MS4wLjA=|8345661796B51CC48A6E4821015ECA03F301FAA2D4E3168C5AD34C0108100C87|Tk9STS0wMjAuMDMwMA==|c29pbC0x
source|RVNUfFNoZWV0MjR8MTQ=|1|VkJITjk3LTIwMjU</vt:lpwstr>
  </property>
  <property fmtid="{D5CDD505-2E9C-101B-9397-08002B2CF9AE}" pid="78" name="TTBMVN.ResultAudit.Part.b24958dd8ddf45b1a9686d30672dfaf5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79" name="TTBMVN.ResultAudit.Part.b24958dd8ddf45b1a9686d30672dfaf5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80" name="TTBMVN.ResultAudit.Part.b24958dd8ddf45b1a9686d30672dfaf5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81" name="TTBMVN.ResultAudit.Part.b24958dd8ddf45b1a9686d30672dfaf5.0014">
    <vt:lpwstr>0|VEVTVC1EVDEwMy1QUklDRS1CQVNFTElORQ==|MS4wLjA=|8345661796B51CC48A6E4821015ECA03F301FAA2D4E3168C5AD34C0108100C87|Tk9STS0wMjAuMDUwMA==|ZGVwdGgtMw==
source|RVNUfFNoZWV0MjR8MTU=|1|VkJITjk3LTIwMjUtQlFQ|24|25|UGjhu6UgbOG7pWMgSSwgUGjhuqduIElJLCBD</vt:lpwstr>
  </property>
  <property fmtid="{D5CDD505-2E9C-101B-9397-08002B2CF9AE}" pid="82" name="TTBMVN.ResultAudit.Part.b24958dd8ddf45b1a9686d30672dfaf5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83" name="TTBMVN.ResultAudit.Part.b24958dd8ddf45b1a9686d30672dfaf5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84" name="TTBMVN.ResultAudit.Part.b24958dd8ddf45b1a9686d30672dfaf5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85" name="TTBMVN.ResultAudit.Part.b24958dd8ddf45b1a9686d30672dfaf5.0018">
    <vt:lpwstr>gdHLDqm4gY+G6oW4gdOG7qyDEkeG7mSBzw6J1IDAsM20tNW0u|QlFQLVJQQk0tMjAyNQ==|Mi4wLjE=|E2537C08E7156414585BEFC446E74DD51E79AB8D67A3774B1F5250E7EECCDA90|VEVTVC1EVDEwMy1QUklDRS1CQVNFTElORQ==|MS4wLjA=|8345661796B51CC48A6E4821015ECA03F301FAA2D4E3168C5</vt:lpwstr>
  </property>
  <property fmtid="{D5CDD505-2E9C-101B-9397-08002B2CF9AE}" pid="86" name="TTBMVN.ResultAudit.Part.b24958dd8ddf45b1a9686d30672dfaf5.0019">
    <vt:lpwstr>AD34C0108100C87|Tk9STS0wMjAuMDUwMA==|ZGVwdGgtNQ==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87" name="TTBMVN.ResultAudit.Part.b24958dd8ddf45b1a9686d30672dfaf5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88" name="TTBMVN.ResultAudit.Part.b24958dd8ddf45b1a9686d30672dfaf5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89" name="TTBMVN.ResultAudit.Part.b24958dd8ddf45b1a9686d30672dfaf5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90" name="TTBMVN.ResultAudit.Part.b24958dd8ddf45b1a9686d30672dfaf5.0023">
    <vt:lpwstr>IEMy|QlFQLVJQQk0tMjAyNQ==|Mi4wLjE=|E2537C08E7156414585BEFC446E74DD51E79AB8D67A3774B1F5250E7EECCDA90|VEVTVC1EVDEwMy1QUklDRS1CQVNFTElORQ==|MS4wLjA=|8345661796B51CC48A6E4821015ECA03F301FAA2D4E3168C5AD34C0108100C87|Tk9STS0wMjAuMDcwMA==|c29pbC0y</vt:lpwstr>
  </property>
  <property fmtid="{D5CDD505-2E9C-101B-9397-08002B2CF9AE}" pid="91" name="TTBMVN.ResultAudit.Part.b24958dd8ddf45b1a9686d30672dfaf5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92" name="TTBMVN.ResultAudit.Part.b24958dd8ddf45b1a9686d30672dfaf5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93" name="TTBMVN.ResultAudit.Part.b24958dd8ddf45b1a9686d30672dfaf5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94" name="TTBMVN.ResultAudit.Part.b24958dd8ddf45b1a9686d30672dfaf5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95" name="TTBMVN.ResultAudit.Part.b24958dd8ddf45b1a9686d30672dfaf5.0028">
    <vt:lpwstr>=|E2537C08E7156414585BEFC446E74DD51E79AB8D67A3774B1F5250E7EECCDA90|VEVTVC1EVDEwMy1QUklDRS1CQVNFTElORQ==|MS4wLjA=|8345661796B51CC48A6E4821015ECA03F301FAA2D4E3168C5AD34C0108100C87|Tk9STS0wMjAuMDgwMA==|
source|RVNUfFNoZWV0MjR8MTg=|3||0|0||Uk9V</vt:lpwstr>
  </property>
  <property fmtid="{D5CDD505-2E9C-101B-9397-08002B2CF9AE}" pid="96" name="TTBMVN.ResultAudit.Part.b24958dd8ddf45b1a9686d30672dfaf5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97" name="TTBMVN.ResultAudit.Part.b24958dd8ddf45b1a9686d30672dfaf5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98" name="TTBMVN.ResultAudit.Part.b24958dd8ddf45b1a9686d30672dfaf5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99" name="TTBMVN.ResultAudit.Part.b24958dd8ddf45b1a9686d30672dfaf5.0032">
    <vt:lpwstr>B1F5250E7EECCDA90|VEVTVC1EVDEwMy1QUklDRS1CQVNFTElORQ==|MS4wLjA=|8345661796B51CC48A6E4821015ECA03F301FAA2D4E3168C5AD34C0108100C87|Tk9STS0wMzAuMDEwMA==|d2F0ZXItMC41LTEy
source|RVNUfFNoZWV0MjR8MjA=|1|VkJITjk3LTIwMjUtQlFQ|30|31|UGjhu6UgbOG7pWMg</vt:lpwstr>
  </property>
  <property fmtid="{D5CDD505-2E9C-101B-9397-08002B2CF9AE}" pid="100" name="TTBMVN.ResultAudit.Part.b24958dd8ddf45b1a9686d30672dfaf5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101" name="TTBMVN.ResultAudit.Part.b24958dd8ddf45b1a9686d30672dfaf5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102" name="TTBMVN.ResultAudit.Part.b24958dd8ddf45b1a9686d30672dfaf5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103" name="TTBMVN.ResultAudit.Part.b24958dd8ddf45b1a9686d30672dfaf5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104" name="TTBMVN.ResultAudit.Part.b24958dd8ddf45b1a9686d30672dfaf5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105" name="TTBMVN.ResultAudit.Part.b24958dd8ddf45b1a9686d30672dfaf5.0038">
    <vt:lpwstr>IHTDrG0gZMaw4bubaSBuxrDhu5tjIHThu6sgxJHhu5kgc8OidSAwLDVtIC0gM20uIE7GsOG7m2Mgc8OidSAwLDVtIC0gMTJt|QlFQLVJQQk0tMjAyNQ==|Mi4wLjE=|E2537C08E7156414585BEFC446E74DD51E79AB8D67A3774B1F5250E7EECCDA90|VEVTVC1EVDEwMy1QUklDRS1CQVNFTElORQ==|MS4wLjA=|83</vt:lpwstr>
  </property>
  <property fmtid="{D5CDD505-2E9C-101B-9397-08002B2CF9AE}" pid="106" name="TTBMVN.ResultAudit.Part.b24958dd8ddf45b1a9686d30672dfaf5.0039">
    <vt:lpwstr>45661796B51CC48A6E4821015ECA03F301FAA2D4E3168C5AD34C0108100C87|Tk9STS0wMzAuMDIwMA==|d2F0ZXItMC41LTEy
source|RVNUfFNoZWV0MjR8MjE=|1|VkJITjk3LTIwMjUtQlFQ|31|32|UGjhu6UgbOG7pWMgSSwgUGjhuqduIElJLCBDaMawxqFuZyBJViwgbeG7pWMgMg==|
source|RVNUfFNoZ</vt:lpwstr>
  </property>
  <property fmtid="{D5CDD505-2E9C-101B-9397-08002B2CF9AE}" pid="107" name="TTBMVN.ResultAudit.Part.b24958dd8ddf45b1a9686d30672dfaf5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108" name="TTBMVN.ResultAudit.Part.b24958dd8ddf45b1a9686d30672dfaf5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109" name="TTBMVN.ResultAudit.Part.b24958dd8ddf45b1a9686d30672dfaf5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110" name="TTBMVN.ResultAudit.Part.b24958dd8ddf45b1a9686d30672dfaf5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111" name="TTBMVN.ResultAudit.Part.b24958dd8ddf45b1a9686d30672dfaf5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112" name="TTBMVN.ResultAudit.Part.b24958dd8ddf45b1a9686d30672dfaf5.0045">
    <vt:lpwstr>BOxrDhu5tjIHPDonUgM20gLSAxMm0=|QlFQLVJQQk0tMjAyNQ==|Mi4wLjE=|E2537C08E7156414585BEFC446E74DD51E79AB8D67A3774B1F5250E7EECCDA90|VEVTVC1EVDEwMy1QUklDRS1CQVNFTElORQ==|MS4wLjA=|8345661796B51CC48A6E4821015ECA03F301FAA2D4E3168C5AD34C0108100C87|Tk9</vt:lpwstr>
  </property>
  <property fmtid="{D5CDD505-2E9C-101B-9397-08002B2CF9AE}" pid="113" name="TTBMVN.ResultAudit.Part.b24958dd8ddf45b1a9686d30672dfaf5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114" name="TTBMVN.ResultAudit.Part.b24958dd8ddf45b1a9686d30672dfaf5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115" name="TTBMVN.ResultAudit.Part.b24958dd8ddf45b1a9686d30672dfaf5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116" name="TTBMVN.ResultAudit.Part.b24958dd8ddf45b1a9686d30672dfaf5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117" name="TTBMVN.ResultAudit.Part.b24958dd8ddf45b1a9686d30672dfaf5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118" name="TTBMVN.ResultAudit.Part.b24958dd8ddf45b1a9686d30672dfaf5.0051">
    <vt:lpwstr>k0tMjAyNQ==|Mi4wLjE=|E2537C08E7156414585BEFC446E74DD51E79AB8D67A3774B1F5250E7EECCDA90|VEVTVC1EVDEwMy1QUklDRS1CQVNFTElORQ==|MS4wLjA=|8345661796B51CC48A6E4821015ECA03F301FAA2D4E3168C5AD34C0108100C87|Tk9STS0wMzAuMDQwMA==|d2F0ZXItMC41LTEy
sourc</vt:lpwstr>
  </property>
  <property fmtid="{D5CDD505-2E9C-101B-9397-08002B2CF9AE}" pid="119" name="TTBMVN.ResultAudit.Part.b24958dd8ddf45b1a9686d30672dfaf5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120" name="TTBMVN.ResultAudit.Part.b24958dd8ddf45b1a9686d30672dfaf5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121" name="TTBMVN.ResultAudit.Part.b24958dd8ddf45b1a9686d30672dfaf5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122" name="TTBMVN.ResultAudit.Part.b24958dd8ddf45b1a9686d30672dfaf5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123" name="TTBMVN.ResultAudit.Part.b24958dd8ddf45b1a9686d30672dfaf5.0056">
    <vt:lpwstr>gdMOtbiBoaeG7h3UgdOG7qyDEkeG7mSBzw6J1IDAsNW0gLSAxbSAoMDFUSC9oYSk=|QlFQLVJQQk0tMjAyNQ==|Mi4wLjE=|E2537C08E7156414585BEFC446E74DD51E79AB8D67A3774B1F5250E7EECCDA90|VEVTVC1EVDEwMy1QUklDRS1CQVNFTElORQ==|MS4wLjA=|8345661796B51CC48A6E4821015ECA03F</vt:lpwstr>
  </property>
  <property fmtid="{D5CDD505-2E9C-101B-9397-08002B2CF9AE}" pid="124" name="TTBMVN.ResultAudit.Part.b24958dd8ddf45b1a9686d30672dfaf5.0057">
    <vt:lpwstr>301FAA2D4E3168C5AD34C0108100C87|Tk9STS0wMzAuMDUwMA==|d2F0ZXItMC41LTEy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125" name="TTBMVN.ResultAudit.Part.b24958dd8ddf45b1a9686d30672dfaf5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126" name="TTBMVN.ResultAudit.Part.b24958dd8ddf45b1a9686d30672dfaf5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127" name="TTBMVN.ResultAudit.Part.b24958dd8ddf45b1a9686d30672dfaf5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128" name="TTBMVN.ResultAudit.Part.b24958dd8ddf45b1a9686d30672dfaf5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129" name="TTBMVN.ResultAudit.Part.b24958dd8ddf45b1a9686d30672dfaf5.0062">
    <vt:lpwstr>Bsw70gdMOtbiBoaeG7h3UgdOG7qyDEkeG7mSBzw6J1IDFtIC0gM20gKCAwLDEgVEgvaGEp|QlFQLVJQQk0tMjAyNQ==|Mi4wLjE=|E2537C08E7156414585BEFC446E74DD51E79AB8D67A3774B1F5250E7EECCDA90|VEVTVC1EVDEwMy1QUklDRS1CQVNFTElORQ==|MS4wLjA=|8345661796B51CC48A6E4821015E</vt:lpwstr>
  </property>
  <property fmtid="{D5CDD505-2E9C-101B-9397-08002B2CF9AE}" pid="130" name="TTBMVN.ResultAudit.Part.b24958dd8ddf45b1a9686d30672dfaf5.0063">
    <vt:lpwstr>CA03F301FAA2D4E3168C5AD34C0108100C87|Tk9STS0wMzAuMDYwMA==|d2F0ZXItMC41LTEy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131" name="TTBMVN.ResultAudit.Part.b24958dd8ddf45b1a9686d30672dfaf5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132" name="TTBMVN.ResultAudit.Part.b24958dd8ddf45b1a9686d30672dfaf5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133" name="TTBMVN.ResultAudit.Part.b24958dd8ddf45b1a9686d30672dfaf5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134" name="TTBMVN.ResultAudit.Part.b24958dd8ddf45b1a9686d30672dfaf5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135" name="TTBMVN.ResultAudit.Part.b24958dd8ddf45b1a9686d30672dfaf5.0068">
    <vt:lpwstr>bmRpeA==|2|U2hlZXQyNA==|RXN0aW1hdGVBcHBlbmRpeA==|11|6|27|14|UGh1IGx1YyBkdSB0b2FuIHRoaSBjb25n|QlFQLVJQQk0tMjAyNQ==|Mi4wLjE=|E2537C08E7156414585BEFC446E74DD51E79AB8D67A3774B1F5250E7EECCDA90|VEVTVC1EVDEwMy1QUklDRS1CQVNFTElORQ==|MS4wLjA=|834566</vt:lpwstr>
  </property>
  <property fmtid="{D5CDD505-2E9C-101B-9397-08002B2CF9AE}" pid="136" name="TTBMVN.ResultAudit.Part.b24958dd8ddf45b1a9686d30672dfaf5.0069">
    <vt:lpwstr>1796B51CC48A6E4821015ECA03F301FAA2D4E3168C5AD34C0108100C87||
source|RVNUfFNoZWV0MjR8QkxPQ0s=|1|VkJITjk3LTIwMjUtQlFQ|21|21|UGjhu6UgbOG7pWMgSSwgUGjhuqduIElJLCBDaMawxqFuZyBJSSwgbeG7pWMgMg==|
source|RVNUfFNoZWV0MjR8QkxPQ0s=|1|VkJITjk3LTIwMjUtQl</vt:lpwstr>
  </property>
  <property fmtid="{D5CDD505-2E9C-101B-9397-08002B2CF9AE}" pid="137" name="TTBMVN.ResultAudit.Part.b24958dd8ddf45b1a9686d30672dfaf5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138" name="TTBMVN.ResultAudit.Part.b24958dd8ddf45b1a9686d30672dfaf5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139" name="TTBMVN.ResultAudit.Part.b24958dd8ddf45b1a9686d30672dfaf5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140" name="TTBMVN.ResultAudit.Part.b24958dd8ddf45b1a9686d30672dfaf5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141" name="TTBMVN.ResultAudit.Part.b24958dd8ddf45b1a9686d30672dfaf5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142" name="TTBMVN.ResultAudit.Part.b24958dd8ddf45b1a9686d30672dfaf5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143" name="TTBMVN.ResultAudit.Part.b24958dd8ddf45b1a9686d30672dfaf5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144" name="TTBMVN.ResultAudit.Part.b24958dd8ddf45b1a9686d30672dfaf5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145" name="TTBMVN.ResultAudit.Part.b24958dd8ddf45b1a9686d30672dfaf5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146" name="TTBMVN.ResultAudit.Part.b24958dd8ddf45b1a9686d30672dfaf5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147" name="TTBMVN.ResultAudit.Part.b24958dd8ddf45b1a9686d30672dfaf5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148" name="TTBMVN.ResultAudit.Part.b24958dd8ddf45b1a9686d30672dfaf5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149" name="TTBMVN.ResultAudit.Part.b24958dd8ddf45b1a9686d30672dfaf5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150" name="TTBMVN.ResultAudit.Part.b24958dd8ddf45b1a9686d30672dfaf5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151" name="TTBMVN.ResultAudit.Part.b24958dd8ddf45b1a9686d30672dfaf5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152" name="TTBMVN.ResultAudit.Part.b24958dd8ddf45b1a9686d30672dfaf5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53" name="TTBMVN.ResultAudit.Part.b24958dd8ddf45b1a9686d30672dfaf5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54" name="TTBMVN.ResultAudit.Part.b24958dd8ddf45b1a9686d30672dfaf5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55" name="TTBMVN.ResultAudit.Part.b24958dd8ddf45b1a9686d30672dfaf5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56" name="TTBMVN.ResultAudit.Part.b24958dd8ddf45b1a9686d30672dfaf5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57" name="TTBMVN.ResultAudit.Part.b24958dd8ddf45b1a9686d30672dfaf5.0090">
    <vt:lpwstr>XQyNCFGMjU6TjI1
source|RVNUfFNoZWV0MjR8QkxPQ0s=|6||0|0||VFRCTVZOX0JMT0NLfDI2fDI3fFkzVnljbVZ1ZEMxbmRDMHdMV3hsTFRBdU5RPT0=
entry|VEhLUHxTaGVldDE2fEJMT0NL|Q29zdFN1bW1hcnk=|4|U2hlZXQxNg==|Q29zdFN1bW1hcnk=|10|4|27|5|VG9uZyBob3Aga2luaCBwaGk=|QlFQ</vt:lpwstr>
  </property>
  <property fmtid="{D5CDD505-2E9C-101B-9397-08002B2CF9AE}" pid="158" name="TTBMVN.ResultAudit.Part.b24958dd8ddf45b1a9686d30672dfaf5.0091">
    <vt:lpwstr>LVJQQk0tMjAyNQ==|Mi4wLjE=|E2537C08E7156414585BEFC446E74DD51E79AB8D67A3774B1F5250E7EECCDA90|VEVTVC1EVDEwMy1QUklDRS1CQVNFTElORQ==|MS4wLjA=|8345661796B51CC48A6E4821015ECA03F301FAA2D4E3168C5AD34C0108100C87||
source|VEhLUHxTaGVldDE2fEJMT0NL|1|Vk</vt:lpwstr>
  </property>
  <property fmtid="{D5CDD505-2E9C-101B-9397-08002B2CF9AE}" pid="159" name="TTBMVN.ResultAudit.Part.b24958dd8ddf45b1a9686d30672dfaf5.0092">
    <vt:lpwstr>JITjk3LTIwMjUtQlFQ|44|44|UGjhu6UgbOG7pWMgSUksIFBo4bqnbiBJLCBt4bulYyBJSUkuMSwgZMOybmcgMg==|
source|VEhLUHxTaGVldDE2fEJMT0NL|1|VkJITjk3LTIwMjUtQlFQ|45|45|UGjhu6UgbOG7pWMgSUksIFBo4bqnbiBJLCBt4bulYyBJSUkuMiwgZMOybmcgMQ==|
source|VEhLUHxTaGVldDE</vt:lpwstr>
  </property>
  <property fmtid="{D5CDD505-2E9C-101B-9397-08002B2CF9AE}" pid="160" name="TTBMVN.ResultAudit.Part.b24958dd8ddf45b1a9686d30672dfaf5.0093">
    <vt:lpwstr>2fEJMT0NL|1|VkJITjk3LTIwMjUtQlFQ|45|45|UGjhu6UgbOG7pWMgSUksIFBo4bqnbiBJLCBt4bulYyBJSUkuMywgbeG7qWMgMQ==|
source|VEhLUHxTaGVldDE2fEJMT0NL|1|VkJITjk3LTIwMjUtQlFQ|45|45|UGjhu6UgbOG7pWMgSUksIFBo4bqnbiBJLCBt4bulYyBJSUkuNCwgZMOybmcgNA==|
source|V</vt:lpwstr>
  </property>
  <property fmtid="{D5CDD505-2E9C-101B-9397-08002B2CF9AE}" pid="161" name="TTBMVN.ResultAudit.Part.b24958dd8ddf45b1a9686d30672dfaf5.0094">
    <vt:lpwstr>EhLUHxTaGVldDE2fEJMT0NL|1|VkJITjk3LTIwMjUtQlFQ|46|46|UGjhu6UgbOG7pWMgSUksIFBo4bqnbiBJLCBt4bulYyBJSUkuNSwgbeG7qWMgMQ==|
source|VEhLUHxTaGVldDE2fEJMT0NL|4||0|0||U2hlZXQyNCFJMjc6SzI3
source|VEhLUHxTaGVldDE2fEJMT0NL|5||0|0||VFQzNi0yMDI2LUJYRC1Q</vt:lpwstr>
  </property>
  <property fmtid="{D5CDD505-2E9C-101B-9397-08002B2CF9AE}" pid="162" name="TTBMVN.ResultAudit.Part.b24958dd8ddf45b1a9686d30672dfaf5.0095">
    <vt:lpwstr>TDMtdGFibGUtMy43
source|VEhLUHxTaGVldDE2fEJMT0NL|5||0|0||VFQzOC0yMDI2LUJYRC1QTDgtdGFibGUtMi4yNA==
entry|VEhLUHxTaGVldDE2fEsx|Q29zdFN1bW1hcnk=|3|U2hlZXQxNg==|Q29zdFN1bW1hcnk=|18|4|18|5|SzE=|QlFQLVJQQk0tMjAyNQ==|Mi4wLjE=|E2537C08E7156414585BE</vt:lpwstr>
  </property>
  <property fmtid="{D5CDD505-2E9C-101B-9397-08002B2CF9AE}" pid="163" name="TTBMVN.ResultAudit.Part.b24958dd8ddf45b1a9686d30672dfaf5.0096">
    <vt:lpwstr>FC446E74DD51E79AB8D67A3774B1F5250E7EECCDA90|VEVTVC1EVDEwMy1QUklDRS1CQVNFTElORQ==|MS4wLjA=|8345661796B51CC48A6E4821015ECA03F301FAA2D4E3168C5AD34C0108100C87||
source|VEhLUHxTaGVldDE2fEsx|1|VkJITjk3LTIwMjUtQlFQ|44|44|UGjhu6UgbOG7pWMgSUksIFBo4b</vt:lpwstr>
  </property>
  <property fmtid="{D5CDD505-2E9C-101B-9397-08002B2CF9AE}" pid="164" name="TTBMVN.ResultAudit.Part.b24958dd8ddf45b1a9686d30672dfaf5.0097">
    <vt:lpwstr>qnbiBJLCBt4bulYyBJSUkuMSwgZMOybmcgMg==|
entry|VEhLUHxTaGVldDE2fEsy|Q29zdFN1bW1hcnk=|3|U2hlZXQxNg==|Q29zdFN1bW1hcnk=|19|4|19|5|SzI=|QlFQLVJQQk0tMjAyNQ==|Mi4wLjE=|E2537C08E7156414585BEFC446E74DD51E79AB8D67A3774B1F5250E7EECCDA90|VEVTVC1EVDEwMy</vt:lpwstr>
  </property>
  <property fmtid="{D5CDD505-2E9C-101B-9397-08002B2CF9AE}" pid="165" name="TTBMVN.ResultAudit.Part.b24958dd8ddf45b1a9686d30672dfaf5.0098">
    <vt:lpwstr>1QUklDRS1CQVNFTElORQ==|MS4wLjA=|8345661796B51CC48A6E4821015ECA03F301FAA2D4E3168C5AD34C0108100C87||
source|VEhLUHxTaGVldDE2fEsy|1|VkJITjk3LTIwMjUtQlFQ|45|45|UGjhu6UgbOG7pWMgSUksIFBo4bqnbiBJLCBt4bulYyBJSUkuMiwgZMOybmcgMQ==|
source|VEhLUHxTaGV</vt:lpwstr>
  </property>
  <property fmtid="{D5CDD505-2E9C-101B-9397-08002B2CF9AE}" pid="166" name="TTBMVN.ResultAudit.Part.b24958dd8ddf45b1a9686d30672dfaf5.0099">
    <vt:lpwstr>ldDE2fEsy|5||0|0||VFQzNi0yMDI2LUJYRC1QTDMtdGFibGUtMy43
entry|VEhLUHxTaGVldDE2fEsz|Q29zdFN1bW1hcnk=|3|U2hlZXQxNg==|Q29zdFN1bW1hcnk=|20|4|20|5|SzM=|QlFQLVJQQk0tMjAyNQ==|Mi4wLjE=|E2537C08E7156414585BEFC446E74DD51E79AB8D67A3774B1F5250E7EECCDA90</vt:lpwstr>
  </property>
  <property fmtid="{D5CDD505-2E9C-101B-9397-08002B2CF9AE}" pid="167" name="TTBMVN.ResultAudit.Part.b24958dd8ddf45b1a9686d30672dfaf5.0100">
    <vt:lpwstr>|VEVTVC1EVDEwMy1QUklDRS1CQVNFTElORQ==|MS4wLjA=|8345661796B51CC48A6E4821015ECA03F301FAA2D4E3168C5AD34C0108100C87||
source|VEhLUHxTaGVldDE2fEsz|1|VkJITjk3LTIwMjUtQlFQ|45|45|UGjhu6UgbOG7pWMgSUksIFBo4bqnbiBJLCBt4bulYyBJSUkuMywgbeG7qWMgMQ==|
ent</vt:lpwstr>
  </property>
  <property fmtid="{D5CDD505-2E9C-101B-9397-08002B2CF9AE}" pid="168" name="TTBMVN.ResultAudit.Part.b24958dd8ddf45b1a9686d30672dfaf5.0101">
    <vt:lpwstr>ry|VEhLUHxTaGVldDE2fEs0|Q29zdFN1bW1hcnk=|3|U2hlZXQxNg==|Q29zdFN1bW1hcnk=|21|4|21|5|SzQ=|QlFQLVJQQk0tMjAyNQ==|Mi4wLjE=|E2537C08E7156414585BEFC446E74DD51E79AB8D67A3774B1F5250E7EECCDA90|VEVTVC1EVDEwMy1QUklDRS1CQVNFTElORQ==|MS4wLjA=|8345661796B</vt:lpwstr>
  </property>
  <property fmtid="{D5CDD505-2E9C-101B-9397-08002B2CF9AE}" pid="169" name="TTBMVN.ResultAudit.Part.b24958dd8ddf45b1a9686d30672dfaf5.0102">
    <vt:lpwstr>51CC48A6E4821015ECA03F301FAA2D4E3168C5AD34C0108100C87||
source|VEhLUHxTaGVldDE2fEs0|1|VkJITjk3LTIwMjUtQlFQ|44|44|UGjhu6UgbOG7pWMgSUksIFBo4bqnbiBJLCBt4bulYyBJSUkuMSwgZMOybmcgMg==|
entry|VEhLUHxTaGVldDE2fEs1|Q29zdFN1bW1hcnk=|3|U2hlZXQxNg==|Q2</vt:lpwstr>
  </property>
  <property fmtid="{D5CDD505-2E9C-101B-9397-08002B2CF9AE}" pid="170" name="TTBMVN.ResultAudit.Part.b24958dd8ddf45b1a9686d30672dfaf5.0103">
    <vt:lpwstr>9zdFN1bW1hcnk=|22|4|22|5|SzU=|QlFQLVJQQk0tMjAyNQ==|Mi4wLjE=|E2537C08E7156414585BEFC446E74DD51E79AB8D67A3774B1F5250E7EECCDA90|VEVTVC1EVDEwMy1QUklDRS1CQVNFTElORQ==|MS4wLjA=|8345661796B51CC48A6E4821015ECA03F301FAA2D4E3168C5AD34C0108100C87||
so</vt:lpwstr>
  </property>
  <property fmtid="{D5CDD505-2E9C-101B-9397-08002B2CF9AE}" pid="171" name="TTBMVN.ResultAudit.Part.b24958dd8ddf45b1a9686d30672dfaf5.0104">
    <vt:lpwstr>urce|VEhLUHxTaGVldDE2fEs1|1|VkJITjk3LTIwMjUtQlFQ|45|45|UGjhu6UgbOG7pWMgSUksIFBo4bqnbiBJLCBt4bulYyBJSUkuNCwgZMOybmcgNA==|
source|VEhLUHxTaGVldDE2fEs1|5||0|0||VFQzOC0yMDI2LUJYRC1QTDgtdGFibGUtMi4yNA==
entry|VEhLUHxTaGVldDE2fEs2|Q29zdFN1bW1hcnk</vt:lpwstr>
  </property>
  <property fmtid="{D5CDD505-2E9C-101B-9397-08002B2CF9AE}" pid="172" name="TTBMVN.ResultAudit.Part.b24958dd8ddf45b1a9686d30672dfaf5.0105">
    <vt:lpwstr>=|3|U2hlZXQxNg==|Q29zdFN1bW1hcnk=|23|4|23|5|SzY=|QlFQLVJQQk0tMjAyNQ==|Mi4wLjE=|E2537C08E7156414585BEFC446E74DD51E79AB8D67A3774B1F5250E7EECCDA90|VEVTVC1EVDEwMy1QUklDRS1CQVNFTElORQ==|MS4wLjA=|8345661796B51CC48A6E4821015ECA03F301FAA2D4E3168C5A</vt:lpwstr>
  </property>
  <property fmtid="{D5CDD505-2E9C-101B-9397-08002B2CF9AE}" pid="173" name="TTBMVN.ResultAudit.Part.b24958dd8ddf45b1a9686d30672dfaf5.0106">
    <vt:lpwstr>D34C0108100C87||
source|VEhLUHxTaGVldDE2fEs2|1|VkJITjk3LTIwMjUtQlFQ|46|46|UGjhu6UgbOG7pWMgSUksIFBo4bqnbiBJLCBt4bulYyBJSUkuNSwgbeG7qWMgMQ==|
entry|VEhLUHxTaGVldDE2fFdPUkRT|Q29zdFN1bW1hcnk=|4|U2hlZXQxNg==|Q29zdFN1bW1hcnk=|28|1|28|1|VG9uZyBraW</vt:lpwstr>
  </property>
  <property fmtid="{D5CDD505-2E9C-101B-9397-08002B2CF9AE}" pid="174" name="TTBMVN.ResultAudit.Part.b24958dd8ddf45b1a9686d30672dfaf5.0107">
    <vt:lpwstr>5oIHBoaSBiYW5nIGNodQ==|QlFQLVJQQk0tMjAyNQ==|Mi4wLjE=|E2537C08E7156414585BEFC446E74DD51E79AB8D67A3774B1F5250E7EECCDA90|VEVTVC1EVDEwMy1QUklDRS1CQVNFTElORQ==|MS4wLjA=|8345661796B51CC48A6E4821015ECA03F301FAA2D4E3168C5AD34C0108100C87||
source|VE</vt:lpwstr>
  </property>
  <property fmtid="{D5CDD505-2E9C-101B-9397-08002B2CF9AE}" pid="175" name="TTBMVN.ResultAudit.Part.b24958dd8ddf45b1a9686d30672dfaf5.0108">
    <vt:lpwstr>hLUHxTaGVldDE2fFdPUkRT|1|VkJITjk3LTIwMjUtQlFQ|44|44|UGjhu6UgbOG7pWMgSUksIFBo4bqnbiBJLCBt4bulYyBJSUkuMSwgZMOybmcgMg==|
source|VEhLUHxTaGVldDE2fFdPUkRT|1|VkJITjk3LTIwMjUtQlFQ|45|45|UGjhu6UgbOG7pWMgSUksIFBo4bqnbiBJLCBt4bulYyBJSUkuMiwgZMOybmcgM</vt:lpwstr>
  </property>
  <property fmtid="{D5CDD505-2E9C-101B-9397-08002B2CF9AE}" pid="176" name="TTBMVN.ResultAudit.Part.b24958dd8ddf45b1a9686d30672dfaf5.0109">
    <vt:lpwstr>Q==|
source|VEhLUHxTaGVldDE2fFdPUkRT|1|VkJITjk3LTIwMjUtQlFQ|45|45|UGjhu6UgbOG7pWMgSUksIFBo4bqnbiBJLCBt4bulYyBJSUkuMywgbeG7qWMgMQ==|
source|VEhLUHxTaGVldDE2fFdPUkRT|1|VkJITjk3LTIwMjUtQlFQ|45|45|UGjhu6UgbOG7pWMgSUksIFBo4bqnbiBJLCBt4bulYyBJSUk</vt:lpwstr>
  </property>
  <property fmtid="{D5CDD505-2E9C-101B-9397-08002B2CF9AE}" pid="177" name="TTBMVN.ResultAudit.Part.b24958dd8ddf45b1a9686d30672dfaf5.0110">
    <vt:lpwstr>uNCwgZMOybmcgNA==|
source|VEhLUHxTaGVldDE2fFdPUkRT|1|VkJITjk3LTIwMjUtQlFQ|46|46|UGjhu6UgbOG7pWMgSUksIFBo4bqnbiBJLCBt4bulYyBJSUkuNSwgbeG7qWMgMQ==|
source|VEhLUHxTaGVldDE2fFdPUkRT|4||0|0||U2hlZXQyNCFJMjc6SzI3
source|VEhLUHxTaGVldDE2fFdPUkRT|5</vt:lpwstr>
  </property>
  <property fmtid="{D5CDD505-2E9C-101B-9397-08002B2CF9AE}" pid="178" name="TTBMVN.ResultAudit.Part.b24958dd8ddf45b1a9686d30672dfaf5.0111">
    <vt:lpwstr>||0|0||VFQzNi0yMDI2LUJYRC1QTDMtdGFibGUtMy43
source|VEhLUHxTaGVldDE2fFdPUkRT|5||0|0||VFQzOC0yMDI2LUJYRC1QTDgtdGFibGUtMi4yNA==</vt:lpwstr>
  </property>
  <property fmtid="{D5CDD505-2E9C-101B-9397-08002B2CF9AE}" pid="179" name="TTBMVN.ProjectProfile.Part.9663bd13192849358f48881f0f5bca89.0000">
    <vt:lpwstr>TTBMVN_PROJECT_PROFILE
schema=2
projectId=VEVTVC1EVC0xMDMtMDAtRFUtVE9BTi1UUDM=
preparedDate=2026-08-03
approvalDate=
priceDate=2026-08-03
regulationPackageId=QlFQLVJQQk0tMjAyMQ==
regulationPackageVersion=MS4wLjA=
regulationPackageChecksum=B</vt:lpwstr>
  </property>
  <property fmtid="{D5CDD505-2E9C-101B-9397-08002B2CF9AE}" pid="180" name="TTBMVN.ProjectProfile.Part.9663bd13192849358f48881f0f5bca89.0001">
    <vt:lpwstr>BE95EFDF3B2DA0780CAFEEF828C9418644452655C733C1BF2417F234C3E8008
priceProfileId=VEVTVC1EVDEwMy1QUklDRS1CQVNFTElORQ==
overrideSummary=RFQtMTAzIHBlcnNpc3RlbmNlIHByb2ZpbGUgb25seTsgbm8gYnVzaW5lc3Mgb3ZlcnJpZGUuIERULTEwMyBwZXJzaXN0ZW5jZSBwcm9maWxl</vt:lpwstr>
  </property>
  <property fmtid="{D5CDD505-2E9C-101B-9397-08002B2CF9AE}" pid="181" name="TTBMVN.ProjectProfile.Part.9663bd13192849358f48881f0f5bca89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82" name="TTBMVN.ProjectProfile.Part.9663bd13192849358f48881f0f5bca89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83" name="TTBMVN.ProjectProfile.Part.9663bd13192849358f48881f0f5bca89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84" name="TTBMVN.ProjectProfile.Part.9663bd13192849358f48881f0f5bca89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5" name="TTBMVN.ProjectProfile.Part.9663bd13192849358f48881f0f5bca89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86" name="TTBMVN.ProjectProfile.Part.9663bd13192849358f48881f0f5bca89.0007">
    <vt:lpwstr>dmVycmlkZS4gRFQtMTAzIHBlcnNpc3RlbmNlIHByb2ZpbGUgb25seTsgbm8gYnVzaW5lc3Mgb3ZlcnJpZGUuIERULTEwMyBwZXJzaXN0ZW5jZSBwcm9maWxlIG9ubHk7IG5vIGJ1c2luZXNzIG92ZXJyaWRlLg==</vt:lpwstr>
  </property>
</Properties>
</file>