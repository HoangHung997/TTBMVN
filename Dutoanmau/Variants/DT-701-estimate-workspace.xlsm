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omments2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047B1B2F-56CA-484C-8CE6-FF753804D804}" xr6:coauthVersionLast="47" xr6:coauthVersionMax="47" xr10:uidLastSave="{00000000-0000-0000-0000-000000000000}"/>
  <bookViews>
    <workbookView xWindow="-108" yWindow="-108" windowWidth="23256" windowHeight="12456" tabRatio="771" firstSheet="11" activeTab="21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PLDT Test 701 Renamed" sheetId="233" r:id="rId8"/>
    <sheet name="Gia DT TC" sheetId="212" r:id="rId9"/>
    <sheet name="DG Can" sheetId="213" r:id="rId10"/>
    <sheet name="DG Nuoc" sheetId="214" r:id="rId11"/>
    <sheet name="VL-NC-M" sheetId="216" r:id="rId12"/>
    <sheet name="ChiPhi" sheetId="209" state="hidden" r:id="rId13"/>
    <sheet name="THNK_C" sheetId="217" r:id="rId14"/>
    <sheet name="Thoi gian" sheetId="215" state="hidden" r:id="rId15"/>
    <sheet name="THNK_N" sheetId="218" r:id="rId16"/>
    <sheet name="PTVT" sheetId="219" r:id="rId17"/>
    <sheet name="VL-NC-M - HLNS" sheetId="234" r:id="rId18"/>
    <sheet name="VL-NC-M - KHLNS" sheetId="235" r:id="rId19"/>
    <sheet name="ĐG Cạn - HLNS" sheetId="236" r:id="rId20"/>
    <sheet name="ĐG Cạn - KHLNS" sheetId="237" r:id="rId21"/>
    <sheet name="ĐG Nước - KHLNS" sheetId="238" r:id="rId22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10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10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10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10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10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10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10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10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10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10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10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10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10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10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10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10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10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10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10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10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6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6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10" hidden="1">{"'Sheet1'!$L$16"}</definedName>
    <definedName name="__Coc39" localSheetId="0" hidden="1">{"'Sheet1'!$L$16"}</definedName>
    <definedName name="__Coc39" localSheetId="1">{"'Sheet1'!$L$16"}</definedName>
    <definedName name="__Coc39" localSheetId="15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10" hidden="1">{"'Sheet1'!$L$16"}</definedName>
    <definedName name="__Goi8" localSheetId="0" hidden="1">{"'Sheet1'!$L$16"}</definedName>
    <definedName name="__Goi8" localSheetId="1">{"'Sheet1'!$L$16"}</definedName>
    <definedName name="__Goi8" localSheetId="15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10" hidden="1">{"'Sheet1'!$L$16"}</definedName>
    <definedName name="__K146" localSheetId="0" hidden="1">{"'Sheet1'!$L$16"}</definedName>
    <definedName name="__K146" localSheetId="1">{"'Sheet1'!$L$16"}</definedName>
    <definedName name="__K146" localSheetId="15" hidden="1">{"'Sheet1'!$L$16"}</definedName>
    <definedName name="__K146">{"'Sheet1'!$L$16"}</definedName>
    <definedName name="__kl1">#REF!</definedName>
    <definedName name="__KL7">#REF!</definedName>
    <definedName name="__Lan1" localSheetId="10" hidden="1">{"'Sheet1'!$L$16"}</definedName>
    <definedName name="__Lan1" localSheetId="0" hidden="1">{"'Sheet1'!$L$16"}</definedName>
    <definedName name="__Lan1" localSheetId="1">{"'Sheet1'!$L$16"}</definedName>
    <definedName name="__Lan1" localSheetId="15" hidden="1">{"'Sheet1'!$L$16"}</definedName>
    <definedName name="__Lan1">{"'Sheet1'!$L$16"}</definedName>
    <definedName name="__LAN3" localSheetId="10" hidden="1">{"'Sheet1'!$L$16"}</definedName>
    <definedName name="__LAN3" localSheetId="0" hidden="1">{"'Sheet1'!$L$16"}</definedName>
    <definedName name="__LAN3" localSheetId="1">{"'Sheet1'!$L$16"}</definedName>
    <definedName name="__LAN3" localSheetId="15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10" hidden="1">{"'Sheet1'!$L$16"}</definedName>
    <definedName name="__lk2" localSheetId="0" hidden="1">{"'Sheet1'!$L$16"}</definedName>
    <definedName name="__lk2" localSheetId="1">{"'Sheet1'!$L$16"}</definedName>
    <definedName name="__lk2" localSheetId="15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10" hidden="1">{"'Sheet1'!$L$16"}</definedName>
    <definedName name="__NK5" localSheetId="0" hidden="1">{"'Sheet1'!$L$16"}</definedName>
    <definedName name="__NK5" localSheetId="1">{"'Sheet1'!$L$16"}</definedName>
    <definedName name="__NK5" localSheetId="15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10" hidden="1">{"'Sheet1'!$L$16"}</definedName>
    <definedName name="__tb2" localSheetId="0" hidden="1">{"'Sheet1'!$L$16"}</definedName>
    <definedName name="__tb2" localSheetId="1">{"'Sheet1'!$L$16"}</definedName>
    <definedName name="__tb2" localSheetId="15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10" hidden="1">{"'Sheet1'!$L$16"}</definedName>
    <definedName name="__td1" localSheetId="0" hidden="1">{"'Sheet1'!$L$16"}</definedName>
    <definedName name="__td1" localSheetId="1">{"'Sheet1'!$L$16"}</definedName>
    <definedName name="__td1" localSheetId="15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10" hidden="1">{"'Sheet1'!$L$16"}</definedName>
    <definedName name="__tt3" localSheetId="0" hidden="1">{"'Sheet1'!$L$16"}</definedName>
    <definedName name="__tt3" localSheetId="1">{"'Sheet1'!$L$16"}</definedName>
    <definedName name="__tt3" localSheetId="15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6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6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10" hidden="1">{"'Sheet1'!$L$16"}</definedName>
    <definedName name="_Coc39" localSheetId="0" hidden="1">{"'Sheet1'!$L$16"}</definedName>
    <definedName name="_Coc39" localSheetId="16" hidden="1">{"'Sheet1'!$L$16"}</definedName>
    <definedName name="_Coc39" localSheetId="1">{"'Sheet1'!$L$16"}</definedName>
    <definedName name="_Coc39" localSheetId="15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10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9" hidden="1">#REF!</definedName>
    <definedName name="_Fill" localSheetId="10" hidden="1">#REF!</definedName>
    <definedName name="_Fill" localSheetId="3" hidden="1">#REF!</definedName>
    <definedName name="_Fill" localSheetId="16" hidden="1">#REF!</definedName>
    <definedName name="_Fill" localSheetId="1" hidden="1">#REF!</definedName>
    <definedName name="_Fill">#REF!</definedName>
    <definedName name="_xlnm._FilterDatabase" localSheetId="9" hidden="1">'DG Can'!$A$7:$H$152</definedName>
    <definedName name="_xlnm._FilterDatabase" localSheetId="10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10" hidden="1">{"'Sheet1'!$L$16"}</definedName>
    <definedName name="_Goi8" localSheetId="0" hidden="1">{"'Sheet1'!$L$16"}</definedName>
    <definedName name="_Goi8" localSheetId="16" hidden="1">{"'Sheet1'!$L$16"}</definedName>
    <definedName name="_Goi8" localSheetId="1">{"'Sheet1'!$L$16"}</definedName>
    <definedName name="_Goi8" localSheetId="15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10" hidden="1">{"'Sheet1'!$L$16"}</definedName>
    <definedName name="_K146" localSheetId="0" hidden="1">{"'Sheet1'!$L$16"}</definedName>
    <definedName name="_K146" localSheetId="16" hidden="1">{"'Sheet1'!$L$16"}</definedName>
    <definedName name="_K146" localSheetId="1">{"'Sheet1'!$L$16"}</definedName>
    <definedName name="_K146" localSheetId="15" hidden="1">{"'Sheet1'!$L$16"}</definedName>
    <definedName name="_K146">{"'Sheet1'!$L$16"}</definedName>
    <definedName name="_Kcdon">#REF!</definedName>
    <definedName name="_Key1" localSheetId="9" hidden="1">#REF!</definedName>
    <definedName name="_Key1" localSheetId="10" hidden="1">#REF!</definedName>
    <definedName name="_Key1" localSheetId="3" hidden="1">#REF!</definedName>
    <definedName name="_Key1" localSheetId="16" hidden="1">#REF!</definedName>
    <definedName name="_Key1" localSheetId="1" hidden="1">#REF!</definedName>
    <definedName name="_Key1" localSheetId="15" hidden="1">#REF!</definedName>
    <definedName name="_Key1">#REF!</definedName>
    <definedName name="_Key2" localSheetId="9" hidden="1">#REF!</definedName>
    <definedName name="_Key2" localSheetId="10" hidden="1">#REF!</definedName>
    <definedName name="_Key2" localSheetId="3" hidden="1">#REF!</definedName>
    <definedName name="_Key2" localSheetId="16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10" hidden="1">{"'Sheet1'!$L$16"}</definedName>
    <definedName name="_Lan1" localSheetId="0" hidden="1">{"'Sheet1'!$L$16"}</definedName>
    <definedName name="_Lan1" localSheetId="16" hidden="1">{"'Sheet1'!$L$16"}</definedName>
    <definedName name="_Lan1" localSheetId="1">{"'Sheet1'!$L$16"}</definedName>
    <definedName name="_Lan1" localSheetId="15" hidden="1">{"'Sheet1'!$L$16"}</definedName>
    <definedName name="_Lan1">{"'Sheet1'!$L$16"}</definedName>
    <definedName name="_LAN3" localSheetId="10" hidden="1">{"'Sheet1'!$L$16"}</definedName>
    <definedName name="_LAN3" localSheetId="0" hidden="1">{"'Sheet1'!$L$16"}</definedName>
    <definedName name="_LAN3" localSheetId="16" hidden="1">{"'Sheet1'!$L$16"}</definedName>
    <definedName name="_LAN3" localSheetId="1">{"'Sheet1'!$L$16"}</definedName>
    <definedName name="_LAN3" localSheetId="15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10" hidden="1">{"'Sheet1'!$L$16"}</definedName>
    <definedName name="_lk2" localSheetId="0" hidden="1">{"'Sheet1'!$L$16"}</definedName>
    <definedName name="_lk2" localSheetId="16" hidden="1">{"'Sheet1'!$L$16"}</definedName>
    <definedName name="_lk2" localSheetId="1">{"'Sheet1'!$L$16"}</definedName>
    <definedName name="_lk2" localSheetId="15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10" hidden="1">{"'Sheet1'!$L$16"}</definedName>
    <definedName name="_NK5" localSheetId="0" hidden="1">{"'Sheet1'!$L$16"}</definedName>
    <definedName name="_NK5" localSheetId="16" hidden="1">{"'Sheet1'!$L$16"}</definedName>
    <definedName name="_NK5" localSheetId="1">{"'Sheet1'!$L$16"}</definedName>
    <definedName name="_NK5" localSheetId="15" hidden="1">{"'Sheet1'!$L$16"}</definedName>
    <definedName name="_NK5">{"'Sheet1'!$L$16"}</definedName>
    <definedName name="_NPV11">#REF!</definedName>
    <definedName name="_npv22">#REF!</definedName>
    <definedName name="_NSO2" localSheetId="10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9" hidden="1">#REF!</definedName>
    <definedName name="_Sort" localSheetId="10" hidden="1">#REF!</definedName>
    <definedName name="_Sort" localSheetId="3" hidden="1">#REF!</definedName>
    <definedName name="_Sort" localSheetId="16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10" hidden="1">{"'Sheet1'!$L$16"}</definedName>
    <definedName name="_tb2" localSheetId="0" hidden="1">{"'Sheet1'!$L$16"}</definedName>
    <definedName name="_tb2" localSheetId="16" hidden="1">{"'Sheet1'!$L$16"}</definedName>
    <definedName name="_tb2" localSheetId="1">{"'Sheet1'!$L$16"}</definedName>
    <definedName name="_tb2" localSheetId="15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10" hidden="1">{"'Sheet1'!$L$16"}</definedName>
    <definedName name="_td1" localSheetId="0" hidden="1">{"'Sheet1'!$L$16"}</definedName>
    <definedName name="_td1" localSheetId="16" hidden="1">{"'Sheet1'!$L$16"}</definedName>
    <definedName name="_td1" localSheetId="1">{"'Sheet1'!$L$16"}</definedName>
    <definedName name="_td1" localSheetId="15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10" hidden="1">{"'Sheet1'!$L$16"}</definedName>
    <definedName name="_tt3" localSheetId="0" hidden="1">{"'Sheet1'!$L$16"}</definedName>
    <definedName name="_tt3" localSheetId="16" hidden="1">{"'Sheet1'!$L$16"}</definedName>
    <definedName name="_tt3" localSheetId="1">{"'Sheet1'!$L$16"}</definedName>
    <definedName name="_tt3" localSheetId="15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10" hidden="1">{"'Sheet1'!$L$16"}</definedName>
    <definedName name="â" localSheetId="3" hidden="1">{"'Sheet1'!$L$16"}</definedName>
    <definedName name="â" localSheetId="0" hidden="1">{"'Sheet1'!$L$16"}</definedName>
    <definedName name="â" localSheetId="16" hidden="1">{"'Sheet1'!$L$16"}</definedName>
    <definedName name="â" localSheetId="1" hidden="1">{"'Sheet1'!$L$16"}</definedName>
    <definedName name="â" localSheetId="15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10" hidden="1">{"'Sheet1'!$L$16"}</definedName>
    <definedName name="Coc_60" localSheetId="3" hidden="1">{"'Sheet1'!$L$16"}</definedName>
    <definedName name="Coc_60" localSheetId="0" hidden="1">{"'Sheet1'!$L$16"}</definedName>
    <definedName name="Coc_60" localSheetId="16" hidden="1">{"'Sheet1'!$L$16"}</definedName>
    <definedName name="Coc_60" localSheetId="1" hidden="1">{"'Sheet1'!$L$16"}</definedName>
    <definedName name="Coc_60" localSheetId="15" hidden="1">{"'Sheet1'!$L$16"}</definedName>
    <definedName name="Coc_60">{"'Sheet1'!$L$16"}</definedName>
    <definedName name="Coc_BTCT">#REF!</definedName>
    <definedName name="Code" localSheetId="9" hidden="1">#REF!</definedName>
    <definedName name="Code" localSheetId="10" hidden="1">#REF!</definedName>
    <definedName name="Code" localSheetId="3" hidden="1">#REF!</definedName>
    <definedName name="Code" localSheetId="16" hidden="1">#REF!</definedName>
    <definedName name="Code" localSheetId="1" hidden="1">#REF!</definedName>
    <definedName name="Code" localSheetId="15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10" hidden="1">{"'Sheet1'!$L$16"}</definedName>
    <definedName name="CTCT1" localSheetId="3" hidden="1">{"'Sheet1'!$L$16"}</definedName>
    <definedName name="CTCT1" localSheetId="0" hidden="1">{"'Sheet1'!$L$16"}</definedName>
    <definedName name="CTCT1" localSheetId="16" hidden="1">{"'Sheet1'!$L$16"}</definedName>
    <definedName name="CTCT1" localSheetId="1" hidden="1">{"'Sheet1'!$L$16"}</definedName>
    <definedName name="CTCT1" localSheetId="15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10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5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5" hidden="1">#REF!</definedName>
    <definedName name="data2">#REF!</definedName>
    <definedName name="data3" localSheetId="9" hidden="1">#REF!</definedName>
    <definedName name="data3" localSheetId="10" hidden="1">#REF!</definedName>
    <definedName name="data3" localSheetId="3" hidden="1">#REF!</definedName>
    <definedName name="data3" localSheetId="16" hidden="1">#REF!</definedName>
    <definedName name="data3" localSheetId="1" hidden="1">#REF!</definedName>
    <definedName name="data3" localSheetId="15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10" hidden="1">{"'Sheet1'!$L$16"}</definedName>
    <definedName name="dien" localSheetId="3" hidden="1">{"'Sheet1'!$L$16"}</definedName>
    <definedName name="dien" localSheetId="0" hidden="1">{"'Sheet1'!$L$16"}</definedName>
    <definedName name="dien" localSheetId="16" hidden="1">{"'Sheet1'!$L$16"}</definedName>
    <definedName name="dien" localSheetId="1" hidden="1">{"'Sheet1'!$L$16"}</definedName>
    <definedName name="dien" localSheetId="15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10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6" hidden="1">{"'Sheet1'!$L$16"}</definedName>
    <definedName name="diengiai" localSheetId="1" hidden="1">{"'Sheet1'!$L$16"}</definedName>
    <definedName name="diengiai" localSheetId="15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9" hidden="1">#REF!</definedName>
    <definedName name="Discount" localSheetId="10" hidden="1">#REF!</definedName>
    <definedName name="Discount" localSheetId="3" hidden="1">#REF!</definedName>
    <definedName name="Discount" localSheetId="16" hidden="1">#REF!</definedName>
    <definedName name="Discount" localSheetId="1" hidden="1">#REF!</definedName>
    <definedName name="Discount" localSheetId="15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5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10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6" hidden="1">{"'boi duong nang nhoc'!$A$1"}</definedName>
    <definedName name="dsdsdsds" localSheetId="1" hidden="1">{"'boi duong nang nhoc'!$A$1"}</definedName>
    <definedName name="dsdsdsds" localSheetId="15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5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10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10" hidden="1">{"'Sheet1'!$L$16"}</definedName>
    <definedName name="fg" localSheetId="3" hidden="1">{"'Sheet1'!$L$16"}</definedName>
    <definedName name="fg" localSheetId="0" hidden="1">{"'Sheet1'!$L$16"}</definedName>
    <definedName name="fg" localSheetId="16" hidden="1">{"'Sheet1'!$L$16"}</definedName>
    <definedName name="fg" localSheetId="1" hidden="1">{"'Sheet1'!$L$16"}</definedName>
    <definedName name="fg" localSheetId="15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10" hidden="1">{"'Sheet1'!$L$16"}</definedName>
    <definedName name="fsdfdsf" localSheetId="3" hidden="1">{"'Sheet1'!$L$16"}</definedName>
    <definedName name="fsdfdsf" localSheetId="0" hidden="1">{"'Sheet1'!$L$16"}</definedName>
    <definedName name="fsdfdsf" localSheetId="16" hidden="1">{"'Sheet1'!$L$16"}</definedName>
    <definedName name="fsdfdsf" localSheetId="1" hidden="1">{"'Sheet1'!$L$16"}</definedName>
    <definedName name="fsdfdsf" localSheetId="15" hidden="1">{"'Sheet1'!$L$16"}</definedName>
    <definedName name="fsdfdsf">{"'Sheet1'!$L$16"}</definedName>
    <definedName name="fse">#REF!</definedName>
    <definedName name="fsgsg" localSheetId="10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10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10" hidden="1">{"'Sheet1'!$L$16"}</definedName>
    <definedName name="hai" localSheetId="3" hidden="1">{"'Sheet1'!$L$16"}</definedName>
    <definedName name="hai" localSheetId="0" hidden="1">{"'Sheet1'!$L$16"}</definedName>
    <definedName name="hai" localSheetId="16" hidden="1">{"'Sheet1'!$L$16"}</definedName>
    <definedName name="hai" localSheetId="1" hidden="1">{"'Sheet1'!$L$16"}</definedName>
    <definedName name="hai" localSheetId="15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5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10" hidden="1">{"'Sheet1'!$L$16"}</definedName>
    <definedName name="htlm" localSheetId="3" hidden="1">{"'Sheet1'!$L$16"}</definedName>
    <definedName name="htlm" localSheetId="0" hidden="1">{"'Sheet1'!$L$16"}</definedName>
    <definedName name="htlm" localSheetId="16" hidden="1">{"'Sheet1'!$L$16"}</definedName>
    <definedName name="htlm" localSheetId="1" hidden="1">{"'Sheet1'!$L$16"}</definedName>
    <definedName name="htlm" localSheetId="15" hidden="1">{"'Sheet1'!$L$16"}</definedName>
    <definedName name="htlm">{"'Sheet1'!$L$16"}</definedName>
    <definedName name="html" localSheetId="10" hidden="1">{"'Sheet1'!$L$16"}</definedName>
    <definedName name="html" localSheetId="3" hidden="1">{"'Sheet1'!$L$16"}</definedName>
    <definedName name="html" localSheetId="0" hidden="1">{"'Sheet1'!$L$16"}</definedName>
    <definedName name="html" localSheetId="16" hidden="1">{"'Sheet1'!$L$16"}</definedName>
    <definedName name="html" localSheetId="1" hidden="1">{"'Sheet1'!$L$16"}</definedName>
    <definedName name="html" localSheetId="15" hidden="1">{"'Sheet1'!$L$16"}</definedName>
    <definedName name="html">{"'Sheet1'!$L$16"}</definedName>
    <definedName name="HTML_CodePage">950</definedName>
    <definedName name="HTML_Control" localSheetId="10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6" hidden="1">{"'Sheet1'!$L$16"}</definedName>
    <definedName name="HTML_Control" localSheetId="1" hidden="1">{"'Sheet1'!$L$16"}</definedName>
    <definedName name="HTML_Control" localSheetId="15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10" hidden="1">{"'Sheet1'!$L$16"}</definedName>
    <definedName name="hung" localSheetId="3" hidden="1">{"'Sheet1'!$L$16"}</definedName>
    <definedName name="hung" localSheetId="0" hidden="1">{"'Sheet1'!$L$16"}</definedName>
    <definedName name="hung" localSheetId="16" hidden="1">{"'Sheet1'!$L$16"}</definedName>
    <definedName name="hung" localSheetId="1" hidden="1">{"'Sheet1'!$L$16"}</definedName>
    <definedName name="hung" localSheetId="15" hidden="1">{"'Sheet1'!$L$16"}</definedName>
    <definedName name="hung">{"'Sheet1'!$L$16"}</definedName>
    <definedName name="huong">#REF!</definedName>
    <definedName name="huy" localSheetId="10" hidden="1">{"'Sheet1'!$L$16"}</definedName>
    <definedName name="huy" localSheetId="3" hidden="1">{"'Sheet1'!$L$16"}</definedName>
    <definedName name="huy" localSheetId="0" hidden="1">{"'Sheet1'!$L$16"}</definedName>
    <definedName name="huy" localSheetId="16" hidden="1">{"'Sheet1'!$L$16"}</definedName>
    <definedName name="huy" localSheetId="1" hidden="1">{"'Sheet1'!$L$16"}</definedName>
    <definedName name="huy" localSheetId="15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10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6" hidden="1">{"'Sheet1'!$L$16"}</definedName>
    <definedName name="KLduonggiaods" localSheetId="1" hidden="1">{"'Sheet1'!$L$16"}</definedName>
    <definedName name="KLduonggiaods" localSheetId="15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10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10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3" hidden="1">{"'Sheet1'!$L$16"}</definedName>
    <definedName name="mo" localSheetId="0" hidden="1">{"'Sheet1'!$L$16"}</definedName>
    <definedName name="mo" localSheetId="16" hidden="1">{"'Sheet1'!$L$16"}</definedName>
    <definedName name="mo" localSheetId="1" hidden="1">{"'Sheet1'!$L$16"}</definedName>
    <definedName name="mo" localSheetId="15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10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9" hidden="1">#REF!</definedName>
    <definedName name="OrderTable" localSheetId="10" hidden="1">#REF!</definedName>
    <definedName name="OrderTable" localSheetId="3" hidden="1">#REF!</definedName>
    <definedName name="OrderTable" localSheetId="16" hidden="1">#REF!</definedName>
    <definedName name="OrderTable" localSheetId="1" hidden="1">#REF!</definedName>
    <definedName name="OrderTable" localSheetId="15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9">'DG Can'!$A$1:$H$127</definedName>
    <definedName name="_xlnm.Print_Area" localSheetId="10">'DG Nuoc'!$A$1:$H$138</definedName>
    <definedName name="_xlnm.Print_Area" localSheetId="8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3">THNK_C!$A$1:$U$18</definedName>
    <definedName name="_xlnm.Print_Area" localSheetId="11">'VL-NC-M'!$A$78:$F$101,'VL-NC-M'!$A$1:$F$66</definedName>
    <definedName name="_xlnm.Print_Area">#REF!</definedName>
    <definedName name="Print_Area_MI">#REF!</definedName>
    <definedName name="_xlnm.Print_Titles" localSheetId="8">'Gia DT TC'!$9:$10</definedName>
    <definedName name="_xlnm.Print_Titles" localSheetId="0">'PL01'!$6:$8</definedName>
    <definedName name="_xlnm.Print_Titles" localSheetId="13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9" hidden="1">#REF!</definedName>
    <definedName name="ProdForm" localSheetId="10" hidden="1">#REF!</definedName>
    <definedName name="ProdForm" localSheetId="3" hidden="1">#REF!</definedName>
    <definedName name="ProdForm" localSheetId="16" hidden="1">#REF!</definedName>
    <definedName name="ProdForm" localSheetId="1" hidden="1">#REF!</definedName>
    <definedName name="ProdForm" localSheetId="15" hidden="1">#REF!</definedName>
    <definedName name="ProdForm">#REF!</definedName>
    <definedName name="Product" localSheetId="9" hidden="1">#REF!</definedName>
    <definedName name="Product" localSheetId="10" hidden="1">#REF!</definedName>
    <definedName name="Product" localSheetId="3" hidden="1">#REF!</definedName>
    <definedName name="Product" localSheetId="16" hidden="1">#REF!</definedName>
    <definedName name="Product" localSheetId="1" hidden="1">#REF!</definedName>
    <definedName name="Product" localSheetId="15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10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9" hidden="1">#REF!</definedName>
    <definedName name="RCArea" localSheetId="10" hidden="1">#REF!</definedName>
    <definedName name="RCArea" localSheetId="3" hidden="1">#REF!</definedName>
    <definedName name="RCArea" localSheetId="16" hidden="1">#REF!</definedName>
    <definedName name="RCArea" localSheetId="1" hidden="1">#REF!</definedName>
    <definedName name="RCArea" localSheetId="15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10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10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10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10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10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10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10" hidden="1">{"'Sheet1'!$L$16"}</definedName>
    <definedName name="Sosanh2" localSheetId="3" hidden="1">{"'Sheet1'!$L$16"}</definedName>
    <definedName name="Sosanh2" localSheetId="0" hidden="1">{"'Sheet1'!$L$16"}</definedName>
    <definedName name="Sosanh2" localSheetId="16" hidden="1">{"'Sheet1'!$L$16"}</definedName>
    <definedName name="Sosanh2" localSheetId="1" hidden="1">{"'Sheet1'!$L$16"}</definedName>
    <definedName name="Sosanh2" localSheetId="15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9" hidden="1">#REF!</definedName>
    <definedName name="SpecialPrice" localSheetId="10" hidden="1">#REF!</definedName>
    <definedName name="SpecialPrice" localSheetId="3" hidden="1">#REF!</definedName>
    <definedName name="SpecialPrice" localSheetId="16" hidden="1">#REF!</definedName>
    <definedName name="SpecialPrice" localSheetId="1" hidden="1">#REF!</definedName>
    <definedName name="SpecialPrice" localSheetId="15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10" hidden="1">{"'Sheet1'!$L$16"}</definedName>
    <definedName name="tbao" localSheetId="3" hidden="1">{"'Sheet1'!$L$16"}</definedName>
    <definedName name="tbao" localSheetId="0" hidden="1">{"'Sheet1'!$L$16"}</definedName>
    <definedName name="tbao" localSheetId="16" hidden="1">{"'Sheet1'!$L$16"}</definedName>
    <definedName name="tbao" localSheetId="1" hidden="1">{"'Sheet1'!$L$16"}</definedName>
    <definedName name="tbao" localSheetId="15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9" hidden="1">#REF!</definedName>
    <definedName name="tbl_ProdInfo" localSheetId="10" hidden="1">#REF!</definedName>
    <definedName name="tbl_ProdInfo" localSheetId="3" hidden="1">#REF!</definedName>
    <definedName name="tbl_ProdInfo" localSheetId="16" hidden="1">#REF!</definedName>
    <definedName name="tbl_ProdInfo" localSheetId="1" hidden="1">#REF!</definedName>
    <definedName name="tbl_ProdInfo" localSheetId="15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10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MVN_DG23CB9F9BAD7C1D77_M" hidden="1">'ĐG Nước - KHLNS'!$G$11</definedName>
    <definedName name="TTBMVN_DG23CB9F9BAD7C1D77_NC" hidden="1">'ĐG Nước - KHLNS'!$G$10</definedName>
    <definedName name="TTBMVN_DG23CB9F9BAD7C1D77_TONG" hidden="1">'ĐG Nước - KHLNS'!$G$12</definedName>
    <definedName name="TTBMVN_DG23CB9F9BAD7C1D77_VL" hidden="1">'ĐG Nước - KHLNS'!$G$9</definedName>
    <definedName name="TTBMVN_DG37ABEBFE22C8200F_M" hidden="1">'ĐG Cạn - KHLNS'!$G$14</definedName>
    <definedName name="TTBMVN_DG37ABEBFE22C8200F_NC" hidden="1">'ĐG Cạn - KHLNS'!$G$13</definedName>
    <definedName name="TTBMVN_DG37ABEBFE22C8200F_TONG" hidden="1">'ĐG Cạn - KHLNS'!$G$15</definedName>
    <definedName name="TTBMVN_DG37ABEBFE22C8200F_VL" hidden="1">'ĐG Cạn - KHLNS'!$G$12</definedName>
    <definedName name="TTBMVN_DG7C376EB34D5D630F_M" hidden="1">'ĐG Cạn - HLNS'!$G$14</definedName>
    <definedName name="TTBMVN_DG7C376EB34D5D630F_NC" hidden="1">'ĐG Cạn - HLNS'!$G$13</definedName>
    <definedName name="TTBMVN_DG7C376EB34D5D630F_TONG" hidden="1">'ĐG Cạn - HLNS'!$G$15</definedName>
    <definedName name="TTBMVN_DG7C376EB34D5D630F_VL" hidden="1">'ĐG Cạn - HLNS'!$G$12</definedName>
    <definedName name="TTBMVN_DGBF0AD8D496B07244_M" hidden="1">'ĐG Cạn - KHLNS'!$G$29</definedName>
    <definedName name="TTBMVN_DGBF0AD8D496B07244_NC" hidden="1">'ĐG Cạn - KHLNS'!$G$28</definedName>
    <definedName name="TTBMVN_DGBF0AD8D496B07244_TONG" hidden="1">'ĐG Cạn - KHLNS'!$G$30</definedName>
    <definedName name="TTBMVN_DGBF0AD8D496B07244_VL" hidden="1">'ĐG Cạn - KHLNS'!$G$27</definedName>
    <definedName name="TTBMVN_GIA_HLNS_2FC357D2F9360A" hidden="1">'VL-NC-M - HLNS'!$F$8</definedName>
    <definedName name="TTBMVN_GIA_HLNS_8ED0DD58638907" hidden="1">'VL-NC-M - HLNS'!$F$7</definedName>
    <definedName name="TTBMVN_GIA_HLNS_A5B20047CC0024" hidden="1">'VL-NC-M - HLNS'!$F$5</definedName>
    <definedName name="TTBMVN_GIA_HLNS_B8C2DB20D4C7A4" hidden="1">'VL-NC-M - HLNS'!$F$6</definedName>
    <definedName name="TTBMVN_GIA_HLNS_BDE2F3090195E0" hidden="1">'VL-NC-M - HLNS'!$F$9</definedName>
    <definedName name="TTBMVN_GIA_HLNS_D578BFDA1CFAFE" hidden="1">'VL-NC-M - HLNS'!$F$4</definedName>
    <definedName name="TTBMVN_GIA_KHLNS_068B296D9623FD" hidden="1">'VL-NC-M - KHLNS'!$F$7</definedName>
    <definedName name="TTBMVN_GIA_KHLNS_14A9776B772E24" hidden="1">'VL-NC-M - KHLNS'!$F$6</definedName>
    <definedName name="TTBMVN_GIA_KHLNS_2FC357D2F9360A" hidden="1">'VL-NC-M - KHLNS'!$F$11</definedName>
    <definedName name="TTBMVN_GIA_KHLNS_8ED0DD58638907" hidden="1">'VL-NC-M - KHLNS'!$F$10</definedName>
    <definedName name="TTBMVN_GIA_KHLNS_A5B20047CC0024" hidden="1">'VL-NC-M - KHLNS'!$F$5</definedName>
    <definedName name="TTBMVN_GIA_KHLNS_B8C2DB20D4C7A4" hidden="1">'VL-NC-M - KHLNS'!$F$9</definedName>
    <definedName name="TTBMVN_GIA_KHLNS_BDE2F3090195E0" hidden="1">'VL-NC-M - KHLNS'!$F$12</definedName>
    <definedName name="TTBMVN_GIA_KHLNS_D578BFDA1CFAFE" hidden="1">'VL-NC-M - KHLNS'!$F$4</definedName>
    <definedName name="TTBMVN_GIA_KHLNS_EA236DC83B7333" hidden="1">'VL-NC-M - KHLNS'!$F$8</definedName>
    <definedName name="TTBMVN_PLDT_r1" hidden="1">'PLDT Test 701 Renamed'!$B$2</definedName>
    <definedName name="TTBMVN_PLDT_r2" hidden="1">'PLDT Test 701 Renamed'!$B$3</definedName>
    <definedName name="TTBMVN_PLDT_r3" hidden="1">'PLDT Test 701 Renamed'!$B$4</definedName>
    <definedName name="TTBMVN_PLDT_r4" hidden="1">'PLDT Test 701 Renamed'!$B$5</definedName>
    <definedName name="TTBMVN_PLDT_r5" hidden="1">'PLDT Test 701 Renamed'!$B$6</definedName>
    <definedName name="TTBMVN_PLDT_r6" hidden="1">'PLDT Test 701 Renamed'!$B$7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10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6" hidden="1">{"'Sheet1'!$L$16"}</definedName>
    <definedName name="tuyennhanh" localSheetId="1" hidden="1">{"'Sheet1'!$L$16"}</definedName>
    <definedName name="tuyennhanh" localSheetId="15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10" hidden="1">{"'Sheet1'!$L$16"}</definedName>
    <definedName name="thanh" localSheetId="3" hidden="1">{"'Sheet1'!$L$16"}</definedName>
    <definedName name="thanh" localSheetId="0" hidden="1">{"'Sheet1'!$L$16"}</definedName>
    <definedName name="thanh" localSheetId="16" hidden="1">{"'Sheet1'!$L$16"}</definedName>
    <definedName name="thanh" localSheetId="1" hidden="1">{"'Sheet1'!$L$16"}</definedName>
    <definedName name="thanh" localSheetId="15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10" hidden="1">{"'Sheet1'!$L$16"}</definedName>
    <definedName name="VATM" localSheetId="3" hidden="1">{"'Sheet1'!$L$16"}</definedName>
    <definedName name="VATM" localSheetId="0" hidden="1">{"'Sheet1'!$L$16"}</definedName>
    <definedName name="VATM" localSheetId="16" hidden="1">{"'Sheet1'!$L$16"}</definedName>
    <definedName name="VATM" localSheetId="1" hidden="1">{"'Sheet1'!$L$16"}</definedName>
    <definedName name="VATM" localSheetId="15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10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6" hidden="1">{#N/A,#N/A,FALSE,"Chi tiÆt"}</definedName>
    <definedName name="wrn.chi._.tiÆt." localSheetId="1" hidden="1">{#N/A,#N/A,FALSE,"Chi tiÆt"}</definedName>
    <definedName name="wrn.chi._.tiÆt." localSheetId="15" hidden="1">{#N/A,#N/A,FALSE,"Chi tiÆt"}</definedName>
    <definedName name="wrn.chi._.tiÆt." localSheetId="11" hidden="1">{#N/A,#N/A,FALSE,"Chi tiÆt"}</definedName>
    <definedName name="wrn.chi._.tiÆt.">{#N/A,#N/A,FALSE,"Chi tiÆt"}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6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6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10" hidden="1">{"'Sheet1'!$L$16"}</definedName>
    <definedName name="XmT5" localSheetId="3" hidden="1">{"'Sheet1'!$L$16"}</definedName>
    <definedName name="XmT5" localSheetId="0" hidden="1">{"'Sheet1'!$L$16"}</definedName>
    <definedName name="XmT5" localSheetId="16" hidden="1">{"'Sheet1'!$L$16"}</definedName>
    <definedName name="XmT5" localSheetId="1" hidden="1">{"'Sheet1'!$L$16"}</definedName>
    <definedName name="XmT5" localSheetId="15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3" l="1"/>
  <c r="G2" i="233"/>
  <c r="I2" i="233"/>
  <c r="J2" i="233"/>
  <c r="F3" i="233"/>
  <c r="G3" i="233"/>
  <c r="I3" i="233"/>
  <c r="J3" i="233"/>
  <c r="F4" i="233"/>
  <c r="I4" i="233" s="1"/>
  <c r="G4" i="233"/>
  <c r="J4" i="233" s="1"/>
  <c r="F4" i="238"/>
  <c r="G4" i="238"/>
  <c r="F5" i="238"/>
  <c r="G5" i="238"/>
  <c r="F6" i="238"/>
  <c r="G6" i="238"/>
  <c r="F7" i="238"/>
  <c r="G7" i="238"/>
  <c r="G9" i="238"/>
  <c r="G10" i="238"/>
  <c r="F7" i="233" s="1"/>
  <c r="I7" i="233" s="1"/>
  <c r="G11" i="238"/>
  <c r="G7" i="233" s="1"/>
  <c r="J7" i="233" s="1"/>
  <c r="F4" i="237"/>
  <c r="G4" i="237"/>
  <c r="G12" i="237" s="1"/>
  <c r="G5" i="237"/>
  <c r="F6" i="237"/>
  <c r="G6" i="237"/>
  <c r="F7" i="237"/>
  <c r="G7" i="237"/>
  <c r="F8" i="237"/>
  <c r="G8" i="237"/>
  <c r="F9" i="237"/>
  <c r="G9" i="237"/>
  <c r="F10" i="237"/>
  <c r="G10" i="237"/>
  <c r="G13" i="237"/>
  <c r="G14" i="237"/>
  <c r="F19" i="237"/>
  <c r="G19" i="237"/>
  <c r="G20" i="237"/>
  <c r="G27" i="237" s="1"/>
  <c r="F21" i="237"/>
  <c r="G21" i="237"/>
  <c r="F22" i="237"/>
  <c r="G22" i="237"/>
  <c r="F23" i="237"/>
  <c r="G23" i="237"/>
  <c r="F24" i="237"/>
  <c r="G24" i="237"/>
  <c r="F25" i="237"/>
  <c r="G25" i="237"/>
  <c r="G28" i="237"/>
  <c r="G29" i="237"/>
  <c r="F4" i="236"/>
  <c r="G4" i="236"/>
  <c r="G5" i="236"/>
  <c r="F6" i="236"/>
  <c r="G6" i="236"/>
  <c r="F7" i="236"/>
  <c r="G7" i="236"/>
  <c r="F8" i="236"/>
  <c r="G8" i="236"/>
  <c r="F9" i="236"/>
  <c r="G9" i="236"/>
  <c r="F10" i="236"/>
  <c r="G10" i="236"/>
  <c r="G12" i="236"/>
  <c r="G13" i="236"/>
  <c r="F6" i="233" s="1"/>
  <c r="I6" i="233" s="1"/>
  <c r="G14" i="236"/>
  <c r="G6" i="233" s="1"/>
  <c r="J6" i="233" s="1"/>
  <c r="K2" i="233"/>
  <c r="E10" i="211"/>
  <c r="D11" i="211"/>
  <c r="E11" i="211"/>
  <c r="D12" i="211"/>
  <c r="E12" i="211"/>
  <c r="E13" i="211"/>
  <c r="E14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D12" i="212" s="1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7" i="233" l="1"/>
  <c r="H7" i="233" s="1"/>
  <c r="G12" i="238"/>
  <c r="G15" i="237"/>
  <c r="E3" i="233"/>
  <c r="H3" i="233" s="1"/>
  <c r="E2" i="233"/>
  <c r="H2" i="233" s="1"/>
  <c r="E4" i="233"/>
  <c r="H4" i="233" s="1"/>
  <c r="G30" i="237"/>
  <c r="E6" i="233"/>
  <c r="H6" i="233" s="1"/>
  <c r="G15" i="236"/>
  <c r="E19" i="211"/>
  <c r="E15" i="211"/>
  <c r="E16" i="211" s="1"/>
  <c r="I27" i="212"/>
  <c r="J27" i="212"/>
  <c r="K27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23" i="211" l="1"/>
  <c r="E22" i="211"/>
  <c r="E21" i="211"/>
  <c r="E20" i="211"/>
  <c r="E18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<sst xmlns="http://schemas.openxmlformats.org/spreadsheetml/2006/main" count="1931" uniqueCount="638">
  <si>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</si>
  <si>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</si>
  <si>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</si>
  <si>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</si>
  <si>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</si>
  <si>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</si>
  <si>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</si>
  <si>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</si>
  <si>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</si>
  <si>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</si>
  <si>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</si>
  <si>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</si>
  <si>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</si>
  <si>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</si>
  <si>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</si>
  <si>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</si>
  <si>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</si>
  <si>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</si>
  <si>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</si>
  <si>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</si>
  <si>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</si>
  <si>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</si>
  <si>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</si>
  <si>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</si>
  <si>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</si>
  <si>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</si>
  <si>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</si>
  <si>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</si>
  <si>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</si>
  <si>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</si>
  <si>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</si>
  <si>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</si>
  <si>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</si>
  <si>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</si>
  <si>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</si>
  <si>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</si>
  <si>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</si>
  <si>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</si>
  <si>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</si>
  <si>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</si>
  <si>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</si>
  <si>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</si>
  <si>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</si>
  <si>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</si>
  <si>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</si>
  <si>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</si>
  <si>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</si>
  <si>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</si>
  <si>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</si>
  <si>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</si>
  <si>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</si>
  <si>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</si>
  <si>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</si>
  <si>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</si>
  <si>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</si>
  <si>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</si>
  <si>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</si>
  <si>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</si>
  <si>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</si>
  <si>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</si>
  <si>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</si>
  <si>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</si>
  <si>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</si>
  <si>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</si>
  <si>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</si>
  <si>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</si>
  <si>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</si>
  <si>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</si>
  <si>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</si>
  <si>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</si>
  <si>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</si>
  <si>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</si>
  <si>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</si>
  <si>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</si>
  <si>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</si>
  <si>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</si>
  <si>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</si>
  <si>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</si>
  <si>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</si>
  <si>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</si>
  <si>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</si>
  <si>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</si>
  <si>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</si>
  <si>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</si>
  <si>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</si>
  <si>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</si>
  <si>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</si>
  <si>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</si>
  <si>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</si>
  <si>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</si>
  <si>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</si>
  <si>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</si>
  <si>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</si>
  <si>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</si>
  <si>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</si>
  <si>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</si>
  <si>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</si>
  <si>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</si>
  <si>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</si>
  <si>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</si>
  <si>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</si>
  <si>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</si>
  <si>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</si>
  <si>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</si>
  <si>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</si>
  <si>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</si>
  <si>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</si>
  <si>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</si>
  <si>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</si>
  <si>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</si>
  <si>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</si>
  <si>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</si>
  <si>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</si>
  <si>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</si>
  <si>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</si>
  <si>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</si>
  <si>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</si>
  <si>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</si>
  <si>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</si>
  <si>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</si>
  <si>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</si>
  <si>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</si>
  <si>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</si>
  <si>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</si>
  <si>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</si>
  <si>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</si>
  <si>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</si>
  <si>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</si>
  <si>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</si>
  <si>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</si>
  <si>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</si>
  <si>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</si>
  <si>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</si>
  <si>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</si>
  <si>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</si>
  <si>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</si>
  <si>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</si>
  <si>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</si>
  <si>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</si>
  <si>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</si>
  <si>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</si>
  <si>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</si>
  <si>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</si>
  <si>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</si>
  <si>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</si>
  <si>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</si>
  <si>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</si>
  <si>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</si>
  <si>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</si>
  <si>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</si>
  <si>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</si>
  <si>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</si>
  <si>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</si>
  <si>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</si>
  <si>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</si>
  <si>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</si>
  <si>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</si>
  <si>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</si>
  <si>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</si>
  <si>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</si>
  <si>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</si>
  <si>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</si>
  <si>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</si>
  <si>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</si>
  <si>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</si>
  <si>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</si>
  <si>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</si>
  <si>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</si>
  <si>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</si>
  <si>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</si>
  <si>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</si>
  <si>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</si>
  <si>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</si>
  <si>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</si>
  <si>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</si>
  <si>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</si>
  <si>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</si>
  <si>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</si>
  <si>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</si>
  <si>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</si>
  <si>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</si>
  <si>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</si>
  <si>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</si>
  <si>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</si>
  <si>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</si>
  <si>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</si>
  <si>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</si>
  <si>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</si>
  <si>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</si>
  <si>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</si>
  <si>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</si>
  <si>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</si>
  <si>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</si>
  <si>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</si>
  <si>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</si>
  <si>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</si>
  <si>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</si>
  <si>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</si>
  <si>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</si>
  <si>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</si>
  <si>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</si>
  <si>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</si>
  <si>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</si>
  <si>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</si>
  <si>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</si>
  <si>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</si>
  <si>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</si>
  <si>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</si>
  <si>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</si>
  <si>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</si>
  <si>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</si>
  <si>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</si>
  <si>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</si>
  <si>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</si>
  <si>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</si>
  <si>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</si>
  <si>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</si>
  <si>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</si>
  <si>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</si>
  <si>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</si>
  <si>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</si>
  <si>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</si>
  <si>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</si>
  <si>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</si>
  <si>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</si>
  <si>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</si>
  <si>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</si>
  <si>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</si>
  <si>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</si>
  <si>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</si>
  <si>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</si>
  <si>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</si>
  <si>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</si>
  <si>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</si>
  <si>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</si>
  <si>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</si>
  <si>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</si>
  <si>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</si>
  <si>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</si>
  <si>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</si>
  <si>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</si>
  <si>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</si>
  <si>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</si>
  <si>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</si>
  <si>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</si>
  <si>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</si>
  <si>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</si>
  <si>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</si>
  <si>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</si>
  <si>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</si>
  <si>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</si>
  <si>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</si>
  <si>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</si>
  <si>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</si>
  <si>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</si>
  <si>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</si>
  <si>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</si>
  <si>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</si>
  <si>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</si>
  <si>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</si>
  <si>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</si>
  <si>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</si>
  <si>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</si>
  <si>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</si>
  <si>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</si>
  <si>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</si>
  <si>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</si>
  <si>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</si>
  <si>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</si>
  <si>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</si>
  <si>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</si>
  <si>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</si>
  <si>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</si>
  <si>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</si>
  <si>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</si>
  <si>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</si>
  <si>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</si>
  <si>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</si>
  <si>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</si>
  <si>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</si>
  <si>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</si>
  <si>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</si>
  <si>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</si>
  <si>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</si>
  <si>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</si>
  <si>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</si>
  <si>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</si>
  <si>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</si>
  <si>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</si>
  <si>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</si>
  <si>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</si>
  <si>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</si>
  <si>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</si>
  <si>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</si>
  <si>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</si>
  <si>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</si>
  <si>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</si>
  <si>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</si>
  <si>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</si>
  <si>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</si>
  <si>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</si>
  <si>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</si>
  <si>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</si>
  <si>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</si>
  <si>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</si>
  <si>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</si>
  <si>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</si>
  <si>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</si>
  <si>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</si>
  <si>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</si>
  <si>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</si>
  <si>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</si>
  <si>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</si>
  <si>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</si>
  <si>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</si>
  <si>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</si>
  <si>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</si>
  <si>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</si>
  <si>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</si>
  <si>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</si>
  <si>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</si>
  <si>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</si>
  <si>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</si>
  <si>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</si>
  <si>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</si>
  <si>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</si>
  <si>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</si>
  <si>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</si>
  <si>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</si>
  <si>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</si>
  <si>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</si>
  <si>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</si>
  <si>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</si>
  <si>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</si>
  <si>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</si>
  <si>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</si>
  <si>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</si>
  <si>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</si>
  <si>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</si>
  <si>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</si>
  <si>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</si>
  <si>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</si>
  <si>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</si>
  <si>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</si>
  <si>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</si>
  <si>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</si>
  <si>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</si>
  <si>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</si>
  <si>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</si>
  <si>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</si>
  <si>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</si>
  <si>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</si>
  <si>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</si>
  <si>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</si>
  <si>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</si>
  <si>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</si>
  <si>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</si>
  <si>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</si>
  <si>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</si>
  <si>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</si>
  <si>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</si>
  <si>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</si>
  <si>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</si>
  <si>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</si>
  <si>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</si>
  <si>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</si>
  <si>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</si>
  <si>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</si>
  <si>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</si>
  <si>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</si>
  <si>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</si>
  <si>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</si>
  <si>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</si>
  <si>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</si>
  <si>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</si>
  <si>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</si>
  <si>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</si>
  <si>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</si>
  <si>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</si>
  <si>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</si>
  <si>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</si>
  <si>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</si>
  <si>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</si>
  <si>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</si>
  <si>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</si>
  <si>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</si>
  <si>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</si>
  <si>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</si>
  <si>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</si>
  <si>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</si>
  <si>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</si>
  <si>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</si>
  <si>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</si>
  <si>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</si>
  <si>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</si>
  <si>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</si>
  <si>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</si>
  <si>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</si>
  <si>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</si>
  <si>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</si>
  <si>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</si>
  <si>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</si>
  <si>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</si>
  <si>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</si>
  <si>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</si>
  <si>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</si>
  <si>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</si>
  <si>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</si>
  <si>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</si>
  <si>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</si>
  <si>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</si>
  <si>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</si>
  <si>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</si>
  <si>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</si>
  <si>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</si>
  <si>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</si>
  <si>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</si>
  <si>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</si>
  <si>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</si>
  <si>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</si>
  <si>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</si>
  <si>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</si>
  <si>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</si>
  <si>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</si>
  <si>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</si>
  <si>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</si>
  <si>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</si>
  <si>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</si>
  <si>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</si>
  <si>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</si>
  <si>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</si>
  <si>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</si>
  <si>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</si>
  <si>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</si>
  <si>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</si>
  <si>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</si>
  <si>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</si>
  <si>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</si>
  <si>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</si>
  <si>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</si>
  <si>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</si>
  <si>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</si>
  <si>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</si>
  <si>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</si>
  <si>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</si>
  <si>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</si>
  <si>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</si>
  <si>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</si>
  <si>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</si>
  <si>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</si>
  <si>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</si>
  <si>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</si>
  <si>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</si>
  <si>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</si>
  <si>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</si>
  <si>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</si>
  <si>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</si>
  <si>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</si>
  <si>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</si>
  <si>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</si>
  <si>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</si>
  <si>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</si>
  <si>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</si>
  <si>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</si>
  <si>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</si>
  <si>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</si>
  <si>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</si>
  <si>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</si>
  <si>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</si>
  <si>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</si>
  <si>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</si>
  <si>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</si>
  <si>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</si>
  <si>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</si>
  <si>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</si>
  <si>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</si>
  <si>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</si>
  <si>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</si>
  <si>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</si>
  <si>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</si>
  <si>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</si>
  <si>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</si>
  <si>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</si>
  <si>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</si>
  <si>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</si>
  <si>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</si>
  <si>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</si>
  <si>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</si>
  <si>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</si>
  <si>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</si>
  <si>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</si>
  <si>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</si>
  <si>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</si>
  <si>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</si>
  <si>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</si>
  <si>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</si>
  <si>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</si>
  <si>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</si>
  <si>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</si>
  <si>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</si>
  <si>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</si>
  <si>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</si>
  <si>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</si>
  <si>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</si>
  <si>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</si>
  <si>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</si>
  <si>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</si>
  <si>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</si>
  <si>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</si>
  <si>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</si>
  <si>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</si>
  <si>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</si>
  <si>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</si>
  <si>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</si>
  <si>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</si>
  <si>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</si>
  <si>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</si>
  <si>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</si>
  <si>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</si>
  <si>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</si>
  <si>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</si>
  <si>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</si>
  <si>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</si>
  <si>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</si>
  <si>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</si>
  <si>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</si>
  <si>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</si>
  <si>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</si>
  <si>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</si>
  <si>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</si>
  <si>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</si>
  <si>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</si>
  <si>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</si>
  <si>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</si>
  <si>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</si>
  <si>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</si>
  <si>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</si>
  <si>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</si>
  <si>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</si>
  <si>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</si>
  <si>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</si>
  <si>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</si>
  <si>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</si>
  <si>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</si>
  <si>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</si>
  <si>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</si>
  <si>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</si>
  <si>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</si>
  <si>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</si>
  <si>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</si>
  <si>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</si>
  <si>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</si>
  <si>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</si>
  <si>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</si>
  <si>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</si>
  <si>
    <t>Sá»‘ hiá»‡u</t>
  </si>
  <si>
    <t>TÃªn cÃ´ng tÃ¡c</t>
  </si>
  <si>
    <t>ÄVT</t>
  </si>
  <si>
    <t>Khá»‘i lÆ°á»£ng</t>
  </si>
  <si>
    <t>ÄG VL</t>
  </si>
  <si>
    <t>ÄG NC</t>
  </si>
  <si>
    <t>ÄG M</t>
  </si>
  <si>
    <t>TT VL</t>
  </si>
  <si>
    <t>TT NC</t>
  </si>
  <si>
    <t>TT M</t>
  </si>
  <si>
    <t>Ghi chÃº</t>
  </si>
  <si>
    <t>CT.01</t>
  </si>
  <si>
    <t>DÃ² tÃ¬m máº­t Ä‘á»™ 1 - Ä‘oáº¡n A</t>
  </si>
  <si>
    <t>CT.02</t>
  </si>
  <si>
    <t>DÃ² tÃ¬m máº­t Ä‘á»™ 1 - Ä‘oáº¡n B</t>
  </si>
  <si>
    <t>CT.03</t>
  </si>
  <si>
    <t>DÃ² tÃ¬m máº­t Ä‘á»™ 2</t>
  </si>
  <si>
    <t>KHU Vá»°C DÆ¯á»šI NÆ¯á»šC</t>
  </si>
  <si>
    <t>CT.04</t>
  </si>
  <si>
    <t>DÃ² tÃ¬m máº­t Ä‘á»™ 1 - HLNS</t>
  </si>
  <si>
    <t>CT.05</t>
  </si>
  <si>
    <t>DÃ² tÃ¬m dÆ°á»›i nÆ°á»›c</t>
  </si>
  <si>
    <t>signal</t>
  </si>
  <si>
    <t>BẢNG GIÁ VẬT LIỆU - NHÂN CÔNG - MÁY</t>
  </si>
  <si>
    <t>Hưởng lương ngân sách</t>
  </si>
  <si>
    <t>TEST-DT103-PRICE-BASELINE-HLNS@1.0.0</t>
  </si>
  <si>
    <t>Mã</t>
  </si>
  <si>
    <t>Loại</t>
  </si>
  <si>
    <t>Tên dữ liệu</t>
  </si>
  <si>
    <t>Giá gốc</t>
  </si>
  <si>
    <t>Giá áp dụng</t>
  </si>
  <si>
    <t>Nguồn</t>
  </si>
  <si>
    <t>Lý do ghi đè</t>
  </si>
  <si>
    <t>LAB-QNCN-7</t>
  </si>
  <si>
    <t>worker-day</t>
  </si>
  <si>
    <t>Workbook:Sheet20!F11</t>
  </si>
  <si>
    <t>MACHINE-M010.001</t>
  </si>
  <si>
    <t>Ca máy</t>
  </si>
  <si>
    <t>Máy dò mìn</t>
  </si>
  <si>
    <t>shift</t>
  </si>
  <si>
    <t>Workbook:Sheet20!F23</t>
  </si>
  <si>
    <t>MAT-CONCRETE-STAKE</t>
  </si>
  <si>
    <t>each</t>
  </si>
  <si>
    <t>Workbook:Sheet20!F81</t>
  </si>
  <si>
    <t>MAT-RED-FLAG</t>
  </si>
  <si>
    <t>Workbook:Sheet20!F83</t>
  </si>
  <si>
    <t>MAT-ROPE-10MM</t>
  </si>
  <si>
    <t>Workbook:Sheet20!F85</t>
  </si>
  <si>
    <t>MAT-WOOD-STAKE</t>
  </si>
  <si>
    <t>Workbook:Sheet20!F82</t>
  </si>
  <si>
    <t>Không hưởng lương ngân sách</t>
  </si>
  <si>
    <t>TEST-DT103-PRICE-BASELINE@1.0.0</t>
  </si>
  <si>
    <t>MACHINE-M010.008</t>
  </si>
  <si>
    <t>Workbook:Sheet20!F35</t>
  </si>
  <si>
    <t>MACHINE-M010.027</t>
  </si>
  <si>
    <t>Workbook:Sheet20!F51</t>
  </si>
  <si>
    <t>MACHINE-M010.029</t>
  </si>
  <si>
    <t>Workbook:Sheet20!F62</t>
  </si>
  <si>
    <t>PHÂN TÍCH ĐƠN GIÁ CẠN</t>
  </si>
  <si>
    <t>DG-7C376EB34D5D630F</t>
  </si>
  <si>
    <t>NORM-020.0200 / density-1</t>
  </si>
  <si>
    <t>Rà phá bom mìn vật nổ bằng máy dò mìn đến độ sâu 0,3 m hoặc 0,5 m</t>
  </si>
  <si>
    <t>1 công tác sử dụng</t>
  </si>
  <si>
    <t>Mã nguồn lực</t>
  </si>
  <si>
    <t>Tên nguồn lực</t>
  </si>
  <si>
    <t>Hao phí</t>
  </si>
  <si>
    <t>Giá</t>
  </si>
  <si>
    <t>%</t>
  </si>
  <si>
    <t>MAT-OTHER</t>
  </si>
  <si>
    <t>Vat lieu khac</t>
  </si>
  <si>
    <t>percent</t>
  </si>
  <si>
    <t>M010.001</t>
  </si>
  <si>
    <t>DG-37ABEBFE22C8200F</t>
  </si>
  <si>
    <t>2 công tác sử dụng</t>
  </si>
  <si>
    <t>DG-BF0AD8D496B07244</t>
  </si>
  <si>
    <t>NORM-020.0200 / density-2</t>
  </si>
  <si>
    <t>PHÂN TÍCH ĐƠN GIÁ NƯỚC</t>
  </si>
  <si>
    <t>DG-23CB9F9BAD7C1D77</t>
  </si>
  <si>
    <t>NORM-030.0400 / water-0.5-12</t>
  </si>
  <si>
    <t>Lặn kiểm tra, đào xử lý tín hiệu ở độ sâu đến 0,5 m tính từ đáy nước</t>
  </si>
  <si>
    <t>M010.008</t>
  </si>
  <si>
    <t>M010.027</t>
  </si>
  <si>
    <t>M010.DIVING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</si>
</sst>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4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  <font>
      <b/>
      <sz val="14"/>
      <name val=".VnTime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EAD9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53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0" fontId="333" fillId="0" borderId="0" xfId="0" applyFont="1" applyAlignment="1">
      <alignment vertical="center"/>
    </xf>
    <xf numFmtId="4" fontId="3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3" fillId="0" borderId="83" xfId="0" applyFont="1" applyBorder="1" applyAlignment="1">
      <alignment horizontal="center" vertical="center"/>
    </xf>
    <xf numFmtId="0" fontId="0" fillId="0" borderId="83" xfId="0" applyBorder="1" applyAlignment="1">
      <alignment vertical="center"/>
    </xf>
    <xf numFmtId="0" fontId="94" fillId="57" borderId="83" xfId="0" applyFont="1" applyFill="1" applyBorder="1" applyAlignment="1">
      <alignment vertical="center"/>
    </xf>
    <xf numFmtId="4" fontId="0" fillId="0" borderId="83" xfId="0" applyNumberFormat="1" applyBorder="1" applyAlignment="1">
      <alignment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93.6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00EE-BE62-4619-B317-DC16A321AB26}">
  <dimension ref="A1:K7"/>
  <sheetViews>
    <sheetView workbookViewId="0"/>
  </sheetViews>
  <sheetFormatPr defaultRowHeight="15"/>
  <sheetData>
    <row r="1" spans="1:11">
      <c r="A1" t="s">
        <v>555</v>
      </c>
      <c r="B1" t="s">
        <v>556</v>
      </c>
      <c r="C1" t="s">
        <v>557</v>
      </c>
      <c r="D1" t="s">
        <v>558</v>
      </c>
      <c r="E1" t="s">
        <v>559</v>
      </c>
      <c r="F1" t="s">
        <v>560</v>
      </c>
      <c r="G1" t="s">
        <v>561</v>
      </c>
      <c r="H1" t="s">
        <v>562</v>
      </c>
      <c r="I1" t="s">
        <v>563</v>
      </c>
      <c r="J1" t="s">
        <v>564</v>
      </c>
      <c r="K1" t="s">
        <v>565</v>
      </c>
    </row>
    <row r="2" spans="1:11">
      <c r="A2" t="s">
        <v>566</v>
      </c>
      <c r="B2" t="s">
        <v>567</v>
      </c>
      <c r="C2" t="s">
        <v>9</v>
      </c>
      <c r="D2">
        <v>10</v>
      </c>
      <c r="E2">
        <f>TTBMVN_DG37ABEBFE22C8200F_VL</f>
        <v>851550</v>
      </c>
      <c r="F2">
        <f>TTBMVN_DG37ABEBFE22C8200F_NC</f>
        <v>8593200</v>
      </c>
      <c r="G2">
        <f>TTBMVN_DG37ABEBFE22C8200F_M</f>
        <v>8827863.7200000007</v>
      </c>
      <c r="H2">
        <f>D2*E2</f>
        <v>8515500</v>
      </c>
      <c r="I2">
        <f>D2*F2</f>
        <v>85932000</v>
      </c>
      <c r="J2">
        <f>D2*G2</f>
        <v>88278637.200000003</v>
      </c>
      <c r="K2" t="e">
        <f>NA()</f>
        <v>#N/A</v>
      </c>
    </row>
    <row r="3" spans="1:11">
      <c r="A3" t="s">
        <v>568</v>
      </c>
      <c r="B3" t="s">
        <v>569</v>
      </c>
      <c r="C3" t="s">
        <v>9</v>
      </c>
      <c r="D3">
        <v>20</v>
      </c>
      <c r="E3">
        <f>TTBMVN_DG37ABEBFE22C8200F_VL</f>
        <v>851550</v>
      </c>
      <c r="F3">
        <f>TTBMVN_DG37ABEBFE22C8200F_NC</f>
        <v>8593200</v>
      </c>
      <c r="G3">
        <f>TTBMVN_DG37ABEBFE22C8200F_M</f>
        <v>8827863.7200000007</v>
      </c>
      <c r="H3">
        <f>D3*E3</f>
        <v>17031000</v>
      </c>
      <c r="I3">
        <f>D3*F3</f>
        <v>171864000</v>
      </c>
      <c r="J3">
        <f>D3*G3</f>
        <v>176557274.40000001</v>
      </c>
    </row>
    <row r="4" spans="1:11">
      <c r="A4" t="s">
        <v>570</v>
      </c>
      <c r="B4" t="s">
        <v>571</v>
      </c>
      <c r="C4" t="s">
        <v>9</v>
      </c>
      <c r="D4">
        <v>30</v>
      </c>
      <c r="E4">
        <f>TTBMVN_DGBF0AD8D496B07244_VL</f>
        <v>856800</v>
      </c>
      <c r="F4">
        <f>TTBMVN_DGBF0AD8D496B07244_NC</f>
        <v>9454500</v>
      </c>
      <c r="G4">
        <f>TTBMVN_DGBF0AD8D496B07244_M</f>
        <v>9712939.0800000001</v>
      </c>
      <c r="H4">
        <f>D4*E4</f>
        <v>25704000</v>
      </c>
      <c r="I4">
        <f>D4*F4</f>
        <v>283635000</v>
      </c>
      <c r="J4">
        <f>D4*G4</f>
        <v>291388172.39999998</v>
      </c>
    </row>
    <row r="5" spans="1:11">
      <c r="B5" t="s">
        <v>572</v>
      </c>
      <c r="D5">
        <v>0</v>
      </c>
    </row>
    <row r="6" spans="1:11">
      <c r="A6" t="s">
        <v>573</v>
      </c>
      <c r="B6" t="s">
        <v>574</v>
      </c>
      <c r="C6" t="s">
        <v>9</v>
      </c>
      <c r="D6">
        <v>40</v>
      </c>
      <c r="E6">
        <f>TTBMVN_DG7C376EB34D5D630F_VL</f>
        <v>851550</v>
      </c>
      <c r="F6">
        <f>TTBMVN_DG7C376EB34D5D630F_NC</f>
        <v>8593200</v>
      </c>
      <c r="G6">
        <f>TTBMVN_DG7C376EB34D5D630F_M</f>
        <v>8827863.7200000007</v>
      </c>
      <c r="H6">
        <f>D6*E6</f>
        <v>34062000</v>
      </c>
      <c r="I6">
        <f>D6*F6</f>
        <v>343728000</v>
      </c>
      <c r="J6">
        <f>D6*G6</f>
        <v>353114548.80000001</v>
      </c>
    </row>
    <row r="7" spans="1:11">
      <c r="A7" t="s">
        <v>575</v>
      </c>
      <c r="B7" t="s">
        <v>576</v>
      </c>
      <c r="C7" t="s">
        <v>577</v>
      </c>
      <c r="D7">
        <v>50</v>
      </c>
      <c r="E7">
        <f>TTBMVN_DG23CB9F9BAD7C1D77_VL</f>
        <v>0</v>
      </c>
      <c r="F7">
        <f>TTBMVN_DG23CB9F9BAD7C1D77_NC</f>
        <v>113850</v>
      </c>
      <c r="G7">
        <f>TTBMVN_DG23CB9F9BAD7C1D77_M</f>
        <v>441645.14</v>
      </c>
      <c r="H7">
        <f>D7*E7</f>
        <v>0</v>
      </c>
      <c r="I7">
        <f>D7*F7</f>
        <v>5692500</v>
      </c>
      <c r="J7">
        <f>D7*G7</f>
        <v>22082257</v>
      </c>
    </row>
  </sheetData>
  <pageMargins left="0.7" right="0.7" top="0.75" bottom="0.75" header="0.3" footer="0.3"/>
  <customProperties>
    <customPr name="TTBMVN.EstimateSource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6CE8-688C-42AB-B5BE-0193DAC610C9}">
  <dimension ref="A1:H9"/>
  <sheetViews>
    <sheetView workbookViewId="0"/>
  </sheetViews>
  <sheetFormatPr defaultRowHeight="15"/>
  <cols>
    <col min="1" max="1" width="23.59765625" bestFit="1" customWidth="1"/>
    <col min="2" max="2" width="40.3984375" bestFit="1" customWidth="1"/>
    <col min="3" max="3" width="32.69921875" customWidth="1"/>
    <col min="4" max="4" width="10.19921875" bestFit="1" customWidth="1"/>
    <col min="5" max="5" width="9.8984375" bestFit="1" customWidth="1"/>
    <col min="6" max="6" width="11.5" bestFit="1" customWidth="1"/>
    <col min="7" max="8" width="28.69921875" customWidth="1"/>
  </cols>
  <sheetData>
    <row r="1" spans="1:8" ht="18">
      <c r="A1" s="949" t="s">
        <v>578</v>
      </c>
      <c r="B1" s="949"/>
      <c r="C1" s="949"/>
      <c r="D1" s="949"/>
      <c r="E1" s="949"/>
      <c r="F1" s="949"/>
      <c r="G1" s="949"/>
      <c r="H1" s="949"/>
    </row>
    <row r="2" spans="1:8">
      <c r="A2" s="950" t="s">
        <v>579</v>
      </c>
      <c r="B2" s="950" t="s">
        <v>580</v>
      </c>
      <c r="C2" s="950"/>
      <c r="D2" s="950"/>
      <c r="E2" s="950"/>
      <c r="F2" s="950"/>
      <c r="G2" s="950"/>
      <c r="H2" s="950"/>
    </row>
    <row r="3" spans="1:8" ht="15.6">
      <c r="A3" s="951" t="s">
        <v>581</v>
      </c>
      <c r="B3" s="951" t="s">
        <v>582</v>
      </c>
      <c r="C3" s="951" t="s">
        <v>583</v>
      </c>
      <c r="D3" s="951" t="s">
        <v>23</v>
      </c>
      <c r="E3" s="951" t="s">
        <v>584</v>
      </c>
      <c r="F3" s="951" t="s">
        <v>585</v>
      </c>
      <c r="G3" s="951" t="s">
        <v>586</v>
      </c>
      <c r="H3" s="951" t="s">
        <v>587</v>
      </c>
    </row>
    <row r="4" spans="1:8">
      <c r="A4" s="950" t="s">
        <v>588</v>
      </c>
      <c r="B4" s="950" t="s">
        <v>25</v>
      </c>
      <c r="C4" s="950" t="s">
        <v>60</v>
      </c>
      <c r="D4" s="950" t="s">
        <v>589</v>
      </c>
      <c r="E4" s="952">
        <v>495000</v>
      </c>
      <c r="F4" s="952">
        <v>495000</v>
      </c>
      <c r="G4" s="950" t="s">
        <v>590</v>
      </c>
      <c r="H4" s="950"/>
    </row>
    <row r="5" spans="1:8">
      <c r="A5" s="950" t="s">
        <v>591</v>
      </c>
      <c r="B5" s="950" t="s">
        <v>592</v>
      </c>
      <c r="C5" s="950" t="s">
        <v>593</v>
      </c>
      <c r="D5" s="950" t="s">
        <v>594</v>
      </c>
      <c r="E5" s="952">
        <v>762996</v>
      </c>
      <c r="F5" s="952">
        <v>762996</v>
      </c>
      <c r="G5" s="950" t="s">
        <v>595</v>
      </c>
      <c r="H5" s="950"/>
    </row>
    <row r="6" spans="1:8">
      <c r="A6" s="950" t="s">
        <v>596</v>
      </c>
      <c r="B6" s="950" t="s">
        <v>59</v>
      </c>
      <c r="C6" s="950" t="s">
        <v>62</v>
      </c>
      <c r="D6" s="950" t="s">
        <v>597</v>
      </c>
      <c r="E6" s="952">
        <v>100000</v>
      </c>
      <c r="F6" s="952">
        <v>100000</v>
      </c>
      <c r="G6" s="950" t="s">
        <v>598</v>
      </c>
      <c r="H6" s="950"/>
    </row>
    <row r="7" spans="1:8">
      <c r="A7" s="950" t="s">
        <v>599</v>
      </c>
      <c r="B7" s="950" t="s">
        <v>59</v>
      </c>
      <c r="C7" s="950" t="s">
        <v>55</v>
      </c>
      <c r="D7" s="950" t="s">
        <v>597</v>
      </c>
      <c r="E7" s="952">
        <v>2500</v>
      </c>
      <c r="F7" s="952">
        <v>2500</v>
      </c>
      <c r="G7" s="950" t="s">
        <v>600</v>
      </c>
      <c r="H7" s="950"/>
    </row>
    <row r="8" spans="1:8">
      <c r="A8" s="950" t="s">
        <v>601</v>
      </c>
      <c r="B8" s="950" t="s">
        <v>59</v>
      </c>
      <c r="C8" s="950" t="s">
        <v>54</v>
      </c>
      <c r="D8" s="950" t="s">
        <v>4</v>
      </c>
      <c r="E8" s="952">
        <v>2000</v>
      </c>
      <c r="F8" s="952">
        <v>2000</v>
      </c>
      <c r="G8" s="950" t="s">
        <v>602</v>
      </c>
      <c r="H8" s="950"/>
    </row>
    <row r="9" spans="1:8">
      <c r="A9" s="950" t="s">
        <v>603</v>
      </c>
      <c r="B9" s="950" t="s">
        <v>59</v>
      </c>
      <c r="C9" s="950" t="s">
        <v>56</v>
      </c>
      <c r="D9" s="950" t="s">
        <v>597</v>
      </c>
      <c r="E9" s="952">
        <v>8000</v>
      </c>
      <c r="F9" s="952">
        <v>8000</v>
      </c>
      <c r="G9" s="950" t="s">
        <v>604</v>
      </c>
      <c r="H9" s="950"/>
    </row>
  </sheetData>
  <mergeCells count="1">
    <mergeCell ref="A1:H1"/>
  </mergeCells>
  <pageMargins left="0.7" right="0.7" top="0.75" bottom="0.75" header="0.3" footer="0.3"/>
  <customProperties>
    <customPr name="TTBMVN.GeneratedEstimateRole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B2176-719A-4920-8651-B5A1F544EDAA}">
  <dimension ref="A1:H12"/>
  <sheetViews>
    <sheetView workbookViewId="0"/>
  </sheetViews>
  <sheetFormatPr defaultRowHeight="15"/>
  <cols>
    <col min="1" max="1" width="26.796875" bestFit="1" customWidth="1"/>
    <col min="2" max="2" width="34.59765625" bestFit="1" customWidth="1"/>
    <col min="3" max="3" width="32.69921875" customWidth="1"/>
    <col min="4" max="4" width="10.19921875" bestFit="1" customWidth="1"/>
    <col min="5" max="5" width="11.3984375" bestFit="1" customWidth="1"/>
    <col min="6" max="6" width="11.5" bestFit="1" customWidth="1"/>
    <col min="7" max="8" width="28.69921875" customWidth="1"/>
  </cols>
  <sheetData>
    <row r="1" spans="1:8" ht="18">
      <c r="A1" s="949" t="s">
        <v>578</v>
      </c>
      <c r="B1" s="949"/>
      <c r="C1" s="949"/>
      <c r="D1" s="949"/>
      <c r="E1" s="949"/>
      <c r="F1" s="949"/>
      <c r="G1" s="949"/>
      <c r="H1" s="949"/>
    </row>
    <row r="2" spans="1:8">
      <c r="A2" s="950" t="s">
        <v>605</v>
      </c>
      <c r="B2" s="950" t="s">
        <v>606</v>
      </c>
      <c r="C2" s="950"/>
      <c r="D2" s="950"/>
      <c r="E2" s="950"/>
      <c r="F2" s="950"/>
      <c r="G2" s="950"/>
      <c r="H2" s="950"/>
    </row>
    <row r="3" spans="1:8" ht="15.6">
      <c r="A3" s="951" t="s">
        <v>581</v>
      </c>
      <c r="B3" s="951" t="s">
        <v>582</v>
      </c>
      <c r="C3" s="951" t="s">
        <v>583</v>
      </c>
      <c r="D3" s="951" t="s">
        <v>23</v>
      </c>
      <c r="E3" s="951" t="s">
        <v>584</v>
      </c>
      <c r="F3" s="951" t="s">
        <v>585</v>
      </c>
      <c r="G3" s="951" t="s">
        <v>586</v>
      </c>
      <c r="H3" s="951" t="s">
        <v>587</v>
      </c>
    </row>
    <row r="4" spans="1:8">
      <c r="A4" s="950" t="s">
        <v>588</v>
      </c>
      <c r="B4" s="950" t="s">
        <v>25</v>
      </c>
      <c r="C4" s="950" t="s">
        <v>60</v>
      </c>
      <c r="D4" s="950" t="s">
        <v>589</v>
      </c>
      <c r="E4" s="952">
        <v>495000</v>
      </c>
      <c r="F4" s="952">
        <v>495000</v>
      </c>
      <c r="G4" s="950" t="s">
        <v>590</v>
      </c>
      <c r="H4" s="950"/>
    </row>
    <row r="5" spans="1:8">
      <c r="A5" s="950" t="s">
        <v>591</v>
      </c>
      <c r="B5" s="950" t="s">
        <v>592</v>
      </c>
      <c r="C5" s="950" t="s">
        <v>593</v>
      </c>
      <c r="D5" s="950" t="s">
        <v>594</v>
      </c>
      <c r="E5" s="952">
        <v>762996</v>
      </c>
      <c r="F5" s="952">
        <v>762996</v>
      </c>
      <c r="G5" s="950" t="s">
        <v>595</v>
      </c>
      <c r="H5" s="950"/>
    </row>
    <row r="6" spans="1:8">
      <c r="A6" s="950" t="s">
        <v>607</v>
      </c>
      <c r="B6" s="950" t="s">
        <v>592</v>
      </c>
      <c r="C6" s="950" t="s">
        <v>99</v>
      </c>
      <c r="D6" s="950" t="s">
        <v>594</v>
      </c>
      <c r="E6" s="952">
        <v>1587824</v>
      </c>
      <c r="F6" s="952">
        <v>1587824</v>
      </c>
      <c r="G6" s="950" t="s">
        <v>608</v>
      </c>
      <c r="H6" s="950"/>
    </row>
    <row r="7" spans="1:8">
      <c r="A7" s="950" t="s">
        <v>609</v>
      </c>
      <c r="B7" s="950" t="s">
        <v>592</v>
      </c>
      <c r="C7" s="950" t="s">
        <v>104</v>
      </c>
      <c r="D7" s="950" t="s">
        <v>594</v>
      </c>
      <c r="E7" s="952">
        <v>995354</v>
      </c>
      <c r="F7" s="952">
        <v>995354</v>
      </c>
      <c r="G7" s="950" t="s">
        <v>610</v>
      </c>
      <c r="H7" s="950"/>
    </row>
    <row r="8" spans="1:8">
      <c r="A8" s="950" t="s">
        <v>611</v>
      </c>
      <c r="B8" s="950" t="s">
        <v>592</v>
      </c>
      <c r="C8" s="950" t="s">
        <v>110</v>
      </c>
      <c r="D8" s="950" t="s">
        <v>594</v>
      </c>
      <c r="E8" s="952">
        <v>1105582</v>
      </c>
      <c r="F8" s="952">
        <v>1105582</v>
      </c>
      <c r="G8" s="950" t="s">
        <v>612</v>
      </c>
      <c r="H8" s="950"/>
    </row>
    <row r="9" spans="1:8">
      <c r="A9" s="950" t="s">
        <v>596</v>
      </c>
      <c r="B9" s="950" t="s">
        <v>59</v>
      </c>
      <c r="C9" s="950" t="s">
        <v>62</v>
      </c>
      <c r="D9" s="950" t="s">
        <v>597</v>
      </c>
      <c r="E9" s="952">
        <v>100000</v>
      </c>
      <c r="F9" s="952">
        <v>100000</v>
      </c>
      <c r="G9" s="950" t="s">
        <v>598</v>
      </c>
      <c r="H9" s="950"/>
    </row>
    <row r="10" spans="1:8">
      <c r="A10" s="950" t="s">
        <v>599</v>
      </c>
      <c r="B10" s="950" t="s">
        <v>59</v>
      </c>
      <c r="C10" s="950" t="s">
        <v>55</v>
      </c>
      <c r="D10" s="950" t="s">
        <v>597</v>
      </c>
      <c r="E10" s="952">
        <v>2500</v>
      </c>
      <c r="F10" s="952">
        <v>2500</v>
      </c>
      <c r="G10" s="950" t="s">
        <v>600</v>
      </c>
      <c r="H10" s="950"/>
    </row>
    <row r="11" spans="1:8">
      <c r="A11" s="950" t="s">
        <v>601</v>
      </c>
      <c r="B11" s="950" t="s">
        <v>59</v>
      </c>
      <c r="C11" s="950" t="s">
        <v>54</v>
      </c>
      <c r="D11" s="950" t="s">
        <v>4</v>
      </c>
      <c r="E11" s="952">
        <v>2000</v>
      </c>
      <c r="F11" s="952">
        <v>2000</v>
      </c>
      <c r="G11" s="950" t="s">
        <v>602</v>
      </c>
      <c r="H11" s="950"/>
    </row>
    <row r="12" spans="1:8">
      <c r="A12" s="950" t="s">
        <v>603</v>
      </c>
      <c r="B12" s="950" t="s">
        <v>59</v>
      </c>
      <c r="C12" s="950" t="s">
        <v>56</v>
      </c>
      <c r="D12" s="950" t="s">
        <v>597</v>
      </c>
      <c r="E12" s="952">
        <v>8000</v>
      </c>
      <c r="F12" s="952">
        <v>8000</v>
      </c>
      <c r="G12" s="950" t="s">
        <v>604</v>
      </c>
      <c r="H12" s="950"/>
    </row>
  </sheetData>
  <mergeCells count="1">
    <mergeCell ref="A1:H1"/>
  </mergeCells>
  <pageMargins left="0.7" right="0.7" top="0.75" bottom="0.75" header="0.3" footer="0.3"/>
  <customProperties>
    <customPr name="TTBMVN.GeneratedEstimateRole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3E3B-C02E-465C-8571-FA62BF1A874C}">
  <dimension ref="A1:H16"/>
  <sheetViews>
    <sheetView workbookViewId="0"/>
  </sheetViews>
  <sheetFormatPr defaultRowHeight="15"/>
  <cols>
    <col min="1" max="1" width="29.59765625" bestFit="1" customWidth="1"/>
    <col min="2" max="2" width="25.8984375" bestFit="1" customWidth="1"/>
    <col min="3" max="3" width="42.69921875" customWidth="1"/>
    <col min="4" max="4" width="10.19921875" bestFit="1" customWidth="1"/>
    <col min="5" max="5" width="7.69921875" bestFit="1" customWidth="1"/>
    <col min="6" max="6" width="9.8984375" bestFit="1" customWidth="1"/>
    <col min="7" max="7" width="16.5" bestFit="1" customWidth="1"/>
    <col min="8" max="8" width="2.59765625" hidden="1" customWidth="1"/>
  </cols>
  <sheetData>
    <row r="1" spans="1:8" ht="18">
      <c r="A1" s="945" t="s">
        <v>613</v>
      </c>
      <c r="B1" s="945" t="s">
        <v>579</v>
      </c>
      <c r="C1" s="945"/>
      <c r="D1" s="945"/>
      <c r="E1" s="946"/>
      <c r="F1" s="946"/>
      <c r="G1" s="946"/>
      <c r="H1" s="945"/>
    </row>
    <row r="2" spans="1:8">
      <c r="A2" s="947" t="s">
        <v>614</v>
      </c>
      <c r="B2" s="947" t="s">
        <v>615</v>
      </c>
      <c r="C2" s="947" t="s">
        <v>616</v>
      </c>
      <c r="D2" s="947"/>
      <c r="E2" s="948"/>
      <c r="F2" s="948"/>
      <c r="G2" s="948" t="s">
        <v>617</v>
      </c>
      <c r="H2" s="947"/>
    </row>
    <row r="3" spans="1:8">
      <c r="A3" s="947" t="s">
        <v>582</v>
      </c>
      <c r="B3" s="947" t="s">
        <v>618</v>
      </c>
      <c r="C3" s="947" t="s">
        <v>619</v>
      </c>
      <c r="D3" s="947" t="s">
        <v>23</v>
      </c>
      <c r="E3" s="948" t="s">
        <v>620</v>
      </c>
      <c r="F3" s="948" t="s">
        <v>621</v>
      </c>
      <c r="G3" s="948" t="s">
        <v>17</v>
      </c>
      <c r="H3" s="947" t="s">
        <v>622</v>
      </c>
    </row>
    <row r="4" spans="1:8">
      <c r="A4" s="947" t="s">
        <v>5</v>
      </c>
      <c r="B4" s="947" t="s">
        <v>596</v>
      </c>
      <c r="C4" s="947" t="s">
        <v>62</v>
      </c>
      <c r="D4" s="947" t="s">
        <v>597</v>
      </c>
      <c r="E4" s="948">
        <v>4</v>
      </c>
      <c r="F4" s="948">
        <f>TTBMVN_GIA_HLNS_B8C2DB20D4C7A4</f>
        <v>100000</v>
      </c>
      <c r="G4" s="948">
        <f>E4*F4</f>
        <v>400000</v>
      </c>
      <c r="H4" s="947">
        <v>0</v>
      </c>
    </row>
    <row r="5" spans="1:8">
      <c r="A5" s="947" t="s">
        <v>5</v>
      </c>
      <c r="B5" s="947" t="s">
        <v>623</v>
      </c>
      <c r="C5" s="947" t="s">
        <v>624</v>
      </c>
      <c r="D5" s="947" t="s">
        <v>625</v>
      </c>
      <c r="E5" s="948">
        <v>5</v>
      </c>
      <c r="F5" s="948">
        <v>0</v>
      </c>
      <c r="G5" s="948">
        <f>SUMIFS($G$4:$G$10,$A$4:$A$10,"VL",$H$4:$H$10,0)*E5/100</f>
        <v>40550</v>
      </c>
      <c r="H5" s="947">
        <v>1</v>
      </c>
    </row>
    <row r="6" spans="1:8">
      <c r="A6" s="947" t="s">
        <v>5</v>
      </c>
      <c r="B6" s="947" t="s">
        <v>599</v>
      </c>
      <c r="C6" s="947" t="s">
        <v>55</v>
      </c>
      <c r="D6" s="947" t="s">
        <v>597</v>
      </c>
      <c r="E6" s="948">
        <v>2</v>
      </c>
      <c r="F6" s="948">
        <f>TTBMVN_GIA_HLNS_8ED0DD58638907</f>
        <v>2500</v>
      </c>
      <c r="G6" s="948">
        <f>E6*F6</f>
        <v>5000</v>
      </c>
      <c r="H6" s="947">
        <v>0</v>
      </c>
    </row>
    <row r="7" spans="1:8">
      <c r="A7" s="947" t="s">
        <v>5</v>
      </c>
      <c r="B7" s="947" t="s">
        <v>601</v>
      </c>
      <c r="C7" s="947" t="s">
        <v>54</v>
      </c>
      <c r="D7" s="947" t="s">
        <v>4</v>
      </c>
      <c r="E7" s="948">
        <v>67</v>
      </c>
      <c r="F7" s="948">
        <f>TTBMVN_GIA_HLNS_2FC357D2F9360A</f>
        <v>2000</v>
      </c>
      <c r="G7" s="948">
        <f>E7*F7</f>
        <v>134000</v>
      </c>
      <c r="H7" s="947">
        <v>0</v>
      </c>
    </row>
    <row r="8" spans="1:8">
      <c r="A8" s="947" t="s">
        <v>5</v>
      </c>
      <c r="B8" s="947" t="s">
        <v>603</v>
      </c>
      <c r="C8" s="947" t="s">
        <v>56</v>
      </c>
      <c r="D8" s="947" t="s">
        <v>597</v>
      </c>
      <c r="E8" s="948">
        <v>34</v>
      </c>
      <c r="F8" s="948">
        <f>TTBMVN_GIA_HLNS_BDE2F3090195E0</f>
        <v>8000</v>
      </c>
      <c r="G8" s="948">
        <f>E8*F8</f>
        <v>272000</v>
      </c>
      <c r="H8" s="947">
        <v>0</v>
      </c>
    </row>
    <row r="9" spans="1:8">
      <c r="A9" s="947" t="s">
        <v>6</v>
      </c>
      <c r="B9" s="947" t="s">
        <v>588</v>
      </c>
      <c r="C9" s="947" t="s">
        <v>60</v>
      </c>
      <c r="D9" s="947" t="s">
        <v>589</v>
      </c>
      <c r="E9" s="948">
        <v>17.36</v>
      </c>
      <c r="F9" s="948">
        <f>TTBMVN_GIA_HLNS_D578BFDA1CFAFE</f>
        <v>495000</v>
      </c>
      <c r="G9" s="948">
        <f>E9*F9</f>
        <v>8593200</v>
      </c>
      <c r="H9" s="947">
        <v>0</v>
      </c>
    </row>
    <row r="10" spans="1:8">
      <c r="A10" s="947" t="s">
        <v>7</v>
      </c>
      <c r="B10" s="947" t="s">
        <v>626</v>
      </c>
      <c r="C10" s="947" t="s">
        <v>593</v>
      </c>
      <c r="D10" s="947" t="s">
        <v>594</v>
      </c>
      <c r="E10" s="948">
        <v>11.57</v>
      </c>
      <c r="F10" s="948">
        <f>TTBMVN_GIA_HLNS_A5B20047CC0024</f>
        <v>762996</v>
      </c>
      <c r="G10" s="948">
        <f>E10*F10</f>
        <v>8827863.7200000007</v>
      </c>
      <c r="H10" s="947">
        <v>0</v>
      </c>
    </row>
    <row r="11" spans="1:8">
      <c r="A11" s="947"/>
      <c r="B11" s="947"/>
      <c r="C11" s="947"/>
      <c r="D11" s="947"/>
      <c r="E11" s="948"/>
      <c r="F11" s="948"/>
      <c r="G11" s="948"/>
      <c r="H11" s="947"/>
    </row>
    <row r="12" spans="1:8">
      <c r="A12" s="947"/>
      <c r="B12" s="947"/>
      <c r="C12" s="947"/>
      <c r="D12" s="947"/>
      <c r="E12" s="948"/>
      <c r="F12" s="948" t="s">
        <v>59</v>
      </c>
      <c r="G12" s="948">
        <f>SUMIF($A$4:$A$10,"VL",$G$4:$G$10)</f>
        <v>851550</v>
      </c>
      <c r="H12" s="947"/>
    </row>
    <row r="13" spans="1:8">
      <c r="A13" s="947"/>
      <c r="B13" s="947"/>
      <c r="C13" s="947"/>
      <c r="D13" s="947"/>
      <c r="E13" s="948"/>
      <c r="F13" s="948" t="s">
        <v>25</v>
      </c>
      <c r="G13" s="948">
        <f>SUMIF($A$4:$A$10,"NC",$G$4:$G$10)</f>
        <v>8593200</v>
      </c>
      <c r="H13" s="947"/>
    </row>
    <row r="14" spans="1:8">
      <c r="A14" s="947"/>
      <c r="B14" s="947"/>
      <c r="C14" s="947"/>
      <c r="D14" s="947"/>
      <c r="E14" s="948"/>
      <c r="F14" s="948" t="s">
        <v>81</v>
      </c>
      <c r="G14" s="948">
        <f>SUMIF($A$4:$A$10,"M",$G$4:$G$10)</f>
        <v>8827863.7200000007</v>
      </c>
      <c r="H14" s="947"/>
    </row>
    <row r="15" spans="1:8">
      <c r="A15" s="947"/>
      <c r="B15" s="947"/>
      <c r="C15" s="947"/>
      <c r="D15" s="947"/>
      <c r="E15" s="948"/>
      <c r="F15" s="948" t="s">
        <v>237</v>
      </c>
      <c r="G15" s="948">
        <f>SUM(G12:G14)</f>
        <v>18272613.719999999</v>
      </c>
      <c r="H15" s="947"/>
    </row>
    <row r="16" spans="1:8">
      <c r="A16" s="947"/>
      <c r="B16" s="947"/>
      <c r="C16" s="947"/>
      <c r="D16" s="947"/>
      <c r="E16" s="948"/>
      <c r="F16" s="948"/>
      <c r="G16" s="948"/>
      <c r="H16" s="947"/>
    </row>
  </sheetData>
  <pageMargins left="0.7" right="0.7" top="0.75" bottom="0.75" header="0.3" footer="0.3"/>
  <customProperties>
    <customPr name="TTBMVN.GeneratedEstimateRole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40C1-FBFB-4FB0-AC27-A2D7B09A01C7}">
  <dimension ref="A1:H31"/>
  <sheetViews>
    <sheetView workbookViewId="0"/>
  </sheetViews>
  <sheetFormatPr defaultRowHeight="15"/>
  <cols>
    <col min="1" max="1" width="29.59765625" bestFit="1" customWidth="1"/>
    <col min="2" max="2" width="33" bestFit="1" customWidth="1"/>
    <col min="3" max="3" width="42.69921875" customWidth="1"/>
    <col min="4" max="4" width="10.19921875" bestFit="1" customWidth="1"/>
    <col min="5" max="5" width="7.69921875" bestFit="1" customWidth="1"/>
    <col min="6" max="6" width="9.8984375" bestFit="1" customWidth="1"/>
    <col min="7" max="7" width="16.5" bestFit="1" customWidth="1"/>
    <col min="8" max="8" width="2.59765625" hidden="1" customWidth="1"/>
  </cols>
  <sheetData>
    <row r="1" spans="1:8" ht="18">
      <c r="A1" s="945" t="s">
        <v>613</v>
      </c>
      <c r="B1" s="945" t="s">
        <v>605</v>
      </c>
      <c r="C1" s="945"/>
      <c r="D1" s="945"/>
      <c r="E1" s="946"/>
      <c r="F1" s="946"/>
      <c r="G1" s="946"/>
      <c r="H1" s="945"/>
    </row>
    <row r="2" spans="1:8">
      <c r="A2" s="947" t="s">
        <v>627</v>
      </c>
      <c r="B2" s="947" t="s">
        <v>615</v>
      </c>
      <c r="C2" s="947" t="s">
        <v>616</v>
      </c>
      <c r="D2" s="947"/>
      <c r="E2" s="948"/>
      <c r="F2" s="948"/>
      <c r="G2" s="948" t="s">
        <v>628</v>
      </c>
      <c r="H2" s="947"/>
    </row>
    <row r="3" spans="1:8">
      <c r="A3" s="947" t="s">
        <v>582</v>
      </c>
      <c r="B3" s="947" t="s">
        <v>618</v>
      </c>
      <c r="C3" s="947" t="s">
        <v>619</v>
      </c>
      <c r="D3" s="947" t="s">
        <v>23</v>
      </c>
      <c r="E3" s="948" t="s">
        <v>620</v>
      </c>
      <c r="F3" s="948" t="s">
        <v>621</v>
      </c>
      <c r="G3" s="948" t="s">
        <v>17</v>
      </c>
      <c r="H3" s="947" t="s">
        <v>622</v>
      </c>
    </row>
    <row r="4" spans="1:8">
      <c r="A4" s="947" t="s">
        <v>5</v>
      </c>
      <c r="B4" s="947" t="s">
        <v>596</v>
      </c>
      <c r="C4" s="947" t="s">
        <v>62</v>
      </c>
      <c r="D4" s="947" t="s">
        <v>597</v>
      </c>
      <c r="E4" s="948">
        <v>4</v>
      </c>
      <c r="F4" s="948">
        <f>TTBMVN_GIA_KHLNS_B8C2DB20D4C7A4</f>
        <v>100000</v>
      </c>
      <c r="G4" s="948">
        <f>E4*F4</f>
        <v>400000</v>
      </c>
      <c r="H4" s="947">
        <v>0</v>
      </c>
    </row>
    <row r="5" spans="1:8">
      <c r="A5" s="947" t="s">
        <v>5</v>
      </c>
      <c r="B5" s="947" t="s">
        <v>623</v>
      </c>
      <c r="C5" s="947" t="s">
        <v>624</v>
      </c>
      <c r="D5" s="947" t="s">
        <v>625</v>
      </c>
      <c r="E5" s="948">
        <v>5</v>
      </c>
      <c r="F5" s="948">
        <v>0</v>
      </c>
      <c r="G5" s="948">
        <f>SUMIFS($G$4:$G$10,$A$4:$A$10,"VL",$H$4:$H$10,0)*E5/100</f>
        <v>40550</v>
      </c>
      <c r="H5" s="947">
        <v>1</v>
      </c>
    </row>
    <row r="6" spans="1:8">
      <c r="A6" s="947" t="s">
        <v>5</v>
      </c>
      <c r="B6" s="947" t="s">
        <v>599</v>
      </c>
      <c r="C6" s="947" t="s">
        <v>55</v>
      </c>
      <c r="D6" s="947" t="s">
        <v>597</v>
      </c>
      <c r="E6" s="948">
        <v>2</v>
      </c>
      <c r="F6" s="948">
        <f>TTBMVN_GIA_KHLNS_8ED0DD58638907</f>
        <v>2500</v>
      </c>
      <c r="G6" s="948">
        <f>E6*F6</f>
        <v>5000</v>
      </c>
      <c r="H6" s="947">
        <v>0</v>
      </c>
    </row>
    <row r="7" spans="1:8">
      <c r="A7" s="947" t="s">
        <v>5</v>
      </c>
      <c r="B7" s="947" t="s">
        <v>601</v>
      </c>
      <c r="C7" s="947" t="s">
        <v>54</v>
      </c>
      <c r="D7" s="947" t="s">
        <v>4</v>
      </c>
      <c r="E7" s="948">
        <v>67</v>
      </c>
      <c r="F7" s="948">
        <f>TTBMVN_GIA_KHLNS_2FC357D2F9360A</f>
        <v>2000</v>
      </c>
      <c r="G7" s="948">
        <f>E7*F7</f>
        <v>134000</v>
      </c>
      <c r="H7" s="947">
        <v>0</v>
      </c>
    </row>
    <row r="8" spans="1:8">
      <c r="A8" s="947" t="s">
        <v>5</v>
      </c>
      <c r="B8" s="947" t="s">
        <v>603</v>
      </c>
      <c r="C8" s="947" t="s">
        <v>56</v>
      </c>
      <c r="D8" s="947" t="s">
        <v>597</v>
      </c>
      <c r="E8" s="948">
        <v>34</v>
      </c>
      <c r="F8" s="948">
        <f>TTBMVN_GIA_KHLNS_BDE2F3090195E0</f>
        <v>8000</v>
      </c>
      <c r="G8" s="948">
        <f>E8*F8</f>
        <v>272000</v>
      </c>
      <c r="H8" s="947">
        <v>0</v>
      </c>
    </row>
    <row r="9" spans="1:8">
      <c r="A9" s="947" t="s">
        <v>6</v>
      </c>
      <c r="B9" s="947" t="s">
        <v>588</v>
      </c>
      <c r="C9" s="947" t="s">
        <v>60</v>
      </c>
      <c r="D9" s="947" t="s">
        <v>589</v>
      </c>
      <c r="E9" s="948">
        <v>17.36</v>
      </c>
      <c r="F9" s="948">
        <f>TTBMVN_GIA_KHLNS_D578BFDA1CFAFE</f>
        <v>495000</v>
      </c>
      <c r="G9" s="948">
        <f>E9*F9</f>
        <v>8593200</v>
      </c>
      <c r="H9" s="947">
        <v>0</v>
      </c>
    </row>
    <row r="10" spans="1:8">
      <c r="A10" s="947" t="s">
        <v>7</v>
      </c>
      <c r="B10" s="947" t="s">
        <v>626</v>
      </c>
      <c r="C10" s="947" t="s">
        <v>593</v>
      </c>
      <c r="D10" s="947" t="s">
        <v>594</v>
      </c>
      <c r="E10" s="948">
        <v>11.57</v>
      </c>
      <c r="F10" s="948">
        <f>TTBMVN_GIA_KHLNS_A5B20047CC0024</f>
        <v>762996</v>
      </c>
      <c r="G10" s="948">
        <f>E10*F10</f>
        <v>8827863.7200000007</v>
      </c>
      <c r="H10" s="947">
        <v>0</v>
      </c>
    </row>
    <row r="11" spans="1:8">
      <c r="A11" s="947"/>
      <c r="B11" s="947"/>
      <c r="C11" s="947"/>
      <c r="D11" s="947"/>
      <c r="E11" s="948"/>
      <c r="F11" s="948"/>
      <c r="G11" s="948"/>
      <c r="H11" s="947"/>
    </row>
    <row r="12" spans="1:8">
      <c r="A12" s="947"/>
      <c r="B12" s="947"/>
      <c r="C12" s="947"/>
      <c r="D12" s="947"/>
      <c r="E12" s="948"/>
      <c r="F12" s="948" t="s">
        <v>59</v>
      </c>
      <c r="G12" s="948">
        <f>SUMIF($A$4:$A$10,"VL",$G$4:$G$10)</f>
        <v>851550</v>
      </c>
      <c r="H12" s="947"/>
    </row>
    <row r="13" spans="1:8">
      <c r="A13" s="947"/>
      <c r="B13" s="947"/>
      <c r="C13" s="947"/>
      <c r="D13" s="947"/>
      <c r="E13" s="948"/>
      <c r="F13" s="948" t="s">
        <v>25</v>
      </c>
      <c r="G13" s="948">
        <f>SUMIF($A$4:$A$10,"NC",$G$4:$G$10)</f>
        <v>8593200</v>
      </c>
      <c r="H13" s="947"/>
    </row>
    <row r="14" spans="1:8">
      <c r="A14" s="947"/>
      <c r="B14" s="947"/>
      <c r="C14" s="947"/>
      <c r="D14" s="947"/>
      <c r="E14" s="948"/>
      <c r="F14" s="948" t="s">
        <v>81</v>
      </c>
      <c r="G14" s="948">
        <f>SUMIF($A$4:$A$10,"M",$G$4:$G$10)</f>
        <v>8827863.7200000007</v>
      </c>
      <c r="H14" s="947"/>
    </row>
    <row r="15" spans="1:8">
      <c r="A15" s="947"/>
      <c r="B15" s="947"/>
      <c r="C15" s="947"/>
      <c r="D15" s="947"/>
      <c r="E15" s="948"/>
      <c r="F15" s="948" t="s">
        <v>237</v>
      </c>
      <c r="G15" s="948">
        <f>SUM(G12:G14)</f>
        <v>18272613.719999999</v>
      </c>
      <c r="H15" s="947"/>
    </row>
    <row r="16" spans="1:8">
      <c r="A16" s="947"/>
      <c r="B16" s="947"/>
      <c r="C16" s="947"/>
      <c r="D16" s="947"/>
      <c r="E16" s="948"/>
      <c r="F16" s="948"/>
      <c r="G16" s="948"/>
      <c r="H16" s="947"/>
    </row>
    <row r="17" spans="1:8">
      <c r="A17" s="947" t="s">
        <v>629</v>
      </c>
      <c r="B17" s="947" t="s">
        <v>630</v>
      </c>
      <c r="C17" s="947" t="s">
        <v>616</v>
      </c>
      <c r="D17" s="947"/>
      <c r="E17" s="948"/>
      <c r="F17" s="948"/>
      <c r="G17" s="948" t="s">
        <v>617</v>
      </c>
      <c r="H17" s="947"/>
    </row>
    <row r="18" spans="1:8">
      <c r="A18" s="947" t="s">
        <v>582</v>
      </c>
      <c r="B18" s="947" t="s">
        <v>618</v>
      </c>
      <c r="C18" s="947" t="s">
        <v>619</v>
      </c>
      <c r="D18" s="947" t="s">
        <v>23</v>
      </c>
      <c r="E18" s="948" t="s">
        <v>620</v>
      </c>
      <c r="F18" s="948" t="s">
        <v>621</v>
      </c>
      <c r="G18" s="948" t="s">
        <v>17</v>
      </c>
      <c r="H18" s="947" t="s">
        <v>622</v>
      </c>
    </row>
    <row r="19" spans="1:8">
      <c r="A19" s="947" t="s">
        <v>5</v>
      </c>
      <c r="B19" s="947" t="s">
        <v>596</v>
      </c>
      <c r="C19" s="947" t="s">
        <v>62</v>
      </c>
      <c r="D19" s="947" t="s">
        <v>597</v>
      </c>
      <c r="E19" s="948">
        <v>4</v>
      </c>
      <c r="F19" s="948">
        <f>TTBMVN_GIA_KHLNS_B8C2DB20D4C7A4</f>
        <v>100000</v>
      </c>
      <c r="G19" s="948">
        <f>E19*F19</f>
        <v>400000</v>
      </c>
      <c r="H19" s="947">
        <v>0</v>
      </c>
    </row>
    <row r="20" spans="1:8">
      <c r="A20" s="947" t="s">
        <v>5</v>
      </c>
      <c r="B20" s="947" t="s">
        <v>623</v>
      </c>
      <c r="C20" s="947" t="s">
        <v>624</v>
      </c>
      <c r="D20" s="947" t="s">
        <v>625</v>
      </c>
      <c r="E20" s="948">
        <v>5</v>
      </c>
      <c r="F20" s="948">
        <v>0</v>
      </c>
      <c r="G20" s="948">
        <f>SUMIFS($G$19:$G$25,$A$19:$A$25,"VL",$H$19:$H$25,0)*E20/100</f>
        <v>40800</v>
      </c>
      <c r="H20" s="947">
        <v>1</v>
      </c>
    </row>
    <row r="21" spans="1:8">
      <c r="A21" s="947" t="s">
        <v>5</v>
      </c>
      <c r="B21" s="947" t="s">
        <v>599</v>
      </c>
      <c r="C21" s="947" t="s">
        <v>55</v>
      </c>
      <c r="D21" s="947" t="s">
        <v>597</v>
      </c>
      <c r="E21" s="948">
        <v>4</v>
      </c>
      <c r="F21" s="948">
        <f>TTBMVN_GIA_KHLNS_8ED0DD58638907</f>
        <v>2500</v>
      </c>
      <c r="G21" s="948">
        <f>E21*F21</f>
        <v>10000</v>
      </c>
      <c r="H21" s="947">
        <v>0</v>
      </c>
    </row>
    <row r="22" spans="1:8">
      <c r="A22" s="947" t="s">
        <v>5</v>
      </c>
      <c r="B22" s="947" t="s">
        <v>601</v>
      </c>
      <c r="C22" s="947" t="s">
        <v>54</v>
      </c>
      <c r="D22" s="947" t="s">
        <v>4</v>
      </c>
      <c r="E22" s="948">
        <v>67</v>
      </c>
      <c r="F22" s="948">
        <f>TTBMVN_GIA_KHLNS_2FC357D2F9360A</f>
        <v>2000</v>
      </c>
      <c r="G22" s="948">
        <f>E22*F22</f>
        <v>134000</v>
      </c>
      <c r="H22" s="947">
        <v>0</v>
      </c>
    </row>
    <row r="23" spans="1:8">
      <c r="A23" s="947" t="s">
        <v>5</v>
      </c>
      <c r="B23" s="947" t="s">
        <v>603</v>
      </c>
      <c r="C23" s="947" t="s">
        <v>56</v>
      </c>
      <c r="D23" s="947" t="s">
        <v>597</v>
      </c>
      <c r="E23" s="948">
        <v>34</v>
      </c>
      <c r="F23" s="948">
        <f>TTBMVN_GIA_KHLNS_BDE2F3090195E0</f>
        <v>8000</v>
      </c>
      <c r="G23" s="948">
        <f>E23*F23</f>
        <v>272000</v>
      </c>
      <c r="H23" s="947">
        <v>0</v>
      </c>
    </row>
    <row r="24" spans="1:8">
      <c r="A24" s="947" t="s">
        <v>6</v>
      </c>
      <c r="B24" s="947" t="s">
        <v>588</v>
      </c>
      <c r="C24" s="947" t="s">
        <v>60</v>
      </c>
      <c r="D24" s="947" t="s">
        <v>589</v>
      </c>
      <c r="E24" s="948">
        <v>19.100000000000001</v>
      </c>
      <c r="F24" s="948">
        <f>TTBMVN_GIA_KHLNS_D578BFDA1CFAFE</f>
        <v>495000</v>
      </c>
      <c r="G24" s="948">
        <f>E24*F24</f>
        <v>9454500</v>
      </c>
      <c r="H24" s="947">
        <v>0</v>
      </c>
    </row>
    <row r="25" spans="1:8">
      <c r="A25" s="947" t="s">
        <v>7</v>
      </c>
      <c r="B25" s="947" t="s">
        <v>626</v>
      </c>
      <c r="C25" s="947" t="s">
        <v>593</v>
      </c>
      <c r="D25" s="947" t="s">
        <v>594</v>
      </c>
      <c r="E25" s="948">
        <v>12.73</v>
      </c>
      <c r="F25" s="948">
        <f>TTBMVN_GIA_KHLNS_A5B20047CC0024</f>
        <v>762996</v>
      </c>
      <c r="G25" s="948">
        <f>E25*F25</f>
        <v>9712939.0800000001</v>
      </c>
      <c r="H25" s="947">
        <v>0</v>
      </c>
    </row>
    <row r="26" spans="1:8">
      <c r="A26" s="947"/>
      <c r="B26" s="947"/>
      <c r="C26" s="947"/>
      <c r="D26" s="947"/>
      <c r="E26" s="948"/>
      <c r="F26" s="948"/>
      <c r="G26" s="948"/>
      <c r="H26" s="947"/>
    </row>
    <row r="27" spans="1:8">
      <c r="A27" s="947"/>
      <c r="B27" s="947"/>
      <c r="C27" s="947"/>
      <c r="D27" s="947"/>
      <c r="E27" s="948"/>
      <c r="F27" s="948" t="s">
        <v>59</v>
      </c>
      <c r="G27" s="948">
        <f>SUMIF($A$19:$A$25,"VL",$G$19:$G$25)</f>
        <v>856800</v>
      </c>
      <c r="H27" s="947"/>
    </row>
    <row r="28" spans="1:8">
      <c r="A28" s="947"/>
      <c r="B28" s="947"/>
      <c r="C28" s="947"/>
      <c r="D28" s="947"/>
      <c r="E28" s="948"/>
      <c r="F28" s="948" t="s">
        <v>25</v>
      </c>
      <c r="G28" s="948">
        <f>SUMIF($A$19:$A$25,"NC",$G$19:$G$25)</f>
        <v>9454500</v>
      </c>
      <c r="H28" s="947"/>
    </row>
    <row r="29" spans="1:8">
      <c r="A29" s="947"/>
      <c r="B29" s="947"/>
      <c r="C29" s="947"/>
      <c r="D29" s="947"/>
      <c r="E29" s="948"/>
      <c r="F29" s="948" t="s">
        <v>81</v>
      </c>
      <c r="G29" s="948">
        <f>SUMIF($A$19:$A$25,"M",$G$19:$G$25)</f>
        <v>9712939.0800000001</v>
      </c>
      <c r="H29" s="947"/>
    </row>
    <row r="30" spans="1:8">
      <c r="A30" s="947"/>
      <c r="B30" s="947"/>
      <c r="C30" s="947"/>
      <c r="D30" s="947"/>
      <c r="E30" s="948"/>
      <c r="F30" s="948" t="s">
        <v>237</v>
      </c>
      <c r="G30" s="948">
        <f>SUM(G27:G29)</f>
        <v>20024239.079999998</v>
      </c>
      <c r="H30" s="947"/>
    </row>
    <row r="31" spans="1:8">
      <c r="A31" s="947"/>
      <c r="B31" s="947"/>
      <c r="C31" s="947"/>
      <c r="D31" s="947"/>
      <c r="E31" s="948"/>
      <c r="F31" s="948"/>
      <c r="G31" s="948"/>
      <c r="H31" s="947"/>
    </row>
  </sheetData>
  <pageMargins left="0.7" right="0.7" top="0.75" bottom="0.75" header="0.3" footer="0.3"/>
  <customProperties>
    <customPr name="TTBMVN.GeneratedEstimateRole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2727-2AC3-4FAF-8EB9-A7935391793F}">
  <dimension ref="A1:H13"/>
  <sheetViews>
    <sheetView tabSelected="1" workbookViewId="0"/>
  </sheetViews>
  <sheetFormatPr defaultRowHeight="15"/>
  <cols>
    <col min="1" max="1" width="31.59765625" bestFit="1" customWidth="1"/>
    <col min="2" max="2" width="33" bestFit="1" customWidth="1"/>
    <col min="3" max="3" width="42.69921875" customWidth="1"/>
    <col min="4" max="4" width="10.19921875" bestFit="1" customWidth="1"/>
    <col min="5" max="5" width="7.69921875" bestFit="1" customWidth="1"/>
    <col min="6" max="6" width="11.3984375" bestFit="1" customWidth="1"/>
    <col min="7" max="7" width="16.5" bestFit="1" customWidth="1"/>
    <col min="8" max="8" width="2.59765625" hidden="1" customWidth="1"/>
  </cols>
  <sheetData>
    <row r="1" spans="1:8" ht="18">
      <c r="A1" s="945" t="s">
        <v>631</v>
      </c>
      <c r="B1" s="945" t="s">
        <v>605</v>
      </c>
      <c r="C1" s="945"/>
      <c r="D1" s="945"/>
      <c r="E1" s="946"/>
      <c r="F1" s="946"/>
      <c r="G1" s="946"/>
      <c r="H1" s="945"/>
    </row>
    <row r="2" spans="1:8">
      <c r="A2" s="947" t="s">
        <v>632</v>
      </c>
      <c r="B2" s="947" t="s">
        <v>633</v>
      </c>
      <c r="C2" s="947" t="s">
        <v>634</v>
      </c>
      <c r="D2" s="947"/>
      <c r="E2" s="948"/>
      <c r="F2" s="948"/>
      <c r="G2" s="948" t="s">
        <v>617</v>
      </c>
      <c r="H2" s="947"/>
    </row>
    <row r="3" spans="1:8">
      <c r="A3" s="947" t="s">
        <v>582</v>
      </c>
      <c r="B3" s="947" t="s">
        <v>618</v>
      </c>
      <c r="C3" s="947" t="s">
        <v>619</v>
      </c>
      <c r="D3" s="947" t="s">
        <v>23</v>
      </c>
      <c r="E3" s="948" t="s">
        <v>620</v>
      </c>
      <c r="F3" s="948" t="s">
        <v>621</v>
      </c>
      <c r="G3" s="948" t="s">
        <v>17</v>
      </c>
      <c r="H3" s="947" t="s">
        <v>622</v>
      </c>
    </row>
    <row r="4" spans="1:8">
      <c r="A4" s="947" t="s">
        <v>6</v>
      </c>
      <c r="B4" s="947" t="s">
        <v>588</v>
      </c>
      <c r="C4" s="947" t="s">
        <v>60</v>
      </c>
      <c r="D4" s="947" t="s">
        <v>589</v>
      </c>
      <c r="E4" s="948">
        <v>0.23</v>
      </c>
      <c r="F4" s="948">
        <f>TTBMVN_GIA_KHLNS_D578BFDA1CFAFE</f>
        <v>495000</v>
      </c>
      <c r="G4" s="948">
        <f>E4*F4</f>
        <v>113850</v>
      </c>
      <c r="H4" s="947">
        <v>0</v>
      </c>
    </row>
    <row r="5" spans="1:8">
      <c r="A5" s="947" t="s">
        <v>7</v>
      </c>
      <c r="B5" s="947" t="s">
        <v>635</v>
      </c>
      <c r="C5" s="947" t="s">
        <v>99</v>
      </c>
      <c r="D5" s="947" t="s">
        <v>594</v>
      </c>
      <c r="E5" s="948">
        <v>1.4E-2</v>
      </c>
      <c r="F5" s="948">
        <f>TTBMVN_GIA_KHLNS_14A9776B772E24</f>
        <v>1587824</v>
      </c>
      <c r="G5" s="948">
        <f>E5*F5</f>
        <v>22229.536</v>
      </c>
      <c r="H5" s="947">
        <v>0</v>
      </c>
    </row>
    <row r="6" spans="1:8">
      <c r="A6" s="947" t="s">
        <v>7</v>
      </c>
      <c r="B6" s="947" t="s">
        <v>636</v>
      </c>
      <c r="C6" s="947" t="s">
        <v>104</v>
      </c>
      <c r="D6" s="947" t="s">
        <v>594</v>
      </c>
      <c r="E6" s="948">
        <v>0.20699999999999999</v>
      </c>
      <c r="F6" s="948">
        <f>TTBMVN_GIA_KHLNS_068B296D9623FD</f>
        <v>995354</v>
      </c>
      <c r="G6" s="948">
        <f>E6*F6</f>
        <v>206038.27799999999</v>
      </c>
      <c r="H6" s="947">
        <v>0</v>
      </c>
    </row>
    <row r="7" spans="1:8">
      <c r="A7" s="947" t="s">
        <v>7</v>
      </c>
      <c r="B7" s="947" t="s">
        <v>637</v>
      </c>
      <c r="C7" s="947" t="s">
        <v>110</v>
      </c>
      <c r="D7" s="947" t="s">
        <v>594</v>
      </c>
      <c r="E7" s="948">
        <v>0.193</v>
      </c>
      <c r="F7" s="948">
        <f>TTBMVN_GIA_KHLNS_EA236DC83B7333</f>
        <v>1105582</v>
      </c>
      <c r="G7" s="948">
        <f>E7*F7</f>
        <v>213377.326</v>
      </c>
      <c r="H7" s="947">
        <v>0</v>
      </c>
    </row>
    <row r="8" spans="1:8">
      <c r="A8" s="947"/>
      <c r="B8" s="947"/>
      <c r="C8" s="947"/>
      <c r="D8" s="947"/>
      <c r="E8" s="948"/>
      <c r="F8" s="948"/>
      <c r="G8" s="948"/>
      <c r="H8" s="947"/>
    </row>
    <row r="9" spans="1:8">
      <c r="A9" s="947"/>
      <c r="B9" s="947"/>
      <c r="C9" s="947"/>
      <c r="D9" s="947"/>
      <c r="E9" s="948"/>
      <c r="F9" s="948" t="s">
        <v>59</v>
      </c>
      <c r="G9" s="948">
        <f>SUMIF($A$4:$A$7,"VL",$G$4:$G$7)</f>
        <v>0</v>
      </c>
      <c r="H9" s="947"/>
    </row>
    <row r="10" spans="1:8">
      <c r="A10" s="947"/>
      <c r="B10" s="947"/>
      <c r="C10" s="947"/>
      <c r="D10" s="947"/>
      <c r="E10" s="948"/>
      <c r="F10" s="948" t="s">
        <v>25</v>
      </c>
      <c r="G10" s="948">
        <f>SUMIF($A$4:$A$7,"NC",$G$4:$G$7)</f>
        <v>113850</v>
      </c>
      <c r="H10" s="947"/>
    </row>
    <row r="11" spans="1:8">
      <c r="A11" s="947"/>
      <c r="B11" s="947"/>
      <c r="C11" s="947"/>
      <c r="D11" s="947"/>
      <c r="E11" s="948"/>
      <c r="F11" s="948" t="s">
        <v>81</v>
      </c>
      <c r="G11" s="948">
        <f>SUMIF($A$4:$A$7,"M",$G$4:$G$7)</f>
        <v>441645.14</v>
      </c>
      <c r="H11" s="947"/>
    </row>
    <row r="12" spans="1:8">
      <c r="A12" s="947"/>
      <c r="B12" s="947"/>
      <c r="C12" s="947"/>
      <c r="D12" s="947"/>
      <c r="E12" s="948"/>
      <c r="F12" s="948" t="s">
        <v>237</v>
      </c>
      <c r="G12" s="948">
        <f>SUM(G9:G11)</f>
        <v>555495.14</v>
      </c>
      <c r="H12" s="947"/>
    </row>
    <row r="13" spans="1:8">
      <c r="A13" s="947"/>
      <c r="B13" s="947"/>
      <c r="C13" s="947"/>
      <c r="D13" s="947"/>
      <c r="E13" s="948"/>
      <c r="F13" s="948"/>
      <c r="G13" s="948"/>
      <c r="H13" s="947"/>
    </row>
  </sheetData>
  <pageMargins left="0.7" right="0.7" top="0.75" bottom="0.75" header="0.3" footer="0.3"/>
  <customProperties>
    <customPr name="TTBMVN.GeneratedEstimateRol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13</vt:i4>
      </vt:variant>
    </vt:vector>
  </HeadingPairs>
  <TitlesOfParts>
    <vt:vector size="35" baseType="lpstr">
      <vt:lpstr>PL01</vt:lpstr>
      <vt:lpstr>THKL</vt:lpstr>
      <vt:lpstr>DosauHLAT</vt:lpstr>
      <vt:lpstr>KLCT1</vt:lpstr>
      <vt:lpstr>Tracuu</vt:lpstr>
      <vt:lpstr>THKP-TC</vt:lpstr>
      <vt:lpstr>Sheet2</vt:lpstr>
      <vt:lpstr>PLDT Test 701 Renamed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VL-NC-M - HLNS</vt:lpstr>
      <vt:lpstr>VL-NC-M - KHLNS</vt:lpstr>
      <vt:lpstr>ĐG Cạn - HLNS</vt:lpstr>
      <vt:lpstr>ĐG Cạn - KHLNS</vt:lpstr>
      <vt:lpstr>ĐG Nước - KHLNS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2026-08-04T03:24:57Z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1|c1d4843dc50a4d09938b2e87e82be119|8|487EA0D9CAFC9106FB52DFAE8CA0E9E2E82CA2638101F85B7DE6EBD4E7024A50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c1d4843dc50a4d09938b2e87e82be119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80" name="TTBMVN.ProjectProfile.Part.c1d4843dc50a4d09938b2e87e82be119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c1d4843dc50a4d09938b2e87e82be11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c1d4843dc50a4d09938b2e87e82be11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c1d4843dc50a4d09938b2e87e82be11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c1d4843dc50a4d09938b2e87e82be11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c1d4843dc50a4d09938b2e87e82be11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c1d4843dc50a4d09938b2e87e82be119.0007">
    <vt:lpwstr>dmVycmlkZS4gRFQtMTAzIHBlcnNpc3RlbmNlIHByb2ZpbGUgb25seTsgbm8gYnVzaW5lc3Mgb3ZlcnJpZGUuIERULTEwMyBwZXJzaXN0ZW5jZSBwcm9maWxlIG9ubHk7IG5vIGJ1c2luZXNzIG92ZXJyaWRlLg==</vt:lpwstr>
  </property>
  <property fmtid="{D5CDD505-2E9C-101B-9397-08002B2CF9AE}" pid="187" name="TTBMVN.PricePortfolio.Part.2085eafdf4d44f8ca032fb82bdb7f20c.0000">
    <vt:lpwstr>TTBMVN_PRICE_PROFILE_PORTFOLIO
schema=1
profileCount=2
profile.0.audience=1
profile.0.payload=VFRCTVZOX1BSSUNFX1BST0ZJTEUKc2NoZW1hPTEKcHJvZmlsZUlkPVZFVlRWQzFFVkRFd015MVFVa2xEUlMxQ1FWTkZURWxPUlMxSVRFNVQKZGF0YVZlcnNpb249TVM0d0xqQT0KZGlzcGxheU</vt:lpwstr>
  </property>
  <property fmtid="{D5CDD505-2E9C-101B-9397-08002B2CF9AE}" pid="188" name="TTBMVN.PricePortfolio.Part.2085eafdf4d44f8ca032fb82bdb7f20c.0001">
    <vt:lpwstr>5hbWU9VG1oaGNDQjBkU0JFVkMwME1EWXRkMjl5YTJsdVp5MWpiM0I1TG5oc2MyMGdMU0JJVEU1VApsb2NhdGlvbj1TR0VnVG05cAp2YWx1YXRpb25EYXRlPTIwMjYtMDgtMDMKbGFib3JBdWRpZW5jZT0xCmNyZWF0ZWRBdFV0Yz0yMDI2LTA4LTA0VDAzOjI0OjQ1LjYyMTg0MTlaCmVudHJ5Q291bnQ9MzQKZW50cnkuMC</vt:lpwstr>
  </property>
  <property fmtid="{D5CDD505-2E9C-101B-9397-08002B2CF9AE}" pid="189" name="TTBMVN.PricePortfolio.Part.2085eafdf4d44f8ca032fb82bdb7f20c.0002">
    <vt:lpwstr>5jb2RlPVRFRkNMVkZPUTA0dE5RPT0KZW50cnkuMC5raW5kPTIKZW50cnkuMC5uYW1lPVRtakRvbTRnWThPMGJtY2dkR2podTZNZ1l1RzZyV01nTlM4eE1BPT0KZW50cnkuMC51bml0PWQyOXlhMlZ5TFdSaGVRPT0KZW50cnkuMC5iYXNlUHJpY2U9NDUwMDAwCmVudHJ5LjAuc291cmNlRGF0ZT0yMDI2LTA4LTAzCmVudH</vt:lpwstr>
  </property>
  <property fmtid="{D5CDD505-2E9C-101B-9397-08002B2CF9AE}" pid="190" name="TTBMVN.PricePortfolio.Part.2085eafdf4d44f8ca032fb82bdb7f20c.0003">
    <vt:lpwstr>J5LjAuc291cmNlS2luZD0yCmVudHJ5LjAuc291cmNlUmVmZXJlbmNlPVYyOXlhMkp2YjJzNlUyaGxaWFF5TUNGR053PT0KZW50cnkuMC5sZWdhY3lMb29rdXBOYW1lPVRtakRvbTRnWThPMGJtY2dkR2podTZNZ1l1RzZyV01nTlM4eE1BPT0KZW50cnkuMC5hbGlhc0NvdW50PTEKZW50cnkuMC5hbGlhcy4wPVltRmpMVF</vt:lpwstr>
  </property>
  <property fmtid="{D5CDD505-2E9C-101B-9397-08002B2CF9AE}" pid="191" name="TTBMVN.PricePortfolio.Part.2085eafdf4d44f8ca032fb82bdb7f20c.0004">
    <vt:lpwstr>V0TVRBPQplbnRyeS4xLmNvZGU9VEVGQ0xWRk9RMDR0Tnc9PQplbnRyeS4xLmtpbmQ9MgplbnRyeS4xLm5hbWU9VG1qRG9tNGdZOE8wYm1jZ2RHamh1Nk1nWXVHNnJXTWdOeTh4TUE9PQplbnRyeS4xLnVuaXQ9ZDI5eWEyVnlMV1JoZVE9PQplbnRyeS4xLmJhc2VQcmljZT00OTUwMDAKZW50cnkuMS5zb3VyY2VEYXRlPT</vt:lpwstr>
  </property>
  <property fmtid="{D5CDD505-2E9C-101B-9397-08002B2CF9AE}" pid="192" name="TTBMVN.PricePortfolio.Part.2085eafdf4d44f8ca032fb82bdb7f20c.0005">
    <vt:lpwstr>IwMjYtMDgtMDMKZW50cnkuMS5zb3VyY2VLaW5kPTIKZW50cnkuMS5zb3VyY2VSZWZlcmVuY2U9VjI5eWEySnZiMnM2VTJobFpYUXlNQ0ZHTVRFPQplbnRyeS4xLmxlZ2FjeUxvb2t1cE5hbWU9VG1qRG9tNGdZOE8wYm1jZ2RHamh1Nk1nWXVHNnJXTWdOeTh4TUE9PQplbnRyeS4xLmFsaWFzQ291bnQ9MQplbnRyeS4xLm</vt:lpwstr>
  </property>
  <property fmtid="{D5CDD505-2E9C-101B-9397-08002B2CF9AE}" pid="193" name="TTBMVN.PricePortfolio.Part.2085eafdf4d44f8ca032fb82bdb7f20c.0006">
    <vt:lpwstr>FsaWFzLjA9WW1GakxUY3RNVEE9CmVudHJ5LjIuY29kZT1URUZDTFZGT1EwNHRPQT09CmVudHJ5LjIua2luZD0yCmVudHJ5LjIubmFtZT1UbWpEb200Z1k4TzBibWNnZEdqaHU2TWdZdUc2cldNZ09DOHhNQT09CmVudHJ5LjIudW5pdD1kMjl5YTJWeUxXUmhlUT09CmVudHJ5LjIuYmFzZVByaWNlPTUxNzUwMAplbnRyeS</vt:lpwstr>
  </property>
  <property fmtid="{D5CDD505-2E9C-101B-9397-08002B2CF9AE}" pid="194" name="TTBMVN.PricePortfolio.Part.2085eafdf4d44f8ca032fb82bdb7f20c.0007">
    <vt:lpwstr>4yLnNvdXJjZURhdGU9MjAyNi0wOC0wMwplbnRyeS4yLnNvdXJjZUtpbmQ9MgplbnRyeS4yLnNvdXJjZVJlZmVyZW5jZT1WMjl5YTJKdmIyczZVMmhsWlhReU1DRkdNVFU9CmVudHJ5LjIubGVnYWN5TG9va3VwTmFtZT1UbWpEb200Z1k4TzBibWNnZEdqaHU2TWdZdUc2cldNZ09DOHhNQT09CmVudHJ5LjIuYWxpYXNDb3</vt:lpwstr>
  </property>
  <property fmtid="{D5CDD505-2E9C-101B-9397-08002B2CF9AE}" pid="195" name="TTBMVN.PricePortfolio.Part.2085eafdf4d44f8ca032fb82bdb7f20c.0008">
    <vt:lpwstr>VudD0xCmVudHJ5LjIuYWxpYXMuMD1ZbUZqTFRndE1UQT0KZW50cnkuMy5jb2RlPVRFVkhRVU5aTFUxQlZDMU9RVWxNTFZSWFR5MVFVazlPUnkxRlFVTkkKZW50cnkuMy5raW5kPTEKZW50cnkuMy5uYW1lPXhKQnBibWdnTWlCdDRidVAKZW50cnkuMy51bml0PVpXRmphQT09CmVudHJ5LjMuYmFzZVByaWNlPTYwMDAKZW</vt:lpwstr>
  </property>
  <property fmtid="{D5CDD505-2E9C-101B-9397-08002B2CF9AE}" pid="196" name="TTBMVN.PricePortfolio.Part.2085eafdf4d44f8ca032fb82bdb7f20c.0009">
    <vt:lpwstr>50cnkuMy5zb3VyY2VEYXRlPTIwMjYtMDgtMDMKZW50cnkuMy5zb3VyY2VLaW5kPTIKZW50cnkuMy5zb3VyY2VSZWZlcmVuY2U9VjI5eWEySnZiMnM2VTJobFpYUXlNQ0ZHT0RrPQplbnRyeS4zLmxlZ2FjeUxvb2t1cE5hbWU9eEpCcGJtZ2dNaUJ0NGJ1UAplbnRyeS4zLmFsaWFzQ291bnQ9MAplbnRyeS40LmNvZGU9VE</vt:lpwstr>
  </property>
  <property fmtid="{D5CDD505-2E9C-101B-9397-08002B2CF9AE}" pid="197" name="TTBMVN.PricePortfolio.Part.2085eafdf4d44f8ca032fb82bdb7f20c.0010">
    <vt:lpwstr>VWSFFVTlpMVTFCVkMxT1dVeFBUaTFTVDFCRkxURXdUVTA9CmVudHJ5LjQua2luZD0xCmVudHJ5LjQubmFtZT1STU9pZVNCT2FXeHZiaUJ3YUdrZ01UQnRiUT09CmVudHJ5LjQudW5pdD1iUT09CmVudHJ5LjQuYmFzZVByaWNlPTIwMDAKZW50cnkuNC5zb3VyY2VEYXRlPTIwMjYtMDgtMDMKZW50cnkuNC5zb3VyY2VLaW</vt:lpwstr>
  </property>
  <property fmtid="{D5CDD505-2E9C-101B-9397-08002B2CF9AE}" pid="198" name="TTBMVN.PricePortfolio.Part.2085eafdf4d44f8ca032fb82bdb7f20c.0011">
    <vt:lpwstr>5kPTIKZW50cnkuNC5zb3VyY2VSZWZlcmVuY2U9VjI5eWEySnZiMnM2VTJobFpYUXlNQ0ZHT1RnPQplbnRyeS40LmxlZ2FjeUxvb2t1cE5hbWU9Uk1PaWVTQk9hV3h2YmlCd2FHa2dNVEJ0YlE9PQplbnRyeS40LmFsaWFzQ291bnQ9MAplbnRyeS41LmNvZGU9VFVGRFNFbE9SUzFOTURFd0xqQXdNUT09CmVudHJ5LjUua2</vt:lpwstr>
  </property>
  <property fmtid="{D5CDD505-2E9C-101B-9397-08002B2CF9AE}" pid="199" name="TTBMVN.PricePortfolio.Part.2085eafdf4d44f8ca032fb82bdb7f20c.0012">
    <vt:lpwstr>luZD01CmVudHJ5LjUubmFtZT1UY09oZVNCa3c3SWdiY09zYmc9PQplbnRyeS41LnVuaXQ9YzJocFpuUT0KZW50cnkuNS5iYXNlUHJpY2U9NzYyOTk2CmVudHJ5LjUuc291cmNlRGF0ZT0yMDI2LTA4LTAzCmVudHJ5LjUuc291cmNlS2luZD0yCmVudHJ5LjUuc291cmNlUmVmZXJlbmNlPVYyOXlhMkp2YjJzNlUyaGxaWF</vt:lpwstr>
  </property>
  <property fmtid="{D5CDD505-2E9C-101B-9397-08002B2CF9AE}" pid="200" name="TTBMVN.PricePortfolio.Part.2085eafdf4d44f8ca032fb82bdb7f20c.0013">
    <vt:lpwstr>F5TUNGR01qTT0KZW50cnkuNS5sZWdhY3lMb29rdXBOYW1lPVRjT2hlU0JrdzdJZ2JjT3NiZz09CmVudHJ5LjUuYWxpYXNDb3VudD0yCmVudHJ5LjUuYWxpYXMuMD1UVEF4TUM0d01ERT0KZW50cnkuNS5hbGlhcy4xPVRUQXhNUzR3TURFPQplbnRyeS42LmNvZGU9VFVGRFNFbE9SUzFOTURFd0xqQXdNZz09CmVudHJ5Lj</vt:lpwstr>
  </property>
  <property fmtid="{D5CDD505-2E9C-101B-9397-08002B2CF9AE}" pid="201" name="TTBMVN.PricePortfolio.Part.2085eafdf4d44f8ca032fb82bdb7f20c.0014">
    <vt:lpwstr>Yua2luZD01CmVudHJ5LjYubmFtZT1UY09oZVNCa3c3SWdZbTl0SUhSeXc2cHVJR1BodXFGdQplbnRyeS42LnVuaXQ9YzJocFpuUT0KZW50cnkuNi5iYXNlUHJpY2U9MTA3MDMyNAplbnRyeS42LnNvdXJjZURhdGU9MjAyNi0wOC0wMwplbnRyeS42LnNvdXJjZUtpbmQ9MgplbnRyeS42LnNvdXJjZVJlZmVyZW5jZT1WMj</vt:lpwstr>
  </property>
  <property fmtid="{D5CDD505-2E9C-101B-9397-08002B2CF9AE}" pid="202" name="TTBMVN.PricePortfolio.Part.2085eafdf4d44f8ca032fb82bdb7f20c.0015">
    <vt:lpwstr>l5YTJKdmIyczZVMmhsWlhReU1DRkdNams9CmVudHJ5LjYubGVnYWN5TG9va3VwTmFtZT1UY09oZVNCa3c3SWdZbTl0SUhSeXc2cHVJR1BodXFGdQplbnRyeS42LmFsaWFzQ291bnQ9MgplbnRyeS42LmFsaWFzLjA9VFRBeE1DNHdNREk9CmVudHJ5LjYuYWxpYXMuMT1UVEF4TVM0d01EST0KZW50cnkuNy5jb2RlPVRVRk</vt:lpwstr>
  </property>
  <property fmtid="{D5CDD505-2E9C-101B-9397-08002B2CF9AE}" pid="203" name="TTBMVN.PricePortfolio.Part.2085eafdf4d44f8ca032fb82bdb7f20c.0016">
    <vt:lpwstr>RTRWxPUlMxTk1ERXdMakF3T0E9PQplbnRyeS43LmtpbmQ9NQplbnRyeS43Lm5hbWU9VGNPaGVTQmt3N0lnWW05dElHVEdzT0c3bTJrZ2JzYXc0YnViWXc9PQplbnRyeS43LnVuaXQ9YzJocFpuUT0KZW50cnkuNy5iYXNlUHJpY2U9MTU4NzgyNAplbnRyeS43LnNvdXJjZURhdGU9MjAyNi0wOC0wMwplbnRyeS43LnNvdX</vt:lpwstr>
  </property>
  <property fmtid="{D5CDD505-2E9C-101B-9397-08002B2CF9AE}" pid="204" name="TTBMVN.PricePortfolio.Part.2085eafdf4d44f8ca032fb82bdb7f20c.0017">
    <vt:lpwstr>JjZUtpbmQ9MgplbnRyeS43LnNvdXJjZVJlZmVyZW5jZT1WMjl5YTJKdmIyczZVMmhsWlhReU1DRkdNelU9CmVudHJ5LjcubGVnYWN5TG9va3VwTmFtZT1UY09oZVNCa3c3SWdZbTl0SUdUR3NPRzdtMmtnYnNhdzRidWJZdz09CmVudHJ5LjcuYWxpYXNDb3VudD0yCmVudHJ5LjcuYWxpYXMuMD1UVEF4TUM0d01EZz0KZW</vt:lpwstr>
  </property>
  <property fmtid="{D5CDD505-2E9C-101B-9397-08002B2CF9AE}" pid="205" name="TTBMVN.PricePortfolio.Part.2085eafdf4d44f8ca032fb82bdb7f20c.0018">
    <vt:lpwstr>50cnkuNy5hbGlhcy4xPVRUQXhNUzR3TURnPQplbnRyeS44LmNvZGU9VFVGRFNFbE9SUzFOTURFd0xqQXdPUT09CmVudHJ5Ljgua2luZD01CmVudHJ5LjgubmFtZT1WR2gxZWVHN2dXNGdZMkZ2SUhOMUlIUnA0YnVEZFE9PQplbnRyeS44LnVuaXQ9YzJocFpuUT0KZW50cnkuOC5iYXNlUHJpY2U9NTE4MjI2CmVudHJ5Lj</vt:lpwstr>
  </property>
  <property fmtid="{D5CDD505-2E9C-101B-9397-08002B2CF9AE}" pid="206" name="TTBMVN.PricePortfolio.Part.2085eafdf4d44f8ca032fb82bdb7f20c.0019">
    <vt:lpwstr>guc291cmNlRGF0ZT0yMDI2LTA4LTAzCmVudHJ5Ljguc291cmNlS2luZD0yCmVudHJ5Ljguc291cmNlUmVmZXJlbmNlPVYyOXlhMkp2YjJzNlUyaGxaWFF5TUNGR05ERT0KZW50cnkuOC5sZWdhY3lMb29rdXBOYW1lPVZHaDFlZUc3Z1c0Z1kyRnZJSE4xSUhScDRidURkUT09CmVudHJ5LjguYWxpYXNDb3VudD0yCmVudH</vt:lpwstr>
  </property>
  <property fmtid="{D5CDD505-2E9C-101B-9397-08002B2CF9AE}" pid="207" name="TTBMVN.PricePortfolio.Part.2085eafdf4d44f8ca032fb82bdb7f20c.0020">
    <vt:lpwstr>J5LjguYWxpYXMuMD1UVEF4TUM0d01Eaz0KZW50cnkuOC5hbGlhcy4xPVRUQXhNUzR3TURrPQplbnRyeS45LmNvZGU9VFVGRFNFbE9SUzFOTURFd0xqQXhNQT09CmVudHJ5Ljkua2luZD01CmVudHJ5LjkubmFtZT1WR2gxZWVHN2dXNGdZMkZ2SUhOMUlIUnlkVzVuCmVudHJ5LjkudW5pdD1jMmhwWm5RPQplbnRyeS45Lm</vt:lpwstr>
  </property>
  <property fmtid="{D5CDD505-2E9C-101B-9397-08002B2CF9AE}" pid="208" name="TTBMVN.PricePortfolio.Part.2085eafdf4d44f8ca032fb82bdb7f20c.0021">
    <vt:lpwstr>Jhc2VQcmljZT01NTQxMDEKZW50cnkuOS5zb3VyY2VEYXRlPTIwMjYtMDgtMDMKZW50cnkuOS5zb3VyY2VLaW5kPTIKZW50cnkuOS5zb3VyY2VSZWZlcmVuY2U9VjI5eWEySnZiMnM2VTJobFpYUXlNQ0ZHTkRZPQplbnRyeS45LmxlZ2FjeUxvb2t1cE5hbWU9VkdoMWVlRzdnVzRnWTJGdklITjFJSFJ5ZFc1bgplbnRyeS</vt:lpwstr>
  </property>
  <property fmtid="{D5CDD505-2E9C-101B-9397-08002B2CF9AE}" pid="209" name="TTBMVN.PricePortfolio.Part.2085eafdf4d44f8ca032fb82bdb7f20c.0022">
    <vt:lpwstr>45LmFsaWFzQ291bnQ9MgplbnRyeS45LmFsaWFzLjA9VFRBeE1DNHdNVEE9CmVudHJ5LjkuYWxpYXMuMT1UVEF4TVM0d01UQT0KZW50cnkuMTAuY29kZT1UVUZEU0VsT1JTMU5NREV3TGpBeU13PT0KZW50cnkuMTAua2luZD01CmVudHJ5LjEwLm5hbWU9VkdocDRicS9kQ0JpNGJ1TElIUERzMmtnZHNPZ0lHakR1blFnWX</vt:lpwstr>
  </property>
  <property fmtid="{D5CDD505-2E9C-101B-9397-08002B2CF9AE}" pid="210" name="TTBMVN.PricePortfolio.Part.2085eafdf4d44f8ca032fb82bdb7f20c.0023">
    <vt:lpwstr>NPNWJpQmp3NkYwCmVudHJ5LjEwLnVuaXQ9YzJocFpuUT0KZW50cnkuMTAuYmFzZVByaWNlPTI5NDY5MDkKZW50cnkuMTAuc291cmNlRGF0ZT0yMDI2LTA4LTAzCmVudHJ5LjEwLnNvdXJjZUtpbmQ9MgplbnRyeS4xMC5zb3VyY2VSZWZlcmVuY2U9VjI5eWEySnZiMnM2VTJobFpYUXlNQ0ZHTlRZPQplbnRyeS4xMC5sZW</vt:lpwstr>
  </property>
  <property fmtid="{D5CDD505-2E9C-101B-9397-08002B2CF9AE}" pid="211" name="TTBMVN.PricePortfolio.Part.2085eafdf4d44f8ca032fb82bdb7f20c.0024">
    <vt:lpwstr>dhY3lMb29rdXBOYW1lPVZHaHA0YnEvZENCaTRidUxJSFBEczJrZ2RzT2dJR2pEdW5RZ1lzTzViaUJqdzZGMAplbnRyeS4xMC5hbGlhc0NvdW50PTIKZW50cnkuMTAuYWxpYXMuMD1UVEF4TUM0d01qTT0KZW50cnkuMTAuYWxpYXMuMT1UVEF4TVM0d01qTT0KZW50cnkuMTEuY29kZT1UVUZEU0VsT1JTMU5NREV3TGpBeU</vt:lpwstr>
  </property>
  <property fmtid="{D5CDD505-2E9C-101B-9397-08002B2CF9AE}" pid="212" name="TTBMVN.PricePortfolio.Part.2085eafdf4d44f8ca032fb82bdb7f20c.0025">
    <vt:lpwstr>53PT0KZW50cnkuMTEua2luZD01CmVudHJ5LjExLm5hbWU9VkdoMWVlRzdnVzRnUTI5dGNHOXphWFE9CmVudHJ5LjExLnVuaXQ9YzJocFpuUT0KZW50cnkuMTEuYmFzZVByaWNlPTk5NTM1NAplbnRyeS4xMS5zb3VyY2VEYXRlPTIwMjYtMDgtMDMKZW50cnkuMTEuc291cmNlS2luZD0yCmVudHJ5LjExLnNvdXJjZVJlZm</vt:lpwstr>
  </property>
  <property fmtid="{D5CDD505-2E9C-101B-9397-08002B2CF9AE}" pid="213" name="TTBMVN.PricePortfolio.Part.2085eafdf4d44f8ca032fb82bdb7f20c.0026">
    <vt:lpwstr>VyZW5jZT1WMjl5YTJKdmIyczZVMmhsWlhReU1DRkdOVEU9CmVudHJ5LjExLmxlZ2FjeUxvb2t1cE5hbWU9VkdoMWVlRzdnVzRnUTI5dGNHOXphWFE9CmVudHJ5LjExLmFsaWFzQ291bnQ9MgplbnRyeS4xMS5hbGlhcy4wPVRUQXhNQzR3TWpjPQplbnRyeS4xMS5hbGlhcy4xPVRUQXhNUzR3TWpjPQplbnRyeS4xMi5jb2</vt:lpwstr>
  </property>
  <property fmtid="{D5CDD505-2E9C-101B-9397-08002B2CF9AE}" pid="214" name="TTBMVN.PricePortfolio.Part.2085eafdf4d44f8ca032fb82bdb7f20c.0027">
    <vt:lpwstr>RlPVRVRkRTRWxPUlMxTk1ERXdMakF5T1E9PQplbnRyeS4xMi5raW5kPTUKZW50cnkuMTIubmFtZT1WR2hwNGJxL2RDQmk0YnVMSUd6aHVyZHVJSFBEb25VZ01DdzFiU0F0SUROdAplbnRyeS4xMi51bml0PWMyaHBablE9CmVudHJ5LjEyLmJhc2VQcmljZT0xMTA1NTgyCmVudHJ5LjEyLnNvdXJjZURhdGU9MjAyNi0wOC</vt:lpwstr>
  </property>
  <property fmtid="{D5CDD505-2E9C-101B-9397-08002B2CF9AE}" pid="215" name="TTBMVN.PricePortfolio.Part.2085eafdf4d44f8ca032fb82bdb7f20c.0028">
    <vt:lpwstr>0wMwplbnRyeS4xMi5zb3VyY2VLaW5kPTIKZW50cnkuMTIuc291cmNlUmVmZXJlbmNlPVYyOXlhMkp2YjJzNlUyaGxaWFF5TUNGR05qST0KZW50cnkuMTIubGVnYWN5TG9va3VwTmFtZT1WR2hwNGJxL2RDQmk0YnVMSUd6aHVyZHVJSFBEb25VZ01DdzFiU0F0SUROdAplbnRyeS4xMi5hbGlhc0NvdW50PTIKZW50cnkuMT</vt:lpwstr>
  </property>
  <property fmtid="{D5CDD505-2E9C-101B-9397-08002B2CF9AE}" pid="216" name="TTBMVN.PricePortfolio.Part.2085eafdf4d44f8ca032fb82bdb7f20c.0029">
    <vt:lpwstr>IuYWxpYXMuMD1UVEF4TUM0d01qaz0KZW50cnkuMTIuYWxpYXMuMT1UVEF4TVM0d01qaz0KZW50cnkuMTMuY29kZT1UVUZEU0VsT1JTMU5NREV3TGpBek1BPT0KZW50cnkuMTMua2luZD01CmVudHJ5LjEzLm5hbWU9VkdocDRicS9kQ0JpNGJ1TElHemh1cmR1SUhQRG9uVWdNMjBnTFNBMmJRPT0KZW50cnkuMTMudW5pdD</vt:lpwstr>
  </property>
  <property fmtid="{D5CDD505-2E9C-101B-9397-08002B2CF9AE}" pid="217" name="TTBMVN.PricePortfolio.Part.2085eafdf4d44f8ca032fb82bdb7f20c.0030">
    <vt:lpwstr>1jMmhwWm5RPQplbnRyeS4xMy5iYXNlUHJpY2U9MTEwODI2MwplbnRyeS4xMy5zb3VyY2VEYXRlPTIwMjYtMDgtMDMKZW50cnkuMTMuc291cmNlS2luZD0yCmVudHJ5LjEzLnNvdXJjZVJlZmVyZW5jZT1WMjl5YTJKdmIyczZVMmhsWlhReU1DRkdOamM9CmVudHJ5LjEzLmxlZ2FjeUxvb2t1cE5hbWU9VkdocDRicS9kQ0</vt:lpwstr>
  </property>
  <property fmtid="{D5CDD505-2E9C-101B-9397-08002B2CF9AE}" pid="218" name="TTBMVN.PricePortfolio.Part.2085eafdf4d44f8ca032fb82bdb7f20c.0031">
    <vt:lpwstr>JpNGJ1TElHemh1cmR1SUhQRG9uVWdNMjBnTFNBMmJRPT0KZW50cnkuMTMuYWxpYXNDb3VudD0yCmVudHJ5LjEzLmFsaWFzLjA9VFRBeE1DNHdNekE9CmVudHJ5LjEzLmFsaWFzLjE9VFRBeE1TNHdNekE9CmVudHJ5LjE0LmNvZGU9VFVGRFNFbE9SUzFOTURFd0xqQXpNUT09CmVudHJ5LjE0LmtpbmQ9NQplbnRyeS4xNC</vt:lpwstr>
  </property>
  <property fmtid="{D5CDD505-2E9C-101B-9397-08002B2CF9AE}" pid="219" name="TTBMVN.PricePortfolio.Part.2085eafdf4d44f8ca032fb82bdb7f20c.0032">
    <vt:lpwstr>5uYW1lPVZHaHA0YnEvZENCaTRidUxJR3podXJkdUlIUERvblVnTm0wZ0xTQXhNbTA9CmVudHJ5LjE0LnVuaXQ9YzJocFpuUT0KZW50cnkuMTQuYmFzZVByaWNlPTExMTI5MTQKZW50cnkuMTQuc291cmNlRGF0ZT0yMDI2LTA4LTAzCmVudHJ5LjE0LnNvdXJjZUtpbmQ9MgplbnRyeS4xNC5zb3VyY2VSZWZlcmVuY2U9Vj</vt:lpwstr>
  </property>
  <property fmtid="{D5CDD505-2E9C-101B-9397-08002B2CF9AE}" pid="220" name="TTBMVN.PricePortfolio.Part.2085eafdf4d44f8ca032fb82bdb7f20c.0033">
    <vt:lpwstr>I5eWEySnZiMnM2VTJobFpYUXlNQ0ZHTnpJPQplbnRyeS4xNC5sZWdhY3lMb29rdXBOYW1lPVZHaHA0YnEvZENCaTRidUxJR3podXJkdUlIUERvblVnTm0wZ0xTQXhNbTA9CmVudHJ5LjE0LmFsaWFzQ291bnQ9MgplbnRyeS4xNC5hbGlhcy4wPVRUQXhNQzR3TXpFPQplbnRyeS4xNC5hbGlhcy4xPVRUQXhNUzR3TXpFPQ</vt:lpwstr>
  </property>
  <property fmtid="{D5CDD505-2E9C-101B-9397-08002B2CF9AE}" pid="221" name="TTBMVN.PricePortfolio.Part.2085eafdf4d44f8ca032fb82bdb7f20c.0034">
    <vt:lpwstr>plbnRyeS4xNS5jb2RlPVRVRlVMVUZPUTBoUFVpMHlNRXRICmVudHJ5LjE1LmtpbmQ9MQplbnRyeS4xNS5uYW1lPVRlRzdqeUJ1Wlc4Z2JHL2h1cUZwSURJd0lHdG4KZW50cnkuMTUudW5pdD1aV0ZqYUE9PQplbnRyeS4xNS5iYXNlUHJpY2U9MjAwMDAwCmVudHJ5LjE1LnNvdXJjZURhdGU9MjAyNi0wOC0wMwplbnRyeS</vt:lpwstr>
  </property>
  <property fmtid="{D5CDD505-2E9C-101B-9397-08002B2CF9AE}" pid="222" name="TTBMVN.PricePortfolio.Part.2085eafdf4d44f8ca032fb82bdb7f20c.0035">
    <vt:lpwstr>4xNS5zb3VyY2VLaW5kPTIKZW50cnkuMTUuc291cmNlUmVmZXJlbmNlPVYyOXlhMkp2YjJzNlUyaGxaWFF5TUNGR09UTT0KZW50cnkuMTUubGVnYWN5TG9va3VwTmFtZT1UZUc3anlCdVpXOGdiRy9odXFGcElESXdJR3RuCmVudHJ5LjE1LmFsaWFzQ291bnQ9MAplbnRyeS4xNi5jb2RlPVRVRlVMVUZPUTBoUFVpMDFNRX</vt:lpwstr>
  </property>
  <property fmtid="{D5CDD505-2E9C-101B-9397-08002B2CF9AE}" pid="223" name="TTBMVN.PricePortfolio.Part.2085eafdf4d44f8ca032fb82bdb7f20c.0036">
    <vt:lpwstr>RICmVudHJ5LjE2LmtpbmQ9MQplbnRyeS4xNi5uYW1lPVRlRzdqeUJ1Wlc4Z2JHL2h1cUZwSURVd0lHdG4KZW50cnkuMTYudW5pdD1aV0ZqYUE9PQplbnRyeS4xNi5iYXNlUHJpY2U9NTAwMDAwCmVudHJ5LjE2LnNvdXJjZURhdGU9MjAyNi0wOC0wMwplbnRyeS4xNi5zb3VyY2VLaW5kPTIKZW50cnkuMTYuc291cmNlUm</vt:lpwstr>
  </property>
  <property fmtid="{D5CDD505-2E9C-101B-9397-08002B2CF9AE}" pid="224" name="TTBMVN.PricePortfolio.Part.2085eafdf4d44f8ca032fb82bdb7f20c.0037">
    <vt:lpwstr>VmZXJlbmNlPVYyOXlhMkp2YjJzNlUyaGxaWFF5TUNGR09UST0KZW50cnkuMTYubGVnYWN5TG9va3VwTmFtZT1UZUc3anlCdVpXOGdiRy9odXFGcElEVXdJR3RuCmVudHJ5LjE2LmFsaWFzQ291bnQ9MAplbnRyeS4xNy5jb2RlPVRVRlVMVUpCVFVKUFR5MVFUMHhGCmVudHJ5LjE3LmtpbmQ9MQplbnRyeS4xNy5uYW1lPV</vt:lpwstr>
  </property>
  <property fmtid="{D5CDD505-2E9C-101B-9397-08002B2CF9AE}" pid="225" name="TTBMVN.PricePortfolio.Part.2085eafdf4d44f8ca032fb82bdb7f20c.0038">
    <vt:lpwstr>U4T2dieUIwY21VZ1pEMDNMQ0JNUFRVd01DQkRiUT09CmVudHJ5LjE3LnVuaXQ9WldGamFBPT0KZW50cnkuMTcuYmFzZVByaWNlPTEwMDAwCmVudHJ5LjE3LnNvdXJjZURhdGU9MjAyNi0wOC0wMwplbnRyeS4xNy5zb3VyY2VLaW5kPTIKZW50cnkuMTcuc291cmNlUmVmZXJlbmNlPVYyOXlhMkp2YjJzNlUyaGxaWFF5TU</vt:lpwstr>
  </property>
  <property fmtid="{D5CDD505-2E9C-101B-9397-08002B2CF9AE}" pid="226" name="TTBMVN.PricePortfolio.Part.2085eafdf4d44f8ca032fb82bdb7f20c.0039">
    <vt:lpwstr>NGR09URT0KZW50cnkuMTcubGVnYWN5TG9va3VwTmFtZT1VOE9nYnlCMGNtVWdaRDAzTENCTVBUVXdNQ0JEYlE9PQplbnRyeS4xNy5hbGlhc0NvdW50PTAKZW50cnkuMTguY29kZT1UVUZVTFVKQlRVSlBUeTFUVkVGTFJRPT0KZW50cnkuMTgua2luZD0xCmVudHJ5LjE4Lm5hbWU9UStHN2pXTWdkSEpsSUdROU9Dd2dURD</vt:lpwstr>
  </property>
  <property fmtid="{D5CDD505-2E9C-101B-9397-08002B2CF9AE}" pid="227" name="TTBMVN.PricePortfolio.Part.2085eafdf4d44f8ca032fb82bdb7f20c.0040">
    <vt:lpwstr>B5TURBZ1EyMD0KZW50cnkuMTgudW5pdD1aV0ZqYUE9PQplbnRyeS4xOC5iYXNlUHJpY2U9MTAwMDAKZW50cnkuMTguc291cmNlRGF0ZT0yMDI2LTA4LTAzCmVudHJ5LjE4LnNvdXJjZUtpbmQ9MgplbnRyeS4xOC5zb3VyY2VSZWZlcmVuY2U9VjI5eWEySnZiMnM2VTJobFpYUXlNQ0ZHT0RZPQplbnRyeS4xOC5sZWdhY3</vt:lpwstr>
  </property>
  <property fmtid="{D5CDD505-2E9C-101B-9397-08002B2CF9AE}" pid="228" name="TTBMVN.PricePortfolio.Part.2085eafdf4d44f8ca032fb82bdb7f20c.0041">
    <vt:lpwstr>lMb29rdXBOYW1lPVErRzdqV01nZEhKbElHUTlPQ3dnVEQweU1EQWdRMjA9CmVudHJ5LjE4LmFsaWFzQ291bnQ9MAplbnRyeS4xOS5jb2RlPVRVRlVMVU5QVGtOU1JWUkZMVk5VUVV0RgplbnRyeS4xOS5raW5kPTEKZW50cnkuMTkubmFtZT1RK0c3aldNZ1lzT3FJSFREdEc1bklHUGh1NUYwSUhSb3c2bHdJQ2d4TW5neE</vt:lpwstr>
  </property>
  <property fmtid="{D5CDD505-2E9C-101B-9397-08002B2CF9AE}" pid="229" name="TTBMVN.PricePortfolio.Part.2085eafdf4d44f8ca032fb82bdb7f20c.0042">
    <vt:lpwstr>1uZ3hNakFwWTIwPQplbnRyeS4xOS51bml0PVpXRmphQT09CmVudHJ5LjE5LmJhc2VQcmljZT0xMDAwMDAKZW50cnkuMTkuc291cmNlRGF0ZT0yMDI2LTA4LTAzCmVudHJ5LjE5LnNvdXJjZUtpbmQ9MgplbnRyeS4xOS5zb3VyY2VSZWZlcmVuY2U9VjI5eWEySnZiMnM2VTJobFpYUXlNQ0ZHT0RFPQplbnRyeS4xOS5sZW</vt:lpwstr>
  </property>
  <property fmtid="{D5CDD505-2E9C-101B-9397-08002B2CF9AE}" pid="230" name="TTBMVN.PricePortfolio.Part.2085eafdf4d44f8ca032fb82bdb7f20c.0043">
    <vt:lpwstr>dhY3lMb29rdXBOYW1lPVErRzdqV01nWXNPcUlIVER0RzVuSUdQaHU1RjBJSFJvdzZsd0lDZ3hNbmd4TW5neE1qQXBZMjA9CmVudHJ5LjE5LmFsaWFzQ291bnQ9MAplbnRyeS4yMC5jb2RlPVRVRlVMVXhCVWtkRkxVWk1UMEZVCmVudHJ5LjIwLmtpbmQ9MQplbnRyeS4yMC5uYW1lPVVHaGhieUJzNGJ1YmJpQXhiVE09Cm</vt:lpwstr>
  </property>
  <property fmtid="{D5CDD505-2E9C-101B-9397-08002B2CF9AE}" pid="231" name="TTBMVN.PricePortfolio.Part.2085eafdf4d44f8ca032fb82bdb7f20c.0044">
    <vt:lpwstr>VudHJ5LjIwLnVuaXQ9WldGamFBPT0KZW50cnkuMjAuYmFzZVByaWNlPTEwMDAwMAplbnRyeS4yMC5zb3VyY2VEYXRlPTIwMjYtMDgtMDMKZW50cnkuMjAuc291cmNlS2luZD0yCmVudHJ5LjIwLnNvdXJjZVJlZmVyZW5jZT1WMjl5YTJKdmIyczZVMmhsWlhReU1DRkdPVFU9CmVudHJ5LjIwLmxlZ2FjeUxvb2t1cE5hbW</vt:lpwstr>
  </property>
  <property fmtid="{D5CDD505-2E9C-101B-9397-08002B2CF9AE}" pid="232" name="TTBMVN.PricePortfolio.Part.2085eafdf4d44f8ca032fb82bdb7f20c.0045">
    <vt:lpwstr>U9VUdoaGJ5QnM0YnViYmlBeGJUTT0KZW50cnkuMjAuYWxpYXNDb3VudD0wCmVudHJ5LjIxLmNvZGU9VFVGVUxVNUJTVXd0TVRCRFRRPT0KZW50cnkuMjEua2luZD0xCmVudHJ5LjIxLm5hbWU9eEpCcGJtZ2dNVEFnWTIwPQplbnRyeS4yMS51bml0PWEyYz0KZW50cnkuMjEuYmFzZVByaWNlPTIzMTAwCmVudHJ5LjIxLn</vt:lpwstr>
  </property>
  <property fmtid="{D5CDD505-2E9C-101B-9397-08002B2CF9AE}" pid="233" name="TTBMVN.PricePortfolio.Part.2085eafdf4d44f8ca032fb82bdb7f20c.0046">
    <vt:lpwstr>NvdXJjZURhdGU9MjAyNi0wOC0wMwplbnRyeS4yMS5zb3VyY2VLaW5kPTIKZW50cnkuMjEuc291cmNlUmVmZXJlbmNlPVYyOXlhMkp2YjJzNlUyaGxaWFF5TUNGR09EZz0KZW50cnkuMjEubGVnYWN5TG9va3VwTmFtZT14SkJwYm1nZ01UQWdZMjA9CmVudHJ5LjIxLmFsaWFzQ291bnQ9MAplbnRyeS4yMi5jb2RlPVRVRl</vt:lpwstr>
  </property>
  <property fmtid="{D5CDD505-2E9C-101B-9397-08002B2CF9AE}" pid="234" name="TTBMVN.PricePortfolio.Part.2085eafdf4d44f8ca032fb82bdb7f20c.0047">
    <vt:lpwstr>VMVkJNUVZOVVNVTXRSa3hQUVZRPQplbnRyeS4yMi5raW5kPTEKZW50cnkuMjIubmFtZT1VR2hoYnlCdWFPRzdzV0VnZEhMRHNtNGdjR2hwSURNd0lHTnQKZW50cnkuMjIudW5pdD1aV0ZqYUE9PQplbnRyeS4yMi5iYXNlUHJpY2U9NTAwMDAKZW50cnkuMjIuc291cmNlRGF0ZT0yMDI2LTA4LTAzCmVudHJ5LjIyLnNvdX</vt:lpwstr>
  </property>
  <property fmtid="{D5CDD505-2E9C-101B-9397-08002B2CF9AE}" pid="235" name="TTBMVN.PricePortfolio.Part.2085eafdf4d44f8ca032fb82bdb7f20c.0048">
    <vt:lpwstr>JjZUtpbmQ9MgplbnRyeS4yMi5zb3VyY2VSZWZlcmVuY2U9VjI5eWEySnZiMnM2VTJobFpYUXlNQ0ZHT1RZPQplbnRyeS4yMi5sZWdhY3lMb29rdXBOYW1lPVVHaGhieUJ1YU9HN3NXRWdkSExEc200Z2NHaHBJRE13SUdOdAplbnRyeS4yMi5hbGlhc0NvdW50PTAKZW50cnkuMjMuY29kZT1UVUZVTFZKRlJDMUdURUZICm</vt:lpwstr>
  </property>
  <property fmtid="{D5CDD505-2E9C-101B-9397-08002B2CF9AE}" pid="236" name="TTBMVN.PricePortfolio.Part.2085eafdf4d44f8ca032fb82bdb7f20c.0049">
    <vt:lpwstr>VudHJ5LjIzLmtpbmQ9MQplbnRyeS4yMy5uYW1lPVErRzduU0RFa2VHN2p5REVrWFhEdEdrZ2JtaGxidz09CmVudHJ5LjIzLnVuaXQ9WldGamFBPT0KZW50cnkuMjMuYmFzZVByaWNlPTI1MDAKZW50cnkuMjMuc291cmNlRGF0ZT0yMDI2LTA4LTAzCmVudHJ5LjIzLnNvdXJjZUtpbmQ9MgplbnRyeS4yMy5zb3VyY2VSZW</vt:lpwstr>
  </property>
  <property fmtid="{D5CDD505-2E9C-101B-9397-08002B2CF9AE}" pid="237" name="TTBMVN.PricePortfolio.Part.2085eafdf4d44f8ca032fb82bdb7f20c.0050">
    <vt:lpwstr>ZlcmVuY2U9VjI5eWEySnZiMnM2VTJobFpYUXlNQ0ZHT0RNPQplbnRyeS4yMy5sZWdhY3lMb29rdXBOYW1lPVErRzduU0RFa2VHN2p5REVrWFhEdEdrZ2JtaGxidz09CmVudHJ5LjIzLmFsaWFzQ291bnQ9MAplbnRyeS4yNC5jb2RlPVRVRlVMVkpGUkMxR1RFRkhMVXhCVWtkRgplbnRyeS4yNC5raW5kPTEKZW50cnkuMj</vt:lpwstr>
  </property>
  <property fmtid="{D5CDD505-2E9C-101B-9397-08002B2CF9AE}" pid="238" name="TTBMVN.PricePortfolio.Part.2085eafdf4d44f8ca032fb82bdb7f20c.0051">
    <vt:lpwstr>QubmFtZT1RK0c3blNERWtlRzdqeUIwYnlBb0lEUXdJSGdnTmpBZ0tTQmpiUT09CmVudHJ5LjI0LnVuaXQ9WldGamFBPT0KZW50cnkuMjQuYmFzZVByaWNlPTEwMDAwCmVudHJ5LjI0LnNvdXJjZURhdGU9MjAyNi0wOC0wMwplbnRyeS4yNC5zb3VyY2VLaW5kPTIKZW50cnkuMjQuc291cmNlUmVmZXJlbmNlPVYyOXlhMk</vt:lpwstr>
  </property>
  <property fmtid="{D5CDD505-2E9C-101B-9397-08002B2CF9AE}" pid="239" name="TTBMVN.PricePortfolio.Part.2085eafdf4d44f8ca032fb82bdb7f20c.0052">
    <vt:lpwstr>p2YjJzNlUyaGxaWFF5TUNGR09EUT0KZW50cnkuMjQubGVnYWN5TG9va3VwTmFtZT1RK0c3blNERWtlRzdqeUIwYnlBb0lEUXdJSGdnTmpBZ0tTQmpiUT09CmVudHJ5LjI0LmFsaWFzQ291bnQ9MAplbnRyeS4yNS5jb2RlPVRVRlVMVkpQVUVVdE1UQk5UUT09CmVudHJ5LjI1LmtpbmQ9MQplbnRyeS4yNS5uYW1lPVJNT2</vt:lpwstr>
  </property>
  <property fmtid="{D5CDD505-2E9C-101B-9397-08002B2CF9AE}" pid="240" name="TTBMVN.PricePortfolio.Part.2085eafdf4d44f8ca032fb82bdb7f20c.0053">
    <vt:lpwstr>llU0IwYU9HN3EyNW5JREV3SUcxdAplbnRyeS4yNS51bml0PWJRPT0KZW50cnkuMjUuYmFzZVByaWNlPTIwMDAKZW50cnkuMjUuc291cmNlRGF0ZT0yMDI2LTA4LTAzCmVudHJ5LjI1LnNvdXJjZUtpbmQ9MgplbnRyeS4yNS5zb3VyY2VSZWZlcmVuY2U9VjI5eWEySnZiMnM2VTJobFpYUXlNQ0ZHT0RVPQplbnRyeS4yNS</vt:lpwstr>
  </property>
  <property fmtid="{D5CDD505-2E9C-101B-9397-08002B2CF9AE}" pid="241" name="TTBMVN.PricePortfolio.Part.2085eafdf4d44f8ca032fb82bdb7f20c.0054">
    <vt:lpwstr>5sZWdhY3lMb29rdXBOYW1lPVJNT2llU0IwYU9HN3EyNW5JREV3SUcxdAplbnRyeS4yNS5hbGlhc0NvdW50PTAKZW50cnkuMjYuY29kZT1UVUZVTFZKUFVFVXRNVEpOVFE9PQplbnRyeS4yNi5raW5kPTEKZW50cnkuMjYubmFtZT1STU9pZVNCT2FXeHZiaUJ3YUdrZ01USnRiUT09CmVudHJ5LjI2LnVuaXQ9YlE9PQplbn</vt:lpwstr>
  </property>
  <property fmtid="{D5CDD505-2E9C-101B-9397-08002B2CF9AE}" pid="242" name="TTBMVN.PricePortfolio.Part.2085eafdf4d44f8ca032fb82bdb7f20c.0055">
    <vt:lpwstr>RyeS4yNi5iYXNlUHJpY2U9MjUwMAplbnRyeS4yNi5zb3VyY2VEYXRlPTIwMjYtMDgtMDMKZW50cnkuMjYuc291cmNlS2luZD0yCmVudHJ5LjI2LnNvdXJjZVJlZmVyZW5jZT1WMjl5YTJKdmIyczZVMmhsWlhReU1DRkdPVGs9CmVudHJ5LjI2LmxlZ2FjeUxvb2t1cE5hbWU9Uk1PaWVTQk9hV3h2YmlCd2FHa2dNVEp0Yl</vt:lpwstr>
  </property>
  <property fmtid="{D5CDD505-2E9C-101B-9397-08002B2CF9AE}" pid="243" name="TTBMVN.PricePortfolio.Part.2085eafdf4d44f8ca032fb82bdb7f20c.0056">
    <vt:lpwstr>E9PQplbnRyeS4yNi5hbGlhc0NvdW50PTAKZW50cnkuMjcuY29kZT1UVUZVTFZKUFVFVXRNVGhOVFE9PQplbnRyeS4yNy5raW5kPTEKZW50cnkuMjcubmFtZT1STU9pZVNCT2FXeHZiaUJ3YUdrZ01UaHRiUT09CmVudHJ5LjI3LnVuaXQ9YlE9PQplbnRyeS4yNy5iYXNlUHJpY2U9MzAwMAplbnRyeS4yNy5zb3VyY2VEYX</vt:lpwstr>
  </property>
  <property fmtid="{D5CDD505-2E9C-101B-9397-08002B2CF9AE}" pid="244" name="TTBMVN.PricePortfolio.Part.2085eafdf4d44f8ca032fb82bdb7f20c.0057">
    <vt:lpwstr>RlPTIwMjYtMDgtMDMKZW50cnkuMjcuc291cmNlS2luZD0yCmVudHJ5LjI3LnNvdXJjZVJlZmVyZW5jZT1WMjl5YTJKdmIyczZVMmhsWlhReU1DRkdNVEF3CmVudHJ5LjI3LmxlZ2FjeUxvb2t1cE5hbWU9Uk1PaWVTQk9hV3h2YmlCd2FHa2dNVGh0YlE9PQplbnRyeS4yNy5hbGlhc0NvdW50PTAKZW50cnkuMjguY29kZT</vt:lpwstr>
  </property>
  <property fmtid="{D5CDD505-2E9C-101B-9397-08002B2CF9AE}" pid="245" name="TTBMVN.PricePortfolio.Part.2085eafdf4d44f8ca032fb82bdb7f20c.0058">
    <vt:lpwstr>1UVUZVTFZOTlFVeE1MVVpNVDBGVQplbnRyeS4yOC5raW5kPTEKZW50cnkuMjgubmFtZT1VR2hoYnlCdWFPRzdqeUJ3YUdrZ01USWdZMjA9CmVudHJ5LjI4LnVuaXQ9WldGamFBPT0KZW50cnkuMjguYmFzZVByaWNlPTEwMDAwCmVudHJ5LjI4LnNvdXJjZURhdGU9MjAyNi0wOC0wMwplbnRyeS4yOC5zb3VyY2VLaW5kPT</vt:lpwstr>
  </property>
  <property fmtid="{D5CDD505-2E9C-101B-9397-08002B2CF9AE}" pid="246" name="TTBMVN.PricePortfolio.Part.2085eafdf4d44f8ca032fb82bdb7f20c.0059">
    <vt:lpwstr>IKZW50cnkuMjguc291cmNlUmVmZXJlbmNlPVYyOXlhMkp2YjJzNlUyaGxaWFF5TUNGR09UYz0KZW50cnkuMjgubGVnYWN5TG9va3VwTmFtZT1VR2hoYnlCdWFPRzdqeUJ3YUdrZ01USWdZMjA9CmVudHJ5LjI4LmFsaWFzQ291bnQ9MAplbnRyeS4yOS5jb2RlPVRVRlVMVk5RUlVOSlFVd3RRVTVEU0U5UwplbnRyeS4yOS</vt:lpwstr>
  </property>
  <property fmtid="{D5CDD505-2E9C-101B-9397-08002B2CF9AE}" pid="247" name="TTBMVN.PricePortfolio.Part.2085eafdf4d44f8ca032fb82bdb7f20c.0060">
    <vt:lpwstr>5raW5kPTEKZW50cnkuMjkubmFtZT1UZUc3anlCdVpXOGd4SkhodXJkaklHSnA0YnVIZENCc2IrRzZvV2tnTWpCclp3PT0KZW50cnkuMjkudW5pdD1aV0ZqYUE9PQplbnRyeS4yOS5iYXNlUHJpY2U9MzAwMDAwCmVudHJ5LjI5LnNvdXJjZURhdGU9MjAyNi0wOC0wMwplbnRyeS4yOS5zb3VyY2VLaW5kPTIKZW50cnkuMj</vt:lpwstr>
  </property>
  <property fmtid="{D5CDD505-2E9C-101B-9397-08002B2CF9AE}" pid="248" name="TTBMVN.PricePortfolio.Part.2085eafdf4d44f8ca032fb82bdb7f20c.0061">
    <vt:lpwstr>kuc291cmNlUmVmZXJlbmNlPVYyOXlhMkp2YjJzNlUyaGxaWFF5TUNGR09UUT0KZW50cnkuMjkubGVnYWN5TG9va3VwTmFtZT1UZUc3anlCdVpXOGd4SkhodXJkaklHSnA0YnVIZENCc2IrRzZvV2tnTWpCclp3PT0KZW50cnkuMjkuYWxpYXNDb3VudD0wCmVudHJ5LjMwLmNvZGU9VFVGVUxWTlVSVVZNTFVWWVEwRldRVl</vt:lpwstr>
  </property>
  <property fmtid="{D5CDD505-2E9C-101B-9397-08002B2CF9AE}" pid="249" name="TTBMVN.PricePortfolio.Part.2085eafdf4d44f8ca032fb82bdb7f20c.0062">
    <vt:lpwstr>JKVDA0dFJsSkJUVVU9CmVudHJ5LjMwLmtpbmQ9MQplbnRyeS4zMC5uYW1lPVMyaDFibWNnWjJsaElHUER0RzVuSUdMaHVyRnVaeUIwdzdSdUlETnRiU0IydzZBZ2MrRzZyM1FnWjhPell5QW9ORFY0TkRVcGJXMD0KZW50cnkuMzAudW5pdD1hMmM9CmVudHJ5LjMwLmJhc2VQcmljZT0yMjAwMAplbnRyeS4zMC5zb3VyY2</vt:lpwstr>
  </property>
  <property fmtid="{D5CDD505-2E9C-101B-9397-08002B2CF9AE}" pid="250" name="TTBMVN.PricePortfolio.Part.2085eafdf4d44f8ca032fb82bdb7f20c.0063">
    <vt:lpwstr>VEYXRlPTIwMjYtMDgtMDMKZW50cnkuMzAuc291cmNlS2luZD0yCmVudHJ5LjMwLnNvdXJjZVJlZmVyZW5jZT1WMjl5YTJKdmIyczZVMmhsWlhReU1DRkdNVEF4CmVudHJ5LjMwLmxlZ2FjeUxvb2t1cE5hbWU9UzJoMWJtY2daMmxoSUdQRHRHNW5JR0xodXJGdVp5QjB3N1J1SUROdGJTQjJ3NkFnYytHNnIzUWdaOE96WX</vt:lpwstr>
  </property>
  <property fmtid="{D5CDD505-2E9C-101B-9397-08002B2CF9AE}" pid="251" name="TTBMVN.PricePortfolio.Part.2085eafdf4d44f8ca032fb82bdb7f20c.0064">
    <vt:lpwstr>lBb05EVjRORFVwYlcwPQplbnRyeS4zMC5hbGlhc0NvdW50PTAKZW50cnkuMzEuY29kZT1UVUZVTFZkSlVrVXRNazFOCmVudHJ5LjMxLmtpbmQ9MQplbnRyeS4zMS5uYW1lPVJNT2llU0IwYU1PcGNDQmlkZUc3bVdNZ01pQnNlUT09CmVudHJ5LjMxLnVuaXQ9YTJjPQplbnRyeS4zMS5iYXNlUHJpY2U9MTg1MDAKZW50cn</vt:lpwstr>
  </property>
  <property fmtid="{D5CDD505-2E9C-101B-9397-08002B2CF9AE}" pid="252" name="TTBMVN.PricePortfolio.Part.2085eafdf4d44f8ca032fb82bdb7f20c.0065">
    <vt:lpwstr>kuMzEuc291cmNlRGF0ZT0yMDI2LTA4LTAzCmVudHJ5LjMxLnNvdXJjZUtpbmQ9MgplbnRyeS4zMS5zb3VyY2VSZWZlcmVuY2U9VjI5eWEySnZiMnM2VTJobFpYUXlNQ0ZHT1RBPQplbnRyeS4zMS5sZWdhY3lMb29rdXBOYW1lPVJNT2llU0IwYU1PcGNDQmlkZUc3bVdNZ01pQnNlUT09CmVudHJ5LjMxLmFsaWFzQ291bn</vt:lpwstr>
  </property>
  <property fmtid="{D5CDD505-2E9C-101B-9397-08002B2CF9AE}" pid="253" name="TTBMVN.PricePortfolio.Part.2085eafdf4d44f8ca032fb82bdb7f20c.0066">
    <vt:lpwstr>Q9MAplbnRyeS4zMi5jb2RlPVRVRlVMVmRQVDBRdFFrOUJVa1E9CmVudHJ5LjMyLmtpbmQ9MQplbnRyeS4zMi5uYW1lPVZzT2hiaUJuNGJ1WElHVERvSGtnTXlCRGJRPT0KZW50cnkuMzIudW5pdD1iVE09CmVudHJ5LjMyLmJhc2VQcmljZT0zMzYzNjM2CmVudHJ5LjMyLnNvdXJjZURhdGU9MjAyNi0wOC0wMwplbnRyeS</vt:lpwstr>
  </property>
  <property fmtid="{D5CDD505-2E9C-101B-9397-08002B2CF9AE}" pid="254" name="TTBMVN.PricePortfolio.Part.2085eafdf4d44f8ca032fb82bdb7f20c.0067">
    <vt:lpwstr>4zMi5zb3VyY2VLaW5kPTIKZW50cnkuMzIuc291cmNlUmVmZXJlbmNlPVYyOXlhMkp2YjJzNlUyaGxaWFF5TUNGR09EYz0KZW50cnkuMzIubGVnYWN5TG9va3VwTmFtZT1Wc09oYmlCbjRidVhJR1REb0hrZ015QkRiUT09CmVudHJ5LjMyLmFsaWFzQ291bnQ9MAplbnRyeS4zMy5jb2RlPVRVRlVMVmRQVDBRdFUxUkJTMF</vt:lpwstr>
  </property>
  <property fmtid="{D5CDD505-2E9C-101B-9397-08002B2CF9AE}" pid="255" name="TTBMVN.PricePortfolio.Part.2085eafdf4d44f8ca032fb82bdb7f20c.0068">
    <vt:lpwstr>U9CmVudHJ5LjMzLmtpbmQ9MQplbnRyeS4zMy5uYW1lPVErRzdqV01nWitHN2x5QmtJRDBnTTJOdExDQk1QU0ExTUNCamJRPT0KZW50cnkuMzMudW5pdD1aV0ZqYUE9PQplbnRyeS4zMy5iYXNlUHJpY2U9ODAwMAplbnRyeS4zMy5zb3VyY2VEYXRlPTIwMjYtMDgtMDMKZW50cnkuMzMuc291cmNlS2luZD0yCmVudHJ5Lj</vt:lpwstr>
  </property>
  <property fmtid="{D5CDD505-2E9C-101B-9397-08002B2CF9AE}" pid="256" name="TTBMVN.PricePortfolio.Part.2085eafdf4d44f8ca032fb82bdb7f20c.0069">
    <vt:lpwstr>MzLnNvdXJjZVJlZmVyZW5jZT1WMjl5YTJKdmIyczZVMmhsWlhReU1DRkdPREk9CmVudHJ5LjMzLmxlZ2FjeUxvb2t1cE5hbWU9UStHN2pXTWdaK0c3bHlCa0lEMGdNMk50TENCTVBTQTFNQ0JqYlE9PQplbnRyeS4zMy5hbGlhc0NvdW50PTAKb3ZlcnJpZGVDb3VudD0wCmNoZWNrc3VtPTAxNDVFMUYwODIxMDM5OEY1Q0</vt:lpwstr>
  </property>
  <property fmtid="{D5CDD505-2E9C-101B-9397-08002B2CF9AE}" pid="257" name="TTBMVN.PricePortfolio.Part.2085eafdf4d44f8ca032fb82bdb7f20c.0070">
    <vt:lpwstr>UzNjBBRTc3MDk2QTNEMTg0NzBENENDNTcxQzBEMTZFQUM0N0FDQjQ2RjIyODU=
profile.1.audience=2
profile.1.payload=VFRCTVZOX1BSSUNFX1BST0ZJTEUKc2NoZW1hPTEKcHJvZmlsZUlkPVZFVlRWQzFFVkRFd015MVFVa2xEUlMxQ1FWTkZURWxPUlE9PQpkYXRhVmVyc2lvbj1NUzR3TGpBPQpkaXNwbG</vt:lpwstr>
  </property>
  <property fmtid="{D5CDD505-2E9C-101B-9397-08002B2CF9AE}" pid="258" name="TTBMVN.PricePortfolio.Part.2085eafdf4d44f8ca032fb82bdb7f20c.0071">
    <vt:lpwstr>F5TmFtZT1UbWhoY0NCMGRTQkVWQzAwTURZdGQyOXlhMmx1WnkxamIzQjVMbmhzYzIwPQpsb2NhdGlvbj1TR0VnVG05cAp2YWx1YXRpb25EYXRlPTIwMjYtMDgtMDMKbGFib3JBdWRpZW5jZT0yCmNyZWF0ZWRBdFV0Yz0yMDI2LTA4LTAzVDEyOjM2OjU5LjEwOTMyMDhaCmVudHJ5Q291bnQ9MzQKZW50cnkuMC5jb2RlPV</vt:lpwstr>
  </property>
  <property fmtid="{D5CDD505-2E9C-101B-9397-08002B2CF9AE}" pid="259" name="TTBMVN.PricePortfolio.Part.2085eafdf4d44f8ca032fb82bdb7f20c.0072">
    <vt:lpwstr>RFRkNMVkZPUTA0dE5RPT0KZW50cnkuMC5raW5kPTIKZW50cnkuMC5uYW1lPVRtakRvbTRnWThPMGJtY2dkR2podTZNZ1l1RzZyV01nTlM4eE1BPT0KZW50cnkuMC51bml0PWQyOXlhMlZ5TFdSaGVRPT0KZW50cnkuMC5iYXNlUHJpY2U9NDUwMDAwCmVudHJ5LjAuc291cmNlRGF0ZT0yMDI2LTA4LTAzCmVudHJ5LjAuc2</vt:lpwstr>
  </property>
  <property fmtid="{D5CDD505-2E9C-101B-9397-08002B2CF9AE}" pid="260" name="TTBMVN.PricePortfolio.Part.2085eafdf4d44f8ca032fb82bdb7f20c.0073">
    <vt:lpwstr>91cmNlS2luZD0yCmVudHJ5LjAuc291cmNlUmVmZXJlbmNlPVYyOXlhMkp2YjJzNlUyaGxaWFF5TUNGR053PT0KZW50cnkuMC5sZWdhY3lMb29rdXBOYW1lPVRtakRvbTRnWThPMGJtY2dkR2podTZNZ1l1RzZyV01nTlM4eE1BPT0KZW50cnkuMC5hbGlhc0NvdW50PTEKZW50cnkuMC5hbGlhcy4wPVltRmpMVFV0TVRBPQ</vt:lpwstr>
  </property>
  <property fmtid="{D5CDD505-2E9C-101B-9397-08002B2CF9AE}" pid="261" name="TTBMVN.PricePortfolio.Part.2085eafdf4d44f8ca032fb82bdb7f20c.0074">
    <vt:lpwstr>plbnRyeS4xLmNvZGU9VEVGQ0xWRk9RMDR0Tnc9PQplbnRyeS4xLmtpbmQ9MgplbnRyeS4xLm5hbWU9VG1qRG9tNGdZOE8wYm1jZ2RHamh1Nk1nWXVHNnJXTWdOeTh4TUE9PQplbnRyeS4xLnVuaXQ9ZDI5eWEyVnlMV1JoZVE9PQplbnRyeS4xLmJhc2VQcmljZT00OTUwMDAKZW50cnkuMS5zb3VyY2VEYXRlPTIwMjYtMD</vt:lpwstr>
  </property>
  <property fmtid="{D5CDD505-2E9C-101B-9397-08002B2CF9AE}" pid="262" name="TTBMVN.PricePortfolio.Part.2085eafdf4d44f8ca032fb82bdb7f20c.0075">
    <vt:lpwstr>gtMDMKZW50cnkuMS5zb3VyY2VLaW5kPTIKZW50cnkuMS5zb3VyY2VSZWZlcmVuY2U9VjI5eWEySnZiMnM2VTJobFpYUXlNQ0ZHTVRFPQplbnRyeS4xLmxlZ2FjeUxvb2t1cE5hbWU9VG1qRG9tNGdZOE8wYm1jZ2RHamh1Nk1nWXVHNnJXTWdOeTh4TUE9PQplbnRyeS4xLmFsaWFzQ291bnQ9MQplbnRyeS4xLmFsaWFzLj</vt:lpwstr>
  </property>
  <property fmtid="{D5CDD505-2E9C-101B-9397-08002B2CF9AE}" pid="263" name="TTBMVN.PricePortfolio.Part.2085eafdf4d44f8ca032fb82bdb7f20c.0076">
    <vt:lpwstr>A9WW1GakxUY3RNVEE9CmVudHJ5LjIuY29kZT1URUZDTFZGT1EwNHRPQT09CmVudHJ5LjIua2luZD0yCmVudHJ5LjIubmFtZT1UbWpEb200Z1k4TzBibWNnZEdqaHU2TWdZdUc2cldNZ09DOHhNQT09CmVudHJ5LjIudW5pdD1kMjl5YTJWeUxXUmhlUT09CmVudHJ5LjIuYmFzZVByaWNlPTUxNzUwMAplbnRyeS4yLnNvdX</vt:lpwstr>
  </property>
  <property fmtid="{D5CDD505-2E9C-101B-9397-08002B2CF9AE}" pid="264" name="TTBMVN.PricePortfolio.Part.2085eafdf4d44f8ca032fb82bdb7f20c.0077">
    <vt:lpwstr>JjZURhdGU9MjAyNi0wOC0wMwplbnRyeS4yLnNvdXJjZUtpbmQ9MgplbnRyeS4yLnNvdXJjZVJlZmVyZW5jZT1WMjl5YTJKdmIyczZVMmhsWlhReU1DRkdNVFU9CmVudHJ5LjIubGVnYWN5TG9va3VwTmFtZT1UbWpEb200Z1k4TzBibWNnZEdqaHU2TWdZdUc2cldNZ09DOHhNQT09CmVudHJ5LjIuYWxpYXNDb3VudD0xCm</vt:lpwstr>
  </property>
  <property fmtid="{D5CDD505-2E9C-101B-9397-08002B2CF9AE}" pid="265" name="TTBMVN.PricePortfolio.Part.2085eafdf4d44f8ca032fb82bdb7f20c.0078">
    <vt:lpwstr>VudHJ5LjIuYWxpYXMuMD1ZbUZqTFRndE1UQT0KZW50cnkuMy5jb2RlPVRFVkhRVU5aTFUxQlZDMU9RVWxNTFZSWFR5MVFVazlPUnkxRlFVTkkKZW50cnkuMy5raW5kPTEKZW50cnkuMy5uYW1lPXhKQnBibWdnTWlCdDRidVAKZW50cnkuMy51bml0PVpXRmphQT09CmVudHJ5LjMuYmFzZVByaWNlPTYwMDAKZW50cnkuMy</vt:lpwstr>
  </property>
  <property fmtid="{D5CDD505-2E9C-101B-9397-08002B2CF9AE}" pid="266" name="TTBMVN.PricePortfolio.Part.2085eafdf4d44f8ca032fb82bdb7f20c.0079">
    <vt:lpwstr>5zb3VyY2VEYXRlPTIwMjYtMDgtMDMKZW50cnkuMy5zb3VyY2VLaW5kPTIKZW50cnkuMy5zb3VyY2VSZWZlcmVuY2U9VjI5eWEySnZiMnM2VTJobFpYUXlNQ0ZHT0RrPQplbnRyeS4zLmxlZ2FjeUxvb2t1cE5hbWU9eEpCcGJtZ2dNaUJ0NGJ1UAplbnRyeS4zLmFsaWFzQ291bnQ9MAplbnRyeS40LmNvZGU9VEVWSFFVTl</vt:lpwstr>
  </property>
  <property fmtid="{D5CDD505-2E9C-101B-9397-08002B2CF9AE}" pid="267" name="TTBMVN.PricePortfolio.Part.2085eafdf4d44f8ca032fb82bdb7f20c.0080">
    <vt:lpwstr>pMVTFCVkMxT1dVeFBUaTFTVDFCRkxURXdUVTA9CmVudHJ5LjQua2luZD0xCmVudHJ5LjQubmFtZT1STU9pZVNCT2FXeHZiaUJ3YUdrZ01UQnRiUT09CmVudHJ5LjQudW5pdD1iUT09CmVudHJ5LjQuYmFzZVByaWNlPTIwMDAKZW50cnkuNC5zb3VyY2VEYXRlPTIwMjYtMDgtMDMKZW50cnkuNC5zb3VyY2VLaW5kPTIKZW</vt:lpwstr>
  </property>
  <property fmtid="{D5CDD505-2E9C-101B-9397-08002B2CF9AE}" pid="268" name="TTBMVN.PricePortfolio.Part.2085eafdf4d44f8ca032fb82bdb7f20c.0081">
    <vt:lpwstr>50cnkuNC5zb3VyY2VSZWZlcmVuY2U9VjI5eWEySnZiMnM2VTJobFpYUXlNQ0ZHT1RnPQplbnRyeS40LmxlZ2FjeUxvb2t1cE5hbWU9Uk1PaWVTQk9hV3h2YmlCd2FHa2dNVEJ0YlE9PQplbnRyeS40LmFsaWFzQ291bnQ9MAplbnRyeS41LmNvZGU9VFVGRFNFbE9SUzFOTURFd0xqQXdNUT09CmVudHJ5LjUua2luZD01Cm</vt:lpwstr>
  </property>
  <property fmtid="{D5CDD505-2E9C-101B-9397-08002B2CF9AE}" pid="269" name="TTBMVN.PricePortfolio.Part.2085eafdf4d44f8ca032fb82bdb7f20c.0082">
    <vt:lpwstr>VudHJ5LjUubmFtZT1UY09oZVNCa3c3SWdiY09zYmc9PQplbnRyeS41LnVuaXQ9YzJocFpuUT0KZW50cnkuNS5iYXNlUHJpY2U9NzYyOTk2CmVudHJ5LjUuc291cmNlRGF0ZT0yMDI2LTA4LTAzCmVudHJ5LjUuc291cmNlS2luZD0yCmVudHJ5LjUuc291cmNlUmVmZXJlbmNlPVYyOXlhMkp2YjJzNlUyaGxaWFF5TUNGR0</vt:lpwstr>
  </property>
  <property fmtid="{D5CDD505-2E9C-101B-9397-08002B2CF9AE}" pid="270" name="TTBMVN.PricePortfolio.Part.2085eafdf4d44f8ca032fb82bdb7f20c.0083">
    <vt:lpwstr>1qTT0KZW50cnkuNS5sZWdhY3lMb29rdXBOYW1lPVRjT2hlU0JrdzdJZ2JjT3NiZz09CmVudHJ5LjUuYWxpYXNDb3VudD0yCmVudHJ5LjUuYWxpYXMuMD1UVEF4TUM0d01ERT0KZW50cnkuNS5hbGlhcy4xPVRUQXhNUzR3TURFPQplbnRyeS42LmNvZGU9VFVGRFNFbE9SUzFOTURFd0xqQXdNZz09CmVudHJ5LjYua2luZD</vt:lpwstr>
  </property>
  <property fmtid="{D5CDD505-2E9C-101B-9397-08002B2CF9AE}" pid="271" name="TTBMVN.PricePortfolio.Part.2085eafdf4d44f8ca032fb82bdb7f20c.0084">
    <vt:lpwstr>01CmVudHJ5LjYubmFtZT1UY09oZVNCa3c3SWdZbTl0SUhSeXc2cHVJR1BodXFGdQplbnRyeS42LnVuaXQ9YzJocFpuUT0KZW50cnkuNi5iYXNlUHJpY2U9MTA3MDMyNAplbnRyeS42LnNvdXJjZURhdGU9MjAyNi0wOC0wMwplbnRyeS42LnNvdXJjZUtpbmQ9MgplbnRyeS42LnNvdXJjZVJlZmVyZW5jZT1WMjl5YTJKdm</vt:lpwstr>
  </property>
  <property fmtid="{D5CDD505-2E9C-101B-9397-08002B2CF9AE}" pid="272" name="TTBMVN.PricePortfolio.Part.2085eafdf4d44f8ca032fb82bdb7f20c.0085">
    <vt:lpwstr>IyczZVMmhsWlhReU1DRkdNams9CmVudHJ5LjYubGVnYWN5TG9va3VwTmFtZT1UY09oZVNCa3c3SWdZbTl0SUhSeXc2cHVJR1BodXFGdQplbnRyeS42LmFsaWFzQ291bnQ9MgplbnRyeS42LmFsaWFzLjA9VFRBeE1DNHdNREk9CmVudHJ5LjYuYWxpYXMuMT1UVEF4TVM0d01EST0KZW50cnkuNy5jb2RlPVRVRkRTRWxPUl</vt:lpwstr>
  </property>
  <property fmtid="{D5CDD505-2E9C-101B-9397-08002B2CF9AE}" pid="273" name="TTBMVN.PricePortfolio.Part.2085eafdf4d44f8ca032fb82bdb7f20c.0086">
    <vt:lpwstr>MxTk1ERXdMakF3T0E9PQplbnRyeS43LmtpbmQ9NQplbnRyeS43Lm5hbWU9VGNPaGVTQmt3N0lnWW05dElHVEdzT0c3bTJrZ2JzYXc0YnViWXc9PQplbnRyeS43LnVuaXQ9YzJocFpuUT0KZW50cnkuNy5iYXNlUHJpY2U9MTU4NzgyNAplbnRyeS43LnNvdXJjZURhdGU9MjAyNi0wOC0wMwplbnRyeS43LnNvdXJjZUtpbm</vt:lpwstr>
  </property>
  <property fmtid="{D5CDD505-2E9C-101B-9397-08002B2CF9AE}" pid="274" name="TTBMVN.PricePortfolio.Part.2085eafdf4d44f8ca032fb82bdb7f20c.0087">
    <vt:lpwstr>Q9MgplbnRyeS43LnNvdXJjZVJlZmVyZW5jZT1WMjl5YTJKdmIyczZVMmhsWlhReU1DRkdNelU9CmVudHJ5LjcubGVnYWN5TG9va3VwTmFtZT1UY09oZVNCa3c3SWdZbTl0SUdUR3NPRzdtMmtnYnNhdzRidWJZdz09CmVudHJ5LjcuYWxpYXNDb3VudD0yCmVudHJ5LjcuYWxpYXMuMD1UVEF4TUM0d01EZz0KZW50cnkuNy</vt:lpwstr>
  </property>
  <property fmtid="{D5CDD505-2E9C-101B-9397-08002B2CF9AE}" pid="275" name="TTBMVN.PricePortfolio.Part.2085eafdf4d44f8ca032fb82bdb7f20c.0088">
    <vt:lpwstr>5hbGlhcy4xPVRUQXhNUzR3TURnPQplbnRyeS44LmNvZGU9VFVGRFNFbE9SUzFOTURFd0xqQXdPUT09CmVudHJ5Ljgua2luZD01CmVudHJ5LjgubmFtZT1WR2gxZWVHN2dXNGdZMkZ2SUhOMUlIUnA0YnVEZFE9PQplbnRyeS44LnVuaXQ9YzJocFpuUT0KZW50cnkuOC5iYXNlUHJpY2U9NTE4MjI2CmVudHJ5Ljguc291cm</vt:lpwstr>
  </property>
  <property fmtid="{D5CDD505-2E9C-101B-9397-08002B2CF9AE}" pid="276" name="TTBMVN.PricePortfolio.Part.2085eafdf4d44f8ca032fb82bdb7f20c.0089">
    <vt:lpwstr>NlRGF0ZT0yMDI2LTA4LTAzCmVudHJ5Ljguc291cmNlS2luZD0yCmVudHJ5Ljguc291cmNlUmVmZXJlbmNlPVYyOXlhMkp2YjJzNlUyaGxaWFF5TUNGR05ERT0KZW50cnkuOC5sZWdhY3lMb29rdXBOYW1lPVZHaDFlZUc3Z1c0Z1kyRnZJSE4xSUhScDRidURkUT09CmVudHJ5LjguYWxpYXNDb3VudD0yCmVudHJ5LjguYW</vt:lpwstr>
  </property>
  <property fmtid="{D5CDD505-2E9C-101B-9397-08002B2CF9AE}" pid="277" name="TTBMVN.PricePortfolio.Part.2085eafdf4d44f8ca032fb82bdb7f20c.0090">
    <vt:lpwstr>xpYXMuMD1UVEF4TUM0d01Eaz0KZW50cnkuOC5hbGlhcy4xPVRUQXhNUzR3TURrPQplbnRyeS45LmNvZGU9VFVGRFNFbE9SUzFOTURFd0xqQXhNQT09CmVudHJ5Ljkua2luZD01CmVudHJ5LjkubmFtZT1WR2gxZWVHN2dXNGdZMkZ2SUhOMUlIUnlkVzVuCmVudHJ5LjkudW5pdD1jMmhwWm5RPQplbnRyeS45LmJhc2VQcm</vt:lpwstr>
  </property>
  <property fmtid="{D5CDD505-2E9C-101B-9397-08002B2CF9AE}" pid="278" name="TTBMVN.PricePortfolio.Part.2085eafdf4d44f8ca032fb82bdb7f20c.0091">
    <vt:lpwstr>ljZT01NTQxMDEKZW50cnkuOS5zb3VyY2VEYXRlPTIwMjYtMDgtMDMKZW50cnkuOS5zb3VyY2VLaW5kPTIKZW50cnkuOS5zb3VyY2VSZWZlcmVuY2U9VjI5eWEySnZiMnM2VTJobFpYUXlNQ0ZHTkRZPQplbnRyeS45LmxlZ2FjeUxvb2t1cE5hbWU9VkdoMWVlRzdnVzRnWTJGdklITjFJSFJ5ZFc1bgplbnRyeS45LmFsaW</vt:lpwstr>
  </property>
  <property fmtid="{D5CDD505-2E9C-101B-9397-08002B2CF9AE}" pid="279" name="TTBMVN.PricePortfolio.Part.2085eafdf4d44f8ca032fb82bdb7f20c.0092">
    <vt:lpwstr>FzQ291bnQ9MgplbnRyeS45LmFsaWFzLjA9VFRBeE1DNHdNVEE9CmVudHJ5LjkuYWxpYXMuMT1UVEF4TVM0d01UQT0KZW50cnkuMTAuY29kZT1UVUZEU0VsT1JTMU5NREV3TGpBeU13PT0KZW50cnkuMTAua2luZD01CmVudHJ5LjEwLm5hbWU9VkdocDRicS9kQ0JpNGJ1TElIUERzMmtnZHNPZ0lHakR1blFnWXNPNWJpQm</vt:lpwstr>
  </property>
  <property fmtid="{D5CDD505-2E9C-101B-9397-08002B2CF9AE}" pid="280" name="TTBMVN.PricePortfolio.Part.2085eafdf4d44f8ca032fb82bdb7f20c.0093">
    <vt:lpwstr>p3NkYwCmVudHJ5LjEwLnVuaXQ9YzJocFpuUT0KZW50cnkuMTAuYmFzZVByaWNlPTI5NDY5MDkKZW50cnkuMTAuc291cmNlRGF0ZT0yMDI2LTA4LTAzCmVudHJ5LjEwLnNvdXJjZUtpbmQ9MgplbnRyeS4xMC5zb3VyY2VSZWZlcmVuY2U9VjI5eWEySnZiMnM2VTJobFpYUXlNQ0ZHTlRZPQplbnRyeS4xMC5sZWdhY3lMb2</vt:lpwstr>
  </property>
  <property fmtid="{D5CDD505-2E9C-101B-9397-08002B2CF9AE}" pid="281" name="TTBMVN.PricePortfolio.Part.2085eafdf4d44f8ca032fb82bdb7f20c.0094">
    <vt:lpwstr>9rdXBOYW1lPVZHaHA0YnEvZENCaTRidUxJSFBEczJrZ2RzT2dJR2pEdW5RZ1lzTzViaUJqdzZGMAplbnRyeS4xMC5hbGlhc0NvdW50PTIKZW50cnkuMTAuYWxpYXMuMD1UVEF4TUM0d01qTT0KZW50cnkuMTAuYWxpYXMuMT1UVEF4TVM0d01qTT0KZW50cnkuMTEuY29kZT1UVUZEU0VsT1JTMU5NREV3TGpBeU53PT0KZW</vt:lpwstr>
  </property>
  <property fmtid="{D5CDD505-2E9C-101B-9397-08002B2CF9AE}" pid="282" name="TTBMVN.PricePortfolio.Part.2085eafdf4d44f8ca032fb82bdb7f20c.0095">
    <vt:lpwstr>50cnkuMTEua2luZD01CmVudHJ5LjExLm5hbWU9VkdoMWVlRzdnVzRnUTI5dGNHOXphWFE9CmVudHJ5LjExLnVuaXQ9YzJocFpuUT0KZW50cnkuMTEuYmFzZVByaWNlPTk5NTM1NAplbnRyeS4xMS5zb3VyY2VEYXRlPTIwMjYtMDgtMDMKZW50cnkuMTEuc291cmNlS2luZD0yCmVudHJ5LjExLnNvdXJjZVJlZmVyZW5jZT</vt:lpwstr>
  </property>
  <property fmtid="{D5CDD505-2E9C-101B-9397-08002B2CF9AE}" pid="283" name="TTBMVN.PricePortfolio.Part.2085eafdf4d44f8ca032fb82bdb7f20c.0096">
    <vt:lpwstr>1WMjl5YTJKdmIyczZVMmhsWlhReU1DRkdOVEU9CmVudHJ5LjExLmxlZ2FjeUxvb2t1cE5hbWU9VkdoMWVlRzdnVzRnUTI5dGNHOXphWFE9CmVudHJ5LjExLmFsaWFzQ291bnQ9MgplbnRyeS4xMS5hbGlhcy4wPVRUQXhNQzR3TWpjPQplbnRyeS4xMS5hbGlhcy4xPVRUQXhNUzR3TWpjPQplbnRyeS4xMi5jb2RlPVRVRk</vt:lpwstr>
  </property>
  <property fmtid="{D5CDD505-2E9C-101B-9397-08002B2CF9AE}" pid="284" name="TTBMVN.PricePortfolio.Part.2085eafdf4d44f8ca032fb82bdb7f20c.0097">
    <vt:lpwstr>RTRWxPUlMxTk1ERXdMakF5T1E9PQplbnRyeS4xMi5raW5kPTUKZW50cnkuMTIubmFtZT1WR2hwNGJxL2RDQmk0YnVMSUd6aHVyZHVJSFBEb25VZ01DdzFiU0F0SUROdAplbnRyeS4xMi51bml0PWMyaHBablE9CmVudHJ5LjEyLmJhc2VQcmljZT0xMTA1NTgyCmVudHJ5LjEyLnNvdXJjZURhdGU9MjAyNi0wOC0wMwplbn</vt:lpwstr>
  </property>
  <property fmtid="{D5CDD505-2E9C-101B-9397-08002B2CF9AE}" pid="285" name="TTBMVN.PricePortfolio.Part.2085eafdf4d44f8ca032fb82bdb7f20c.0098">
    <vt:lpwstr>RyeS4xMi5zb3VyY2VLaW5kPTIKZW50cnkuMTIuc291cmNlUmVmZXJlbmNlPVYyOXlhMkp2YjJzNlUyaGxaWFF5TUNGR05qST0KZW50cnkuMTIubGVnYWN5TG9va3VwTmFtZT1WR2hwNGJxL2RDQmk0YnVMSUd6aHVyZHVJSFBEb25VZ01DdzFiU0F0SUROdAplbnRyeS4xMi5hbGlhc0NvdW50PTIKZW50cnkuMTIuYWxpYX</vt:lpwstr>
  </property>
  <property fmtid="{D5CDD505-2E9C-101B-9397-08002B2CF9AE}" pid="286" name="TTBMVN.PricePortfolio.Part.2085eafdf4d44f8ca032fb82bdb7f20c.0099">
    <vt:lpwstr>MuMD1UVEF4TUM0d01qaz0KZW50cnkuMTIuYWxpYXMuMT1UVEF4TVM0d01qaz0KZW50cnkuMTMuY29kZT1UVUZEU0VsT1JTMU5NREV3TGpBek1BPT0KZW50cnkuMTMua2luZD01CmVudHJ5LjEzLm5hbWU9VkdocDRicS9kQ0JpNGJ1TElHemh1cmR1SUhQRG9uVWdNMjBnTFNBMmJRPT0KZW50cnkuMTMudW5pdD1jMmhwWm</vt:lpwstr>
  </property>
  <property fmtid="{D5CDD505-2E9C-101B-9397-08002B2CF9AE}" pid="287" name="TTBMVN.PricePortfolio.Part.2085eafdf4d44f8ca032fb82bdb7f20c.0100">
    <vt:lpwstr>5RPQplbnRyeS4xMy5iYXNlUHJpY2U9MTEwODI2MwplbnRyeS4xMy5zb3VyY2VEYXRlPTIwMjYtMDgtMDMKZW50cnkuMTMuc291cmNlS2luZD0yCmVudHJ5LjEzLnNvdXJjZVJlZmVyZW5jZT1WMjl5YTJKdmIyczZVMmhsWlhReU1DRkdOamM9CmVudHJ5LjEzLmxlZ2FjeUxvb2t1cE5hbWU9VkdocDRicS9kQ0JpNGJ1TE</vt:lpwstr>
  </property>
  <property fmtid="{D5CDD505-2E9C-101B-9397-08002B2CF9AE}" pid="288" name="TTBMVN.PricePortfolio.Part.2085eafdf4d44f8ca032fb82bdb7f20c.0101">
    <vt:lpwstr>lHemh1cmR1SUhQRG9uVWdNMjBnTFNBMmJRPT0KZW50cnkuMTMuYWxpYXNDb3VudD0yCmVudHJ5LjEzLmFsaWFzLjA9VFRBeE1DNHdNekE9CmVudHJ5LjEzLmFsaWFzLjE9VFRBeE1TNHdNekE9CmVudHJ5LjE0LmNvZGU9VFVGRFNFbE9SUzFOTURFd0xqQXpNUT09CmVudHJ5LjE0LmtpbmQ9NQplbnRyeS4xNC5uYW1lPV</vt:lpwstr>
  </property>
  <property fmtid="{D5CDD505-2E9C-101B-9397-08002B2CF9AE}" pid="289" name="TTBMVN.PricePortfolio.Part.2085eafdf4d44f8ca032fb82bdb7f20c.0102">
    <vt:lpwstr>ZHaHA0YnEvZENCaTRidUxJR3podXJkdUlIUERvblVnTm0wZ0xTQXhNbTA9CmVudHJ5LjE0LnVuaXQ9YzJocFpuUT0KZW50cnkuMTQuYmFzZVByaWNlPTExMTI5MTQKZW50cnkuMTQuc291cmNlRGF0ZT0yMDI2LTA4LTAzCmVudHJ5LjE0LnNvdXJjZUtpbmQ9MgplbnRyeS4xNC5zb3VyY2VSZWZlcmVuY2U9VjI5eWEySn</vt:lpwstr>
  </property>
  <property fmtid="{D5CDD505-2E9C-101B-9397-08002B2CF9AE}" pid="290" name="TTBMVN.PricePortfolio.Part.2085eafdf4d44f8ca032fb82bdb7f20c.0103">
    <vt:lpwstr>ZiMnM2VTJobFpYUXlNQ0ZHTnpJPQplbnRyeS4xNC5sZWdhY3lMb29rdXBOYW1lPVZHaHA0YnEvZENCaTRidUxJR3podXJkdUlIUERvblVnTm0wZ0xTQXhNbTA9CmVudHJ5LjE0LmFsaWFzQ291bnQ9MgplbnRyeS4xNC5hbGlhcy4wPVRUQXhNQzR3TXpFPQplbnRyeS4xNC5hbGlhcy4xPVRUQXhNUzR3TXpFPQplbnRyeS</vt:lpwstr>
  </property>
  <property fmtid="{D5CDD505-2E9C-101B-9397-08002B2CF9AE}" pid="291" name="TTBMVN.PricePortfolio.Part.2085eafdf4d44f8ca032fb82bdb7f20c.0104">
    <vt:lpwstr>4xNS5jb2RlPVRVRlVMVUZPUTBoUFVpMHlNRXRICmVudHJ5LjE1LmtpbmQ9MQplbnRyeS4xNS5uYW1lPVRlRzdqeUJ1Wlc4Z2JHL2h1cUZwSURJd0lHdG4KZW50cnkuMTUudW5pdD1aV0ZqYUE9PQplbnRyeS4xNS5iYXNlUHJpY2U9MjAwMDAwCmVudHJ5LjE1LnNvdXJjZURhdGU9MjAyNi0wOC0wMwplbnRyeS4xNS5zb3</vt:lpwstr>
  </property>
  <property fmtid="{D5CDD505-2E9C-101B-9397-08002B2CF9AE}" pid="292" name="TTBMVN.PricePortfolio.Part.2085eafdf4d44f8ca032fb82bdb7f20c.0105">
    <vt:lpwstr>VyY2VLaW5kPTIKZW50cnkuMTUuc291cmNlUmVmZXJlbmNlPVYyOXlhMkp2YjJzNlUyaGxaWFF5TUNGR09UTT0KZW50cnkuMTUubGVnYWN5TG9va3VwTmFtZT1UZUc3anlCdVpXOGdiRy9odXFGcElESXdJR3RuCmVudHJ5LjE1LmFsaWFzQ291bnQ9MAplbnRyeS4xNi5jb2RlPVRVRlVMVUZPUTBoUFVpMDFNRXRICmVudH</vt:lpwstr>
  </property>
  <property fmtid="{D5CDD505-2E9C-101B-9397-08002B2CF9AE}" pid="293" name="TTBMVN.PricePortfolio.Part.2085eafdf4d44f8ca032fb82bdb7f20c.0106">
    <vt:lpwstr>J5LjE2LmtpbmQ9MQplbnRyeS4xNi5uYW1lPVRlRzdqeUJ1Wlc4Z2JHL2h1cUZwSURVd0lHdG4KZW50cnkuMTYudW5pdD1aV0ZqYUE9PQplbnRyeS4xNi5iYXNlUHJpY2U9NTAwMDAwCmVudHJ5LjE2LnNvdXJjZURhdGU9MjAyNi0wOC0wMwplbnRyeS4xNi5zb3VyY2VLaW5kPTIKZW50cnkuMTYuc291cmNlUmVmZXJlbm</vt:lpwstr>
  </property>
  <property fmtid="{D5CDD505-2E9C-101B-9397-08002B2CF9AE}" pid="294" name="TTBMVN.PricePortfolio.Part.2085eafdf4d44f8ca032fb82bdb7f20c.0107">
    <vt:lpwstr>NlPVYyOXlhMkp2YjJzNlUyaGxaWFF5TUNGR09UST0KZW50cnkuMTYubGVnYWN5TG9va3VwTmFtZT1UZUc3anlCdVpXOGdiRy9odXFGcElEVXdJR3RuCmVudHJ5LjE2LmFsaWFzQ291bnQ9MAplbnRyeS4xNy5jb2RlPVRVRlVMVUpCVFVKUFR5MVFUMHhGCmVudHJ5LjE3LmtpbmQ9MQplbnRyeS4xNy5uYW1lPVU4T2dieU</vt:lpwstr>
  </property>
  <property fmtid="{D5CDD505-2E9C-101B-9397-08002B2CF9AE}" pid="295" name="TTBMVN.PricePortfolio.Part.2085eafdf4d44f8ca032fb82bdb7f20c.0108">
    <vt:lpwstr>IwY21VZ1pEMDNMQ0JNUFRVd01DQkRiUT09CmVudHJ5LjE3LnVuaXQ9WldGamFBPT0KZW50cnkuMTcuYmFzZVByaWNlPTEwMDAwCmVudHJ5LjE3LnNvdXJjZURhdGU9MjAyNi0wOC0wMwplbnRyeS4xNy5zb3VyY2VLaW5kPTIKZW50cnkuMTcuc291cmNlUmVmZXJlbmNlPVYyOXlhMkp2YjJzNlUyaGxaWFF5TUNGR09URT</vt:lpwstr>
  </property>
  <property fmtid="{D5CDD505-2E9C-101B-9397-08002B2CF9AE}" pid="296" name="TTBMVN.PricePortfolio.Part.2085eafdf4d44f8ca032fb82bdb7f20c.0109">
    <vt:lpwstr>0KZW50cnkuMTcubGVnYWN5TG9va3VwTmFtZT1VOE9nYnlCMGNtVWdaRDAzTENCTVBUVXdNQ0JEYlE9PQplbnRyeS4xNy5hbGlhc0NvdW50PTAKZW50cnkuMTguY29kZT1UVUZVTFVKQlRVSlBUeTFUVkVGTFJRPT0KZW50cnkuMTgua2luZD0xCmVudHJ5LjE4Lm5hbWU9UStHN2pXTWdkSEpsSUdROU9Dd2dURDB5TURBZ1</vt:lpwstr>
  </property>
  <property fmtid="{D5CDD505-2E9C-101B-9397-08002B2CF9AE}" pid="297" name="TTBMVN.PricePortfolio.Part.2085eafdf4d44f8ca032fb82bdb7f20c.0110">
    <vt:lpwstr>EyMD0KZW50cnkuMTgudW5pdD1aV0ZqYUE9PQplbnRyeS4xOC5iYXNlUHJpY2U9MTAwMDAKZW50cnkuMTguc291cmNlRGF0ZT0yMDI2LTA4LTAzCmVudHJ5LjE4LnNvdXJjZUtpbmQ9MgplbnRyeS4xOC5zb3VyY2VSZWZlcmVuY2U9VjI5eWEySnZiMnM2VTJobFpYUXlNQ0ZHT0RZPQplbnRyeS4xOC5sZWdhY3lMb29rdX</vt:lpwstr>
  </property>
  <property fmtid="{D5CDD505-2E9C-101B-9397-08002B2CF9AE}" pid="298" name="TTBMVN.PricePortfolio.Part.2085eafdf4d44f8ca032fb82bdb7f20c.0111">
    <vt:lpwstr>BOYW1lPVErRzdqV01nZEhKbElHUTlPQ3dnVEQweU1EQWdRMjA9CmVudHJ5LjE4LmFsaWFzQ291bnQ9MAplbnRyeS4xOS5jb2RlPVRVRlVMVU5QVGtOU1JWUkZMVk5VUVV0RgplbnRyeS4xOS5raW5kPTEKZW50cnkuMTkubmFtZT1RK0c3aldNZ1lzT3FJSFREdEc1bklHUGh1NUYwSUhSb3c2bHdJQ2d4TW5neE1uZ3hNak</vt:lpwstr>
  </property>
  <property fmtid="{D5CDD505-2E9C-101B-9397-08002B2CF9AE}" pid="299" name="TTBMVN.PricePortfolio.Part.2085eafdf4d44f8ca032fb82bdb7f20c.0112">
    <vt:lpwstr>FwWTIwPQplbnRyeS4xOS51bml0PVpXRmphQT09CmVudHJ5LjE5LmJhc2VQcmljZT0xMDAwMDAKZW50cnkuMTkuc291cmNlRGF0ZT0yMDI2LTA4LTAzCmVudHJ5LjE5LnNvdXJjZUtpbmQ9MgplbnRyeS4xOS5zb3VyY2VSZWZlcmVuY2U9VjI5eWEySnZiMnM2VTJobFpYUXlNQ0ZHT0RFPQplbnRyeS4xOS5sZWdhY3lMb2</vt:lpwstr>
  </property>
  <property fmtid="{D5CDD505-2E9C-101B-9397-08002B2CF9AE}" pid="300" name="TTBMVN.PricePortfolio.Part.2085eafdf4d44f8ca032fb82bdb7f20c.0113">
    <vt:lpwstr>9rdXBOYW1lPVErRzdqV01nWXNPcUlIVER0RzVuSUdQaHU1RjBJSFJvdzZsd0lDZ3hNbmd4TW5neE1qQXBZMjA9CmVudHJ5LjE5LmFsaWFzQ291bnQ9MAplbnRyeS4yMC5jb2RlPVRVRlVMVXhCVWtkRkxVWk1UMEZVCmVudHJ5LjIwLmtpbmQ9MQplbnRyeS4yMC5uYW1lPVVHaGhieUJzNGJ1YmJpQXhiVE09CmVudHJ5Lj</vt:lpwstr>
  </property>
  <property fmtid="{D5CDD505-2E9C-101B-9397-08002B2CF9AE}" pid="301" name="TTBMVN.PricePortfolio.Part.2085eafdf4d44f8ca032fb82bdb7f20c.0114">
    <vt:lpwstr>IwLnVuaXQ9WldGamFBPT0KZW50cnkuMjAuYmFzZVByaWNlPTEwMDAwMAplbnRyeS4yMC5zb3VyY2VEYXRlPTIwMjYtMDgtMDMKZW50cnkuMjAuc291cmNlS2luZD0yCmVudHJ5LjIwLnNvdXJjZVJlZmVyZW5jZT1WMjl5YTJKdmIyczZVMmhsWlhReU1DRkdPVFU9CmVudHJ5LjIwLmxlZ2FjeUxvb2t1cE5hbWU9VUdoaG</vt:lpwstr>
  </property>
  <property fmtid="{D5CDD505-2E9C-101B-9397-08002B2CF9AE}" pid="302" name="TTBMVN.PricePortfolio.Part.2085eafdf4d44f8ca032fb82bdb7f20c.0115">
    <vt:lpwstr>J5QnM0YnViYmlBeGJUTT0KZW50cnkuMjAuYWxpYXNDb3VudD0wCmVudHJ5LjIxLmNvZGU9VFVGVUxVNUJTVXd0TVRCRFRRPT0KZW50cnkuMjEua2luZD0xCmVudHJ5LjIxLm5hbWU9eEpCcGJtZ2dNVEFnWTIwPQplbnRyeS4yMS51bml0PWEyYz0KZW50cnkuMjEuYmFzZVByaWNlPTIzMTAwCmVudHJ5LjIxLnNvdXJjZU</vt:lpwstr>
  </property>
  <property fmtid="{D5CDD505-2E9C-101B-9397-08002B2CF9AE}" pid="303" name="TTBMVN.PricePortfolio.Part.2085eafdf4d44f8ca032fb82bdb7f20c.0116">
    <vt:lpwstr>RhdGU9MjAyNi0wOC0wMwplbnRyeS4yMS5zb3VyY2VLaW5kPTIKZW50cnkuMjEuc291cmNlUmVmZXJlbmNlPVYyOXlhMkp2YjJzNlUyaGxaWFF5TUNGR09EZz0KZW50cnkuMjEubGVnYWN5TG9va3VwTmFtZT14SkJwYm1nZ01UQWdZMjA9CmVudHJ5LjIxLmFsaWFzQ291bnQ9MAplbnRyeS4yMi5jb2RlPVRVRlVMVkJNUV</vt:lpwstr>
  </property>
  <property fmtid="{D5CDD505-2E9C-101B-9397-08002B2CF9AE}" pid="304" name="TTBMVN.PricePortfolio.Part.2085eafdf4d44f8ca032fb82bdb7f20c.0117">
    <vt:lpwstr>ZOVVNVTXRSa3hQUVZRPQplbnRyeS4yMi5raW5kPTEKZW50cnkuMjIubmFtZT1VR2hoYnlCdWFPRzdzV0VnZEhMRHNtNGdjR2hwSURNd0lHTnQKZW50cnkuMjIudW5pdD1aV0ZqYUE9PQplbnRyeS4yMi5iYXNlUHJpY2U9NTAwMDAKZW50cnkuMjIuc291cmNlRGF0ZT0yMDI2LTA4LTAzCmVudHJ5LjIyLnNvdXJjZUtpbm</vt:lpwstr>
  </property>
  <property fmtid="{D5CDD505-2E9C-101B-9397-08002B2CF9AE}" pid="305" name="TTBMVN.PricePortfolio.Part.2085eafdf4d44f8ca032fb82bdb7f20c.0118">
    <vt:lpwstr>Q9MgplbnRyeS4yMi5zb3VyY2VSZWZlcmVuY2U9VjI5eWEySnZiMnM2VTJobFpYUXlNQ0ZHT1RZPQplbnRyeS4yMi5sZWdhY3lMb29rdXBOYW1lPVVHaGhieUJ1YU9HN3NXRWdkSExEc200Z2NHaHBJRE13SUdOdAplbnRyeS4yMi5hbGlhc0NvdW50PTAKZW50cnkuMjMuY29kZT1UVUZVTFZKRlJDMUdURUZICmVudHJ5Lj</vt:lpwstr>
  </property>
  <property fmtid="{D5CDD505-2E9C-101B-9397-08002B2CF9AE}" pid="306" name="TTBMVN.PricePortfolio.Part.2085eafdf4d44f8ca032fb82bdb7f20c.0119">
    <vt:lpwstr>IzLmtpbmQ9MQplbnRyeS4yMy5uYW1lPVErRzduU0RFa2VHN2p5REVrWFhEdEdrZ2JtaGxidz09CmVudHJ5LjIzLnVuaXQ9WldGamFBPT0KZW50cnkuMjMuYmFzZVByaWNlPTI1MDAKZW50cnkuMjMuc291cmNlRGF0ZT0yMDI2LTA4LTAzCmVudHJ5LjIzLnNvdXJjZUtpbmQ9MgplbnRyeS4yMy5zb3VyY2VSZWZlcmVuY2</vt:lpwstr>
  </property>
  <property fmtid="{D5CDD505-2E9C-101B-9397-08002B2CF9AE}" pid="307" name="TTBMVN.PricePortfolio.Part.2085eafdf4d44f8ca032fb82bdb7f20c.0120">
    <vt:lpwstr>U9VjI5eWEySnZiMnM2VTJobFpYUXlNQ0ZHT0RNPQplbnRyeS4yMy5sZWdhY3lMb29rdXBOYW1lPVErRzduU0RFa2VHN2p5REVrWFhEdEdrZ2JtaGxidz09CmVudHJ5LjIzLmFsaWFzQ291bnQ9MAplbnRyeS4yNC5jb2RlPVRVRlVMVkpGUkMxR1RFRkhMVXhCVWtkRgplbnRyeS4yNC5raW5kPTEKZW50cnkuMjQubmFtZT</vt:lpwstr>
  </property>
  <property fmtid="{D5CDD505-2E9C-101B-9397-08002B2CF9AE}" pid="308" name="TTBMVN.PricePortfolio.Part.2085eafdf4d44f8ca032fb82bdb7f20c.0121">
    <vt:lpwstr>1RK0c3blNERWtlRzdqeUIwYnlBb0lEUXdJSGdnTmpBZ0tTQmpiUT09CmVudHJ5LjI0LnVuaXQ9WldGamFBPT0KZW50cnkuMjQuYmFzZVByaWNlPTEwMDAwCmVudHJ5LjI0LnNvdXJjZURhdGU9MjAyNi0wOC0wMwplbnRyeS4yNC5zb3VyY2VLaW5kPTIKZW50cnkuMjQuc291cmNlUmVmZXJlbmNlPVYyOXlhMkp2YjJzNl</vt:lpwstr>
  </property>
  <property fmtid="{D5CDD505-2E9C-101B-9397-08002B2CF9AE}" pid="309" name="TTBMVN.PricePortfolio.Part.2085eafdf4d44f8ca032fb82bdb7f20c.0122">
    <vt:lpwstr>UyaGxaWFF5TUNGR09EUT0KZW50cnkuMjQubGVnYWN5TG9va3VwTmFtZT1RK0c3blNERWtlRzdqeUIwYnlBb0lEUXdJSGdnTmpBZ0tTQmpiUT09CmVudHJ5LjI0LmFsaWFzQ291bnQ9MAplbnRyeS4yNS5jb2RlPVRVRlVMVkpQVUVVdE1UQk5UUT09CmVudHJ5LjI1LmtpbmQ9MQplbnRyeS4yNS5uYW1lPVJNT2llU0IwYU</vt:lpwstr>
  </property>
  <property fmtid="{D5CDD505-2E9C-101B-9397-08002B2CF9AE}" pid="310" name="TTBMVN.PricePortfolio.Part.2085eafdf4d44f8ca032fb82bdb7f20c.0123">
    <vt:lpwstr>9HN3EyNW5JREV3SUcxdAplbnRyeS4yNS51bml0PWJRPT0KZW50cnkuMjUuYmFzZVByaWNlPTIwMDAKZW50cnkuMjUuc291cmNlRGF0ZT0yMDI2LTA4LTAzCmVudHJ5LjI1LnNvdXJjZUtpbmQ9MgplbnRyeS4yNS5zb3VyY2VSZWZlcmVuY2U9VjI5eWEySnZiMnM2VTJobFpYUXlNQ0ZHT0RVPQplbnRyeS4yNS5sZWdhY3</vt:lpwstr>
  </property>
  <property fmtid="{D5CDD505-2E9C-101B-9397-08002B2CF9AE}" pid="311" name="TTBMVN.PricePortfolio.Part.2085eafdf4d44f8ca032fb82bdb7f20c.0124">
    <vt:lpwstr>lMb29rdXBOYW1lPVJNT2llU0IwYU9HN3EyNW5JREV3SUcxdAplbnRyeS4yNS5hbGlhc0NvdW50PTAKZW50cnkuMjYuY29kZT1UVUZVTFZKUFVFVXRNVEpOVFE9PQplbnRyeS4yNi5raW5kPTEKZW50cnkuMjYubmFtZT1STU9pZVNCT2FXeHZiaUJ3YUdrZ01USnRiUT09CmVudHJ5LjI2LnVuaXQ9YlE9PQplbnRyeS4yNi</vt:lpwstr>
  </property>
  <property fmtid="{D5CDD505-2E9C-101B-9397-08002B2CF9AE}" pid="312" name="TTBMVN.PricePortfolio.Part.2085eafdf4d44f8ca032fb82bdb7f20c.0125">
    <vt:lpwstr>5iYXNlUHJpY2U9MjUwMAplbnRyeS4yNi5zb3VyY2VEYXRlPTIwMjYtMDgtMDMKZW50cnkuMjYuc291cmNlS2luZD0yCmVudHJ5LjI2LnNvdXJjZVJlZmVyZW5jZT1WMjl5YTJKdmIyczZVMmhsWlhReU1DRkdPVGs9CmVudHJ5LjI2LmxlZ2FjeUxvb2t1cE5hbWU9Uk1PaWVTQk9hV3h2YmlCd2FHa2dNVEp0YlE9PQplbn</vt:lpwstr>
  </property>
  <property fmtid="{D5CDD505-2E9C-101B-9397-08002B2CF9AE}" pid="313" name="TTBMVN.PricePortfolio.Part.2085eafdf4d44f8ca032fb82bdb7f20c.0126">
    <vt:lpwstr>RyeS4yNi5hbGlhc0NvdW50PTAKZW50cnkuMjcuY29kZT1UVUZVTFZKUFVFVXRNVGhOVFE9PQplbnRyeS4yNy5raW5kPTEKZW50cnkuMjcubmFtZT1STU9pZVNCT2FXeHZiaUJ3YUdrZ01UaHRiUT09CmVudHJ5LjI3LnVuaXQ9YlE9PQplbnRyeS4yNy5iYXNlUHJpY2U9MzAwMAplbnRyeS4yNy5zb3VyY2VEYXRlPTIwMj</vt:lpwstr>
  </property>
  <property fmtid="{D5CDD505-2E9C-101B-9397-08002B2CF9AE}" pid="314" name="TTBMVN.PricePortfolio.Part.2085eafdf4d44f8ca032fb82bdb7f20c.0127">
    <vt:lpwstr>YtMDgtMDMKZW50cnkuMjcuc291cmNlS2luZD0yCmVudHJ5LjI3LnNvdXJjZVJlZmVyZW5jZT1WMjl5YTJKdmIyczZVMmhsWlhReU1DRkdNVEF3CmVudHJ5LjI3LmxlZ2FjeUxvb2t1cE5hbWU9Uk1PaWVTQk9hV3h2YmlCd2FHa2dNVGh0YlE9PQplbnRyeS4yNy5hbGlhc0NvdW50PTAKZW50cnkuMjguY29kZT1UVUZVTF</vt:lpwstr>
  </property>
  <property fmtid="{D5CDD505-2E9C-101B-9397-08002B2CF9AE}" pid="315" name="TTBMVN.PricePortfolio.Part.2085eafdf4d44f8ca032fb82bdb7f20c.0128">
    <vt:lpwstr>ZOTlFVeE1MVVpNVDBGVQplbnRyeS4yOC5raW5kPTEKZW50cnkuMjgubmFtZT1VR2hoYnlCdWFPRzdqeUJ3YUdrZ01USWdZMjA9CmVudHJ5LjI4LnVuaXQ9WldGamFBPT0KZW50cnkuMjguYmFzZVByaWNlPTEwMDAwCmVudHJ5LjI4LnNvdXJjZURhdGU9MjAyNi0wOC0wMwplbnRyeS4yOC5zb3VyY2VLaW5kPTIKZW50cn</vt:lpwstr>
  </property>
  <property fmtid="{D5CDD505-2E9C-101B-9397-08002B2CF9AE}" pid="316" name="TTBMVN.PricePortfolio.Part.2085eafdf4d44f8ca032fb82bdb7f20c.0129">
    <vt:lpwstr>kuMjguc291cmNlUmVmZXJlbmNlPVYyOXlhMkp2YjJzNlUyaGxaWFF5TUNGR09UYz0KZW50cnkuMjgubGVnYWN5TG9va3VwTmFtZT1VR2hoYnlCdWFPRzdqeUJ3YUdrZ01USWdZMjA9CmVudHJ5LjI4LmFsaWFzQ291bnQ9MAplbnRyeS4yOS5jb2RlPVRVRlVMVk5RUlVOSlFVd3RRVTVEU0U5UwplbnRyeS4yOS5raW5kPT</vt:lpwstr>
  </property>
  <property fmtid="{D5CDD505-2E9C-101B-9397-08002B2CF9AE}" pid="317" name="TTBMVN.PricePortfolio.Part.2085eafdf4d44f8ca032fb82bdb7f20c.0130">
    <vt:lpwstr>EKZW50cnkuMjkubmFtZT1UZUc3anlCdVpXOGd4SkhodXJkaklHSnA0YnVIZENCc2IrRzZvV2tnTWpCclp3PT0KZW50cnkuMjkudW5pdD1aV0ZqYUE9PQplbnRyeS4yOS5iYXNlUHJpY2U9MzAwMDAwCmVudHJ5LjI5LnNvdXJjZURhdGU9MjAyNi0wOC0wMwplbnRyeS4yOS5zb3VyY2VLaW5kPTIKZW50cnkuMjkuc291cm</vt:lpwstr>
  </property>
  <property fmtid="{D5CDD505-2E9C-101B-9397-08002B2CF9AE}" pid="318" name="TTBMVN.PricePortfolio.Part.2085eafdf4d44f8ca032fb82bdb7f20c.0131">
    <vt:lpwstr>NlUmVmZXJlbmNlPVYyOXlhMkp2YjJzNlUyaGxaWFF5TUNGR09UUT0KZW50cnkuMjkubGVnYWN5TG9va3VwTmFtZT1UZUc3anlCdVpXOGd4SkhodXJkaklHSnA0YnVIZENCc2IrRzZvV2tnTWpCclp3PT0KZW50cnkuMjkuYWxpYXNDb3VudD0wCmVudHJ5LjMwLmNvZGU9VFVGVUxWTlVSVVZNTFVWWVEwRldRVlJKVDA0dF</vt:lpwstr>
  </property>
  <property fmtid="{D5CDD505-2E9C-101B-9397-08002B2CF9AE}" pid="319" name="TTBMVN.PricePortfolio.Part.2085eafdf4d44f8ca032fb82bdb7f20c.0132">
    <vt:lpwstr>JsSkJUVVU9CmVudHJ5LjMwLmtpbmQ9MQplbnRyeS4zMC5uYW1lPVMyaDFibWNnWjJsaElHUER0RzVuSUdMaHVyRnVaeUIwdzdSdUlETnRiU0IydzZBZ2MrRzZyM1FnWjhPell5QW9ORFY0TkRVcGJXMD0KZW50cnkuMzAudW5pdD1hMmM9CmVudHJ5LjMwLmJhc2VQcmljZT0yMjAwMAplbnRyeS4zMC5zb3VyY2VEYXRlPT</vt:lpwstr>
  </property>
  <property fmtid="{D5CDD505-2E9C-101B-9397-08002B2CF9AE}" pid="320" name="TTBMVN.PricePortfolio.Part.2085eafdf4d44f8ca032fb82bdb7f20c.0133">
    <vt:lpwstr>IwMjYtMDgtMDMKZW50cnkuMzAuc291cmNlS2luZD0yCmVudHJ5LjMwLnNvdXJjZVJlZmVyZW5jZT1WMjl5YTJKdmIyczZVMmhsWlhReU1DRkdNVEF4CmVudHJ5LjMwLmxlZ2FjeUxvb2t1cE5hbWU9UzJoMWJtY2daMmxoSUdQRHRHNW5JR0xodXJGdVp5QjB3N1J1SUROdGJTQjJ3NkFnYytHNnIzUWdaOE96WXlBb05EVj</vt:lpwstr>
  </property>
  <property fmtid="{D5CDD505-2E9C-101B-9397-08002B2CF9AE}" pid="321" name="TTBMVN.PricePortfolio.Part.2085eafdf4d44f8ca032fb82bdb7f20c.0134">
    <vt:lpwstr>RORFVwYlcwPQplbnRyeS4zMC5hbGlhc0NvdW50PTAKZW50cnkuMzEuY29kZT1UVUZVTFZkSlVrVXRNazFOCmVudHJ5LjMxLmtpbmQ9MQplbnRyeS4zMS5uYW1lPVJNT2llU0IwYU1PcGNDQmlkZUc3bVdNZ01pQnNlUT09CmVudHJ5LjMxLnVuaXQ9YTJjPQplbnRyeS4zMS5iYXNlUHJpY2U9MTg1MDAKZW50cnkuMzEuc2</vt:lpwstr>
  </property>
  <property fmtid="{D5CDD505-2E9C-101B-9397-08002B2CF9AE}" pid="322" name="TTBMVN.PricePortfolio.Part.2085eafdf4d44f8ca032fb82bdb7f20c.0135">
    <vt:lpwstr>91cmNlRGF0ZT0yMDI2LTA4LTAzCmVudHJ5LjMxLnNvdXJjZUtpbmQ9MgplbnRyeS4zMS5zb3VyY2VSZWZlcmVuY2U9VjI5eWEySnZiMnM2VTJobFpYUXlNQ0ZHT1RBPQplbnRyeS4zMS5sZWdhY3lMb29rdXBOYW1lPVJNT2llU0IwYU1PcGNDQmlkZUc3bVdNZ01pQnNlUT09CmVudHJ5LjMxLmFsaWFzQ291bnQ9MAplbn</vt:lpwstr>
  </property>
  <property fmtid="{D5CDD505-2E9C-101B-9397-08002B2CF9AE}" pid="323" name="TTBMVN.PricePortfolio.Part.2085eafdf4d44f8ca032fb82bdb7f20c.0136">
    <vt:lpwstr>RyeS4zMi5jb2RlPVRVRlVMVmRQVDBRdFFrOUJVa1E9CmVudHJ5LjMyLmtpbmQ9MQplbnRyeS4zMi5uYW1lPVZzT2hiaUJuNGJ1WElHVERvSGtnTXlCRGJRPT0KZW50cnkuMzIudW5pdD1iVE09CmVudHJ5LjMyLmJhc2VQcmljZT0zMzYzNjM2CmVudHJ5LjMyLnNvdXJjZURhdGU9MjAyNi0wOC0wMwplbnRyeS4zMi5zb3</vt:lpwstr>
  </property>
  <property fmtid="{D5CDD505-2E9C-101B-9397-08002B2CF9AE}" pid="324" name="TTBMVN.PricePortfolio.Part.2085eafdf4d44f8ca032fb82bdb7f20c.0137">
    <vt:lpwstr>VyY2VLaW5kPTIKZW50cnkuMzIuc291cmNlUmVmZXJlbmNlPVYyOXlhMkp2YjJzNlUyaGxaWFF5TUNGR09EYz0KZW50cnkuMzIubGVnYWN5TG9va3VwTmFtZT1Wc09oYmlCbjRidVhJR1REb0hrZ015QkRiUT09CmVudHJ5LjMyLmFsaWFzQ291bnQ9MAplbnRyeS4zMy5jb2RlPVRVRlVMVmRQVDBRdFUxUkJTMFU9CmVudH</vt:lpwstr>
  </property>
  <property fmtid="{D5CDD505-2E9C-101B-9397-08002B2CF9AE}" pid="325" name="TTBMVN.PricePortfolio.Part.2085eafdf4d44f8ca032fb82bdb7f20c.0138">
    <vt:lpwstr>J5LjMzLmtpbmQ9MQplbnRyeS4zMy5uYW1lPVErRzdqV01nWitHN2x5QmtJRDBnTTJOdExDQk1QU0ExTUNCamJRPT0KZW50cnkuMzMudW5pdD1aV0ZqYUE9PQplbnRyeS4zMy5iYXNlUHJpY2U9ODAwMAplbnRyeS4zMy5zb3VyY2VEYXRlPTIwMjYtMDgtMDMKZW50cnkuMzMuc291cmNlS2luZD0yCmVudHJ5LjMzLnNvdX</vt:lpwstr>
  </property>
  <property fmtid="{D5CDD505-2E9C-101B-9397-08002B2CF9AE}" pid="326" name="TTBMVN.PricePortfolio.Part.2085eafdf4d44f8ca032fb82bdb7f20c.0139">
    <vt:lpwstr>JjZVJlZmVyZW5jZT1WMjl5YTJKdmIyczZVMmhsWlhReU1DRkdPREk9CmVudHJ5LjMzLmxlZ2FjeUxvb2t1cE5hbWU9UStHN2pXTWdaK0c3bHlCa0lEMGdNMk50TENCTVBTQTFNQ0JqYlE9PQplbnRyeS4zMy5hbGlhc0NvdW50PTAKb3ZlcnJpZGVDb3VudD0wCmNoZWNrc3VtPTgzNDU2NjE3OTZCNTFDQzQ4QTZFNDgyMT</vt:lpwstr>
  </property>
  <property fmtid="{D5CDD505-2E9C-101B-9397-08002B2CF9AE}" pid="327" name="TTBMVN.PricePortfolio.Part.2085eafdf4d44f8ca032fb82bdb7f20c.0140">
    <vt:lpwstr>AxNUVDQTAzRjMwMUZBQTJENEUzMTY4QzVBRDM0QzAxMDgxMDBDODc=
checksum=713962A0156E9E3A62419A05CF87161DD058BFF19AD6211AC18ECFFDBB4B1B40</vt:lpwstr>
  </property>
  <property fmtid="{D5CDD505-2E9C-101B-9397-08002B2CF9AE}" pid="328" name="TTBMVN.PricePortfolio.Manifest">
    <vt:lpwstr>1|2085eafdf4d44f8ca032fb82bdb7f20c|141|659E1F48F03E2D8CC6D6BA437AD97A33E10A3A4759DB6FA13333200095CDB467</vt:lpwstr>
  </property>
  <property fmtid="{D5CDD505-2E9C-101B-9397-08002B2CF9AE}" pid="329" name="TTBMVN.EstimateWorkspace.Part.ad24c255a02549ec94502e1f74202910.0000">
    <vt:lpwstr>TTBMVN_ESTIMATE_WORKSPACE
schema=1
updatedAt=2026-08-04T03:24:47.7988225Z
sheetCodeName=UExEVC1URVNULTcwMQ==
sheetName=UExEVCBUZXN0IDcwMQ==
address=JEEkMTokSyQ3
firstRow=2
lastRow=7
columns=1,2,3,4,0,5,6,7,8,9,10
rowCount=6
row.0.id=cjE=
ro</vt:lpwstr>
  </property>
  <property fmtid="{D5CDD505-2E9C-101B-9397-08002B2CF9AE}" pid="330" name="TTBMVN.EstimateWorkspace.Part.ad24c255a02549ec94502e1f74202910.0001">
    <vt:lpwstr>w.0.binding=VFRCTVZOX1BMRFRfcjE=
row.0.sourceRow=2
row.0.code=Q1QuMDE=
row.0.description=RG8gdGltIG1hdCBkbyAxIC0gZG9hbiBB
row.0.unit=aGE=
row.0.quantityFormula=MTA=
row.0.quantity=10
row.0.acceptedFormula=
row.0.accepted=0
row.0.environment</vt:lpwstr>
  </property>
  <property fmtid="{D5CDD505-2E9C-101B-9397-08002B2CF9AE}" pid="331" name="TTBMVN.EstimateWorkspace.Part.ad24c255a02549ec94502e1f74202910.0002">
    <vt:lpwstr>=1
row.0.audience=2
row.0.norm=Tk9STS0wMjAuMDIwMA==
row.0.variant=ZGVuc2l0eS0x
row.0.conditions=
row.0.bindingCount=0
row.1.id=cjI=
row.1.binding=VFRCTVZOX1BMRFRfcjI=
row.1.sourceRow=3
row.1.code=Q1QuMDI=
row.1.description=RG8gdGltIG1hdCBkb</vt:lpwstr>
  </property>
  <property fmtid="{D5CDD505-2E9C-101B-9397-08002B2CF9AE}" pid="332" name="TTBMVN.EstimateWorkspace.Part.ad24c255a02549ec94502e1f74202910.0003">
    <vt:lpwstr>yAxIC0gZG9hbiBC
row.1.unit=aGE=
row.1.quantityFormula=MjA=
row.1.quantity=20
row.1.acceptedFormula=
row.1.accepted=0
row.1.environment=1
row.1.audience=2
row.1.norm=Tk9STS0wMjAuMDIwMA==
row.1.variant=ZGVuc2l0eS0x
row.1.conditions=
row.1.bin</vt:lpwstr>
  </property>
  <property fmtid="{D5CDD505-2E9C-101B-9397-08002B2CF9AE}" pid="333" name="TTBMVN.EstimateWorkspace.Part.ad24c255a02549ec94502e1f74202910.0004">
    <vt:lpwstr>dingCount=0
row.2.id=cjM=
row.2.binding=VFRCTVZOX1BMRFRfcjM=
row.2.sourceRow=4
row.2.code=Q1QuMDM=
row.2.description=RG8gdGltIG1hdCBkbyAy
row.2.unit=aGE=
row.2.quantityFormula=MzA=
row.2.quantity=30
row.2.acceptedFormula=
row.2.accepted=0
r</vt:lpwstr>
  </property>
  <property fmtid="{D5CDD505-2E9C-101B-9397-08002B2CF9AE}" pid="334" name="TTBMVN.EstimateWorkspace.Part.ad24c255a02549ec94502e1f74202910.0005">
    <vt:lpwstr>ow.2.environment=1
row.2.audience=2
row.2.norm=Tk9STS0wMjAuMDIwMA==
row.2.variant=ZGVuc2l0eS0y
row.2.conditions=
row.2.bindingCount=0
row.3.id=cjQ=
row.3.binding=VFRCTVZOX1BMRFRfcjQ=
row.3.sourceRow=5
row.3.code=
row.3.description=S0hVIFZVQ</vt:lpwstr>
  </property>
  <property fmtid="{D5CDD505-2E9C-101B-9397-08002B2CF9AE}" pid="335" name="TTBMVN.EstimateWorkspace.Part.ad24c255a02549ec94502e1f74202910.0006">
    <vt:lpwstr>yBEVU9JIE5VT0M=
row.3.unit=
row.3.quantityFormula=MA==
row.3.quantity=0
row.3.acceptedFormula=
row.3.accepted=0
row.3.environment=2
row.3.audience=2
row.3.norm=
row.3.variant=
row.3.conditions=
row.3.bindingCount=0
row.4.id=cjU=
row.4.bindi</vt:lpwstr>
  </property>
  <property fmtid="{D5CDD505-2E9C-101B-9397-08002B2CF9AE}" pid="336" name="TTBMVN.EstimateWorkspace.Part.ad24c255a02549ec94502e1f74202910.0007">
    <vt:lpwstr>ng=VFRCTVZOX1BMRFRfcjU=
row.4.sourceRow=6
row.4.code=Q1QuMDQ=
row.4.description=RG8gdGltIG1hdCBkbyAxIC0gSExOUw==
row.4.unit=aGE=
row.4.quantityFormula=NDA=
row.4.quantity=40
row.4.acceptedFormula=
row.4.accepted=0
row.4.environment=1
row.4.</vt:lpwstr>
  </property>
  <property fmtid="{D5CDD505-2E9C-101B-9397-08002B2CF9AE}" pid="337" name="TTBMVN.EstimateWorkspace.Part.ad24c255a02549ec94502e1f74202910.0008">
    <vt:lpwstr>audience=1
row.4.norm=Tk9STS0wMjAuMDIwMA==
row.4.variant=ZGVuc2l0eS0x
row.4.conditions=
row.4.bindingCount=0
row.5.id=cjY=
row.5.binding=VFRCTVZOX1BMRFRfcjY=
row.5.sourceRow=7
row.5.code=Q1QuMDU=
row.5.description=RG8gdGltIGR1b2kgbnVvYw==
r</vt:lpwstr>
  </property>
  <property fmtid="{D5CDD505-2E9C-101B-9397-08002B2CF9AE}" pid="338" name="TTBMVN.EstimateWorkspace.Part.ad24c255a02549ec94502e1f74202910.0009">
    <vt:lpwstr>ow.5.unit=aGE=
row.5.quantityFormula=NTA=
row.5.quantity=50
row.5.acceptedFormula=
row.5.accepted=0
row.5.environment=2
row.5.audience=2
row.5.norm=Tk9STS0wMzAuMDQwMA==
row.5.variant=d2F0ZXItMC41LTEy
row.5.conditions=
row.5.bindingCount=1
r</vt:lpwstr>
  </property>
  <property fmtid="{D5CDD505-2E9C-101B-9397-08002B2CF9AE}" pid="339" name="TTBMVN.EstimateWorkspace.Part.ad24c255a02549ec94502e1f74202910.0010">
    <vt:lpwstr>ow.5.binding.0.resource=TTAxMC5ESVZJTkc=
row.5.binding.0.price=TUFDSElORS1NMDEwLjAyOQ==
row.5.binding.0.reason=VGhpZXQgYmkgbGFuIDAsNS0zbSB0aGVvIGJpZW4gcGhhcCBkdW9jIGR1eWV0
checksum=0EE23015FCB39631BB42215A71204543D0D567B37F81C23241D149ED43E</vt:lpwstr>
  </property>
  <property fmtid="{D5CDD505-2E9C-101B-9397-08002B2CF9AE}" pid="340" name="TTBMVN.EstimateWorkspace.Part.ad24c255a02549ec94502e1f74202910.0011">
    <vt:lpwstr>4549C</vt:lpwstr>
  </property>
  <property fmtid="{D5CDD505-2E9C-101B-9397-08002B2CF9AE}" pid="341" name="TTBMVN.EstimateWorkspace.Manifest">
    <vt:lpwstr>1|ad24c255a02549ec94502e1f74202910|12|1B386E8475EF95021E7D17771B6554122444100C6C526150616D082487DB3787</vt:lpwstr>
  </property>
</Properties>
</file>