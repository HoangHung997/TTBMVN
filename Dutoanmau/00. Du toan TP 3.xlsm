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1.xml" ContentType="application/vnd.openxmlformats-officedocument.spreadsheetml.comment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omments2.xml" ContentType="application/vnd.openxmlformats-officedocument.spreadsheetml.comments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13_ncr:1_{DA990981-1A47-4D38-9EE4-812278D2FE56}" xr6:coauthVersionLast="47" xr6:coauthVersionMax="47" xr10:uidLastSave="{00000000-0000-0000-0000-000000000000}"/>
  <bookViews>
    <workbookView xWindow="-108" yWindow="-108" windowWidth="23256" windowHeight="12456" tabRatio="771" firstSheet="1" activeTab="1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  <sheet name="VL-NC-M - KHLNS" sheetId="233" r:id="rId17"/>
    <sheet name="ĐG Cạn - KHLNS" sheetId="234" r:id="rId18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TC'!$A$1:$L$27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MVN_DG03837B4BF438189A_M" hidden="1">'ĐG Cạn - KHLNS'!$G$23</definedName>
    <definedName name="TTBMVN_DG03837B4BF438189A_NC" hidden="1">'ĐG Cạn - KHLNS'!$G$22</definedName>
    <definedName name="TTBMVN_DG03837B4BF438189A_TONG" hidden="1">'ĐG Cạn - KHLNS'!$G$24</definedName>
    <definedName name="TTBMVN_DG03837B4BF438189A_VL" hidden="1">'ĐG Cạn - KHLNS'!$G$21</definedName>
    <definedName name="TTBMVN_DG204CAB6BD224B3BF_M" hidden="1">'ĐG Cạn - KHLNS'!$G$8</definedName>
    <definedName name="TTBMVN_DG204CAB6BD224B3BF_NC" hidden="1">'ĐG Cạn - KHLNS'!$G$7</definedName>
    <definedName name="TTBMVN_DG204CAB6BD224B3BF_TONG" hidden="1">'ĐG Cạn - KHLNS'!$G$9</definedName>
    <definedName name="TTBMVN_DG204CAB6BD224B3BF_VL" hidden="1">'ĐG Cạn - KHLNS'!$G$6</definedName>
    <definedName name="TTBMVN_DG84783FBB731FF946_M" hidden="1">'ĐG Cạn - KHLNS'!$G$33</definedName>
    <definedName name="TTBMVN_DG84783FBB731FF946_NC" hidden="1">'ĐG Cạn - KHLNS'!$G$32</definedName>
    <definedName name="TTBMVN_DG84783FBB731FF946_TONG" hidden="1">'ĐG Cạn - KHLNS'!$G$34</definedName>
    <definedName name="TTBMVN_DG84783FBB731FF946_VL" hidden="1">'ĐG Cạn - KHLNS'!$G$31</definedName>
    <definedName name="TTBMVN_GIA_KHLNS_2FC357D2F9360A" hidden="1">'VL-NC-M - KHLNS'!$F$9</definedName>
    <definedName name="TTBMVN_GIA_KHLNS_8ED0DD58638907" hidden="1">'VL-NC-M - KHLNS'!$F$8</definedName>
    <definedName name="TTBMVN_GIA_KHLNS_96D131F969B2CA" hidden="1">'VL-NC-M - KHLNS'!$F$5</definedName>
    <definedName name="TTBMVN_GIA_KHLNS_A5B20047CC0024" hidden="1">'VL-NC-M - KHLNS'!$F$6</definedName>
    <definedName name="TTBMVN_GIA_KHLNS_B8C2DB20D4C7A4" hidden="1">'VL-NC-M - KHLNS'!$F$7</definedName>
    <definedName name="TTBMVN_GIA_KHLNS_BDE2F3090195E0" hidden="1">'VL-NC-M - KHLNS'!$F$10</definedName>
    <definedName name="TTBMVN_GIA_KHLNS_D578BFDA1CFAFE" hidden="1">'VL-NC-M - KHLNS'!$F$4</definedName>
    <definedName name="TTBMVN_PLDT_14e854fb079b42b884d5151c3ac47f4a" hidden="1">'Gia DT TC'!$C$21</definedName>
    <definedName name="TTBMVN_PLDT_16a8fc072fc14ecbb58ac981d4f242e4" hidden="1">'Gia DT TC'!$C$23</definedName>
    <definedName name="TTBMVN_PLDT_1c802281c065423bb7be60ce9ad3421d" hidden="1">'Gia DT TC'!$C$24</definedName>
    <definedName name="TTBMVN_PLDT_1eeb12aeb8644122bbb85602bae1cd51" hidden="1">'Gia DT TC'!$C$27</definedName>
    <definedName name="TTBMVN_PLDT_258db455be9246b88eb7239d81b15354" hidden="1">'Gia DT TC'!$C$20</definedName>
    <definedName name="TTBMVN_PLDT_40106a5e062448858592ccdccfe7cc5e" hidden="1">'Gia DT TC'!$C$18</definedName>
    <definedName name="TTBMVN_PLDT_45d05ec87d3347f5ba9d8888582d9a88" hidden="1">'Gia DT TC'!$C$11</definedName>
    <definedName name="TTBMVN_PLDT_5ea7806a0e384d25a131ab723447006d" hidden="1">'Gia DT TC'!$C$26</definedName>
    <definedName name="TTBMVN_PLDT_7037892db6ca4721b7e63e953ac2dd61" hidden="1">'Gia DT TC'!$C$15</definedName>
    <definedName name="TTBMVN_PLDT_7c6e501286c84814bc3eb5133331a2b0" hidden="1">'Gia DT TC'!$C$19</definedName>
    <definedName name="TTBMVN_PLDT_7cb531536e8b4130a705d3a654c81171" hidden="1">'Gia DT TC'!$C$12</definedName>
    <definedName name="TTBMVN_PLDT_8ac28b2a394f4e7a94e301cacfa75f11" hidden="1">'Gia DT TC'!$C$25</definedName>
    <definedName name="TTBMVN_PLDT_bead059d5fec4928b2132364450a3566" hidden="1">'Gia DT TC'!$C$17</definedName>
    <definedName name="TTBMVN_PLDT_c36817d8c2d441b68631599312a34575" hidden="1">'Gia DT TC'!$C$13</definedName>
    <definedName name="TTBMVN_PLDT_c636a15cc2564b86a3313a225dc1d574" hidden="1">'Gia DT TC'!$C$22</definedName>
    <definedName name="TTBMVN_PLDT_d7e3ba73bcd24798bd6dc8de85f059f6" hidden="1">'Gia DT TC'!$C$14</definedName>
    <definedName name="TTBMVN_PLDT_eca7c8ed7f4d4281b9f0d6365251859b" hidden="1">'Gia DT TC'!$C$16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34" l="1"/>
  <c r="G4" i="234"/>
  <c r="G6" i="234"/>
  <c r="G12" i="212" s="1"/>
  <c r="G7" i="234"/>
  <c r="G8" i="234"/>
  <c r="I12" i="212" s="1"/>
  <c r="F13" i="234"/>
  <c r="G13" i="234"/>
  <c r="F15" i="234"/>
  <c r="G15" i="234" s="1"/>
  <c r="G14" i="234" s="1"/>
  <c r="G21" i="234" s="1"/>
  <c r="F16" i="234"/>
  <c r="G16" i="234"/>
  <c r="F17" i="234"/>
  <c r="G17" i="234"/>
  <c r="F18" i="234"/>
  <c r="G18" i="234"/>
  <c r="F19" i="234"/>
  <c r="G19" i="234"/>
  <c r="G22" i="234"/>
  <c r="H13" i="212" s="1"/>
  <c r="G23" i="234"/>
  <c r="I13" i="212" s="1"/>
  <c r="F28" i="234"/>
  <c r="G28" i="234"/>
  <c r="F29" i="234"/>
  <c r="G29" i="234"/>
  <c r="G31" i="234"/>
  <c r="G14" i="212" s="1"/>
  <c r="G32" i="234"/>
  <c r="H14" i="212" s="1"/>
  <c r="G33" i="234"/>
  <c r="I14" i="212" s="1"/>
  <c r="G34" i="234"/>
  <c r="M15" i="212"/>
  <c r="N15" i="212"/>
  <c r="O15" i="212"/>
  <c r="J16" i="212"/>
  <c r="K16" i="212"/>
  <c r="L16" i="212"/>
  <c r="M16" i="212"/>
  <c r="N16" i="212"/>
  <c r="O16" i="212"/>
  <c r="M17" i="212"/>
  <c r="N17" i="212"/>
  <c r="O17" i="212"/>
  <c r="M18" i="212"/>
  <c r="N18" i="212"/>
  <c r="O18" i="212"/>
  <c r="M20" i="212"/>
  <c r="N20" i="212"/>
  <c r="O20" i="212"/>
  <c r="M21" i="212"/>
  <c r="N21" i="212"/>
  <c r="O21" i="212"/>
  <c r="M22" i="212"/>
  <c r="N22" i="212"/>
  <c r="O22" i="212"/>
  <c r="M23" i="212"/>
  <c r="N23" i="212"/>
  <c r="O23" i="212"/>
  <c r="M24" i="212"/>
  <c r="N24" i="212"/>
  <c r="O24" i="212"/>
  <c r="M25" i="212"/>
  <c r="N25" i="212"/>
  <c r="O25" i="212"/>
  <c r="N26" i="212"/>
  <c r="O26" i="212"/>
  <c r="E10" i="211"/>
  <c r="E13" i="211" s="1"/>
  <c r="D11" i="211"/>
  <c r="D12" i="211"/>
  <c r="E14" i="211"/>
  <c r="A4" i="21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M12" i="212" l="1"/>
  <c r="J12" i="212"/>
  <c r="H12" i="212"/>
  <c r="G9" i="234"/>
  <c r="O12" i="212"/>
  <c r="L12" i="212"/>
  <c r="G13" i="212"/>
  <c r="G24" i="234"/>
  <c r="N13" i="212"/>
  <c r="K13" i="212"/>
  <c r="O13" i="212"/>
  <c r="L13" i="212"/>
  <c r="M14" i="212"/>
  <c r="J14" i="212"/>
  <c r="N14" i="212"/>
  <c r="K14" i="212"/>
  <c r="O14" i="212"/>
  <c r="L14" i="212"/>
  <c r="O11" i="212"/>
  <c r="M19" i="212"/>
  <c r="N19" i="212"/>
  <c r="O19" i="212"/>
  <c r="E19" i="211"/>
  <c r="E15" i="211"/>
  <c r="E16" i="211" s="1"/>
  <c r="A3" i="217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N12" i="212" l="1"/>
  <c r="N11" i="212" s="1"/>
  <c r="N27" i="212" s="1"/>
  <c r="K12" i="212"/>
  <c r="M13" i="212"/>
  <c r="M11" i="212" s="1"/>
  <c r="M27" i="212" s="1"/>
  <c r="J13" i="212"/>
  <c r="O27" i="212"/>
  <c r="E23" i="211"/>
  <c r="E21" i="211"/>
  <c r="E20" i="211"/>
  <c r="E18" i="211"/>
  <c r="E17" i="211" s="1"/>
  <c r="E24" i="211" s="1"/>
  <c r="M30" i="232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E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J21" i="212" l="1"/>
  <c r="K21" i="212"/>
  <c r="L21" i="212"/>
  <c r="E25" i="211"/>
  <c r="E26" i="211" s="1"/>
  <c r="E27" i="211" s="1"/>
  <c r="O22" i="232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E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J15" i="212" l="1"/>
  <c r="K15" i="212"/>
  <c r="L15" i="212"/>
  <c r="C17" i="230"/>
  <c r="C23" i="230" s="1"/>
  <c r="O18" i="230"/>
  <c r="R18" i="230" s="1"/>
  <c r="F18" i="230"/>
  <c r="D17" i="230"/>
  <c r="D23" i="230" s="1"/>
  <c r="E20" i="212"/>
  <c r="F20" i="230"/>
  <c r="C15" i="232" a="1"/>
  <c r="J20" i="212" l="1"/>
  <c r="K20" i="212"/>
  <c r="L20" i="212"/>
  <c r="E13" i="212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H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H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H6" i="219" s="1"/>
  <c r="H5" i="219" s="1"/>
  <c r="H42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F129" i="214" s="1"/>
  <c r="F138" i="214" s="1"/>
  <c r="A106" i="214"/>
  <c r="D120" i="214"/>
  <c r="D119" i="214"/>
  <c r="D118" i="214"/>
  <c r="D117" i="214"/>
  <c r="D116" i="214"/>
  <c r="D114" i="214"/>
  <c r="D112" i="214"/>
  <c r="E112" i="214"/>
  <c r="F112" i="214" s="1"/>
  <c r="F121" i="214" s="1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F67" i="214" s="1"/>
  <c r="E66" i="214"/>
  <c r="F66" i="214" s="1"/>
  <c r="E65" i="214"/>
  <c r="F65" i="214" s="1"/>
  <c r="E64" i="214"/>
  <c r="F64" i="214" s="1"/>
  <c r="F68" i="214" s="1"/>
  <c r="F74" i="214" s="1"/>
  <c r="D56" i="214"/>
  <c r="D55" i="214"/>
  <c r="D54" i="214"/>
  <c r="D53" i="214"/>
  <c r="D51" i="214"/>
  <c r="D49" i="214"/>
  <c r="E48" i="214"/>
  <c r="F48" i="214" s="1"/>
  <c r="D48" i="214"/>
  <c r="D47" i="214"/>
  <c r="K47" i="214" s="1"/>
  <c r="E47" i="214"/>
  <c r="F47" i="214" s="1"/>
  <c r="E46" i="214"/>
  <c r="F46" i="214" s="1"/>
  <c r="D46" i="214"/>
  <c r="E45" i="214"/>
  <c r="F45" i="214" s="1"/>
  <c r="E44" i="214"/>
  <c r="F44" i="214" s="1"/>
  <c r="K43" i="214"/>
  <c r="E43" i="214"/>
  <c r="F43" i="214" s="1"/>
  <c r="E42" i="214"/>
  <c r="F42" i="214" s="1"/>
  <c r="F49" i="214" s="1"/>
  <c r="F57" i="214" s="1"/>
  <c r="K42" i="214"/>
  <c r="A13" i="214"/>
  <c r="D33" i="214"/>
  <c r="D32" i="214"/>
  <c r="D31" i="214"/>
  <c r="D30" i="214"/>
  <c r="D28" i="214"/>
  <c r="D26" i="214"/>
  <c r="E25" i="214"/>
  <c r="F25" i="214" s="1"/>
  <c r="D25" i="214"/>
  <c r="D24" i="214"/>
  <c r="E24" i="214"/>
  <c r="F24" i="214" s="1"/>
  <c r="D23" i="214"/>
  <c r="E23" i="214"/>
  <c r="F23" i="214" s="1"/>
  <c r="E22" i="214"/>
  <c r="D22" i="214"/>
  <c r="E21" i="214"/>
  <c r="F21" i="214" s="1"/>
  <c r="E20" i="214"/>
  <c r="F20" i="214" s="1"/>
  <c r="E19" i="214"/>
  <c r="F19" i="214" s="1"/>
  <c r="F26" i="214" s="1"/>
  <c r="F34" i="214" s="1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U13" i="212" a="1"/>
  <c r="T24" i="212" s="1"/>
  <c r="S13" i="212"/>
  <c r="R13" i="212" s="1"/>
  <c r="Q8" i="212"/>
  <c r="Q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E9" i="219"/>
  <c r="F13" i="216"/>
  <c r="E15" i="219"/>
  <c r="H27" i="208"/>
  <c r="F16" i="216"/>
  <c r="E6" i="219"/>
  <c r="F17" i="216"/>
  <c r="B40" i="216"/>
  <c r="E22" i="213" s="1"/>
  <c r="F22" i="213" s="1"/>
  <c r="E12" i="219"/>
  <c r="E18" i="219"/>
  <c r="E24" i="219"/>
  <c r="F12" i="216"/>
  <c r="E21" i="219"/>
  <c r="F34" i="208"/>
  <c r="T11" i="217"/>
  <c r="K22" i="213"/>
  <c r="K9" i="213"/>
  <c r="K19" i="214"/>
  <c r="K46" i="214"/>
  <c r="K87" i="214"/>
  <c r="K100" i="214"/>
  <c r="K83" i="214"/>
  <c r="K96" i="214"/>
  <c r="K24" i="214"/>
  <c r="K20" i="213"/>
  <c r="K23" i="213"/>
  <c r="K25" i="214"/>
  <c r="K72" i="214"/>
  <c r="K102" i="214"/>
  <c r="I31" i="208"/>
  <c r="I27" i="208" s="1"/>
  <c r="K21" i="213"/>
  <c r="J45" i="213"/>
  <c r="K45" i="213"/>
  <c r="K23" i="214"/>
  <c r="K51" i="214"/>
  <c r="K86" i="214"/>
  <c r="K101" i="214"/>
  <c r="E57" i="213"/>
  <c r="F57" i="213" s="1"/>
  <c r="E55" i="213"/>
  <c r="F55" i="213" s="1"/>
  <c r="E7" i="219"/>
  <c r="F7" i="219"/>
  <c r="H7" i="219" s="1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E13" i="219"/>
  <c r="F13" i="219"/>
  <c r="H13" i="219" s="1"/>
  <c r="F14" i="219"/>
  <c r="H18" i="219"/>
  <c r="F20" i="219"/>
  <c r="H20" i="219" s="1"/>
  <c r="E20" i="219"/>
  <c r="K22" i="214"/>
  <c r="F22" i="214"/>
  <c r="K44" i="214"/>
  <c r="K98" i="214"/>
  <c r="E16" i="219"/>
  <c r="F16" i="219"/>
  <c r="H16" i="219" s="1"/>
  <c r="F17" i="219"/>
  <c r="H17" i="219" s="1"/>
  <c r="K45" i="214"/>
  <c r="K73" i="214"/>
  <c r="K85" i="214"/>
  <c r="K99" i="214"/>
  <c r="E8" i="219"/>
  <c r="H8" i="219" s="1"/>
  <c r="E19" i="219"/>
  <c r="F19" i="219"/>
  <c r="H19" i="219" s="1"/>
  <c r="F36" i="216"/>
  <c r="F22" i="219"/>
  <c r="H22" i="219" s="1"/>
  <c r="E23" i="219"/>
  <c r="E26" i="219"/>
  <c r="H26" i="219" s="1"/>
  <c r="A9" i="219"/>
  <c r="A10" i="219" s="1"/>
  <c r="A12" i="219" s="1"/>
  <c r="L10" i="218"/>
  <c r="Q23" i="212"/>
  <c r="C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K112" i="214"/>
  <c r="K117" i="214"/>
  <c r="K120" i="214"/>
  <c r="K54" i="214"/>
  <c r="K129" i="214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T17" i="212"/>
  <c r="T14" i="212"/>
  <c r="T23" i="212"/>
  <c r="T18" i="212"/>
  <c r="T25" i="212"/>
  <c r="Q25" i="212"/>
  <c r="C25" i="212" s="1"/>
  <c r="Q17" i="212"/>
  <c r="C17" i="212" s="1"/>
  <c r="Q13" i="212"/>
  <c r="C13" i="212" s="1"/>
  <c r="Q12" i="212"/>
  <c r="C12" i="212" s="1"/>
  <c r="Q24" i="212"/>
  <c r="C24" i="212" s="1"/>
  <c r="Q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E139" i="213"/>
  <c r="F139" i="213" s="1"/>
  <c r="H10" i="219"/>
  <c r="H14" i="219"/>
  <c r="C18" i="212"/>
  <c r="E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E99" i="214"/>
  <c r="H99" i="214" s="1"/>
  <c r="F55" i="216"/>
  <c r="F51" i="216" s="1"/>
  <c r="F29" i="219"/>
  <c r="F66" i="216"/>
  <c r="F62" i="216" s="1"/>
  <c r="F41" i="219" s="1"/>
  <c r="F37" i="219"/>
  <c r="E76" i="216"/>
  <c r="F76" i="216" s="1"/>
  <c r="F72" i="216" s="1"/>
  <c r="E117" i="214"/>
  <c r="H117" i="214" s="1"/>
  <c r="I41" i="208"/>
  <c r="E54" i="214"/>
  <c r="H54" i="214" s="1"/>
  <c r="E71" i="216"/>
  <c r="F71" i="216" s="1"/>
  <c r="F67" i="216" s="1"/>
  <c r="A13" i="219"/>
  <c r="E73" i="214"/>
  <c r="H73" i="214" s="1"/>
  <c r="F28" i="216"/>
  <c r="F23" i="216" s="1"/>
  <c r="Q14" i="212"/>
  <c r="V11" i="217"/>
  <c r="G12" i="217"/>
  <c r="D6" i="215"/>
  <c r="A13" i="212"/>
  <c r="A12" i="212"/>
  <c r="G29" i="219" l="1"/>
  <c r="E3" i="210"/>
  <c r="G3" i="210"/>
  <c r="F3" i="210" s="1"/>
  <c r="J18" i="212"/>
  <c r="K18" i="212"/>
  <c r="L18" i="212"/>
  <c r="H23" i="219"/>
  <c r="H15" i="219"/>
  <c r="H12" i="219"/>
  <c r="H24" i="219"/>
  <c r="F88" i="213"/>
  <c r="F106" i="213"/>
  <c r="F111" i="213" s="1"/>
  <c r="F58" i="213"/>
  <c r="F63" i="213" s="1"/>
  <c r="F41" i="213"/>
  <c r="F46" i="213" s="1"/>
  <c r="F122" i="213"/>
  <c r="F140" i="213"/>
  <c r="F145" i="213" s="1"/>
  <c r="F24" i="213"/>
  <c r="F29" i="213" s="1"/>
  <c r="K68" i="214"/>
  <c r="K49" i="214"/>
  <c r="K26" i="214"/>
  <c r="F39" i="219"/>
  <c r="E101" i="214"/>
  <c r="H101" i="214" s="1"/>
  <c r="C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F33" i="219"/>
  <c r="E45" i="213"/>
  <c r="H45" i="213" s="1"/>
  <c r="H46" i="213" s="1"/>
  <c r="E28" i="213"/>
  <c r="H28" i="213" s="1"/>
  <c r="H29" i="213" s="1"/>
  <c r="E62" i="213"/>
  <c r="H62" i="213" s="1"/>
  <c r="H63" i="213" s="1"/>
  <c r="E74" i="213"/>
  <c r="H74" i="213" s="1"/>
  <c r="H75" i="213" s="1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140" i="213"/>
  <c r="A25" i="212"/>
  <c r="A23" i="212"/>
  <c r="A24" i="212"/>
  <c r="C33" i="232" a="1"/>
  <c r="F93" i="213" l="1"/>
  <c r="K88" i="213"/>
  <c r="F127" i="213"/>
  <c r="K122" i="213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H34" i="214" s="1"/>
  <c r="E98" i="214"/>
  <c r="H98" i="214" s="1"/>
  <c r="H103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F34" i="219" l="1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A22" i="219"/>
  <c r="D10" i="215"/>
  <c r="C11" i="215"/>
  <c r="J142" i="213"/>
  <c r="J138" i="213"/>
  <c r="J136" i="213"/>
  <c r="J137" i="213"/>
  <c r="D14" i="219" s="1"/>
  <c r="G14" i="219" s="1"/>
  <c r="A23" i="219"/>
  <c r="A24" i="219" s="1"/>
  <c r="A25" i="219" s="1"/>
  <c r="A26" i="219" s="1"/>
  <c r="E11" i="215"/>
  <c r="D11" i="215"/>
  <c r="E52" i="209"/>
  <c r="N52" i="219"/>
  <c r="N50" i="219"/>
  <c r="J18" i="213"/>
  <c r="E14" i="212"/>
  <c r="E12" i="212"/>
  <c r="O52" i="219"/>
  <c r="Q52" i="219" s="1"/>
  <c r="O50" i="219"/>
  <c r="J17" i="214"/>
  <c r="E23" i="212"/>
  <c r="J83" i="213"/>
  <c r="E17" i="212"/>
  <c r="E24" i="212"/>
  <c r="E25" i="212"/>
  <c r="J40" i="214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E22" i="212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D25" i="219"/>
  <c r="G25" i="219" s="1"/>
  <c r="D17" i="219"/>
  <c r="G17" i="219" s="1"/>
  <c r="D20" i="219"/>
  <c r="G20" i="219" s="1"/>
  <c r="D18" i="219"/>
  <c r="G18" i="219" s="1"/>
  <c r="D7" i="219"/>
  <c r="G7" i="219" s="1"/>
  <c r="D10" i="219"/>
  <c r="G10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K36" i="219"/>
  <c r="O36" i="219" s="1"/>
  <c r="G36" i="219"/>
  <c r="J120" i="213"/>
  <c r="D12" i="219" s="1"/>
  <c r="G12" i="219" s="1"/>
  <c r="J119" i="213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D41" i="219"/>
  <c r="G41" i="219" s="1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I5" i="219"/>
  <c r="K41" i="219"/>
  <c r="O41" i="219" s="1"/>
  <c r="J144" i="213" l="1"/>
  <c r="D34" i="219" s="1"/>
  <c r="J135" i="213"/>
  <c r="D11" i="219" s="1"/>
  <c r="G11" i="219" s="1"/>
  <c r="J139" i="213"/>
  <c r="D15" i="219" s="1"/>
  <c r="G15" i="219" s="1"/>
  <c r="J140" i="213"/>
  <c r="D27" i="219" s="1"/>
  <c r="G27" i="219" s="1"/>
  <c r="J69" i="213"/>
  <c r="J11" i="212"/>
  <c r="K11" i="212"/>
  <c r="L11" i="212"/>
  <c r="J23" i="212"/>
  <c r="K23" i="212"/>
  <c r="L23" i="212"/>
  <c r="J17" i="212"/>
  <c r="K17" i="212"/>
  <c r="L17" i="212"/>
  <c r="J24" i="212"/>
  <c r="K24" i="212"/>
  <c r="L24" i="212"/>
  <c r="J110" i="214"/>
  <c r="J25" i="212"/>
  <c r="K25" i="212"/>
  <c r="L25" i="212"/>
  <c r="J22" i="212"/>
  <c r="J19" i="212" s="1"/>
  <c r="K22" i="212"/>
  <c r="L22" i="212"/>
  <c r="J74" i="213" l="1"/>
  <c r="D33" i="219" s="1"/>
  <c r="J72" i="213"/>
  <c r="D31" i="219" s="1"/>
  <c r="J120" i="214"/>
  <c r="D38" i="219" s="1"/>
  <c r="J117" i="214"/>
  <c r="D37" i="219" s="1"/>
  <c r="J112" i="214"/>
  <c r="D26" i="219" s="1"/>
  <c r="G26" i="219" s="1"/>
  <c r="G5" i="219" s="1"/>
  <c r="J118" i="214"/>
  <c r="D40" i="219" s="1"/>
  <c r="J119" i="214"/>
  <c r="D39" i="219" s="1"/>
  <c r="J116" i="214"/>
  <c r="D35" i="219" s="1"/>
  <c r="J114" i="214"/>
  <c r="K26" i="212"/>
  <c r="K19" i="212" s="1"/>
  <c r="K27" i="212" s="1"/>
  <c r="L26" i="212"/>
  <c r="L19" i="212" s="1"/>
  <c r="L27" i="212" s="1"/>
  <c r="J27" i="212"/>
  <c r="K34" i="219"/>
  <c r="N34" i="219" s="1"/>
  <c r="G34" i="219"/>
  <c r="G33" i="219" l="1"/>
  <c r="K33" i="219"/>
  <c r="N33" i="219" s="1"/>
  <c r="N32" i="219" s="1"/>
  <c r="G31" i="219"/>
  <c r="N31" i="219"/>
  <c r="G38" i="219"/>
  <c r="K38" i="219"/>
  <c r="O38" i="219" s="1"/>
  <c r="G37" i="219"/>
  <c r="K37" i="219"/>
  <c r="O37" i="219" s="1"/>
  <c r="G40" i="219"/>
  <c r="K40" i="219"/>
  <c r="O40" i="219" s="1"/>
  <c r="K39" i="219"/>
  <c r="O39" i="219" s="1"/>
  <c r="G39" i="219"/>
  <c r="K35" i="219"/>
  <c r="O35" i="219" s="1"/>
  <c r="O32" i="219" s="1"/>
  <c r="G35" i="219"/>
  <c r="D30" i="219"/>
  <c r="O30" i="219"/>
  <c r="O28" i="219" s="1"/>
  <c r="O42" i="219" s="1"/>
  <c r="O44" i="219" s="1"/>
  <c r="O53" i="219" s="1"/>
  <c r="O54" i="219" s="1"/>
  <c r="I28" i="219"/>
  <c r="I32" i="219"/>
  <c r="G30" i="219" l="1"/>
  <c r="G28" i="219" s="1"/>
  <c r="G42" i="219" s="1"/>
  <c r="D28" i="219"/>
  <c r="N30" i="219"/>
  <c r="N28" i="219" s="1"/>
  <c r="N42" i="219" s="1"/>
  <c r="G32" i="219"/>
  <c r="J19" i="209"/>
  <c r="I21" i="209" s="1"/>
  <c r="I22" i="209" s="1"/>
  <c r="J20" i="209" s="1"/>
  <c r="G43" i="219"/>
  <c r="L19" i="209"/>
  <c r="N44" i="219" l="1"/>
  <c r="P42" i="219"/>
  <c r="Q42" i="219" s="1"/>
  <c r="Q44" i="219" s="1"/>
  <c r="G44" i="219"/>
  <c r="I44" i="219" s="1"/>
  <c r="P5" i="209"/>
  <c r="G42" i="209"/>
  <c r="Q5" i="209"/>
  <c r="E42" i="209"/>
  <c r="F45" i="209" s="1"/>
  <c r="E45" i="209" s="1"/>
  <c r="P44" i="219" l="1"/>
  <c r="N53" i="219"/>
  <c r="N54" i="219" s="1"/>
  <c r="E46" i="209"/>
  <c r="F44" i="209" s="1"/>
  <c r="O8" i="209"/>
  <c r="P8" i="209" a="1"/>
  <c r="P13" i="209"/>
  <c r="N62" i="219" l="1"/>
  <c r="N60" i="219"/>
  <c r="P7" i="209"/>
  <c r="D22" i="211" s="1"/>
  <c r="E22" i="211" s="1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Q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<sst xmlns="http://schemas.openxmlformats.org/spreadsheetml/2006/main" count="1771" uniqueCount="605">
  <si>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</si>
  <si>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</si>
  <si>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</si>
  <si>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</si>
  <si>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</si>
  <si>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</si>
  <si>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</si>
  <si>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</si>
  <si>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</si>
  <si>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</si>
  <si>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</si>
  <si>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</si>
  <si>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</si>
  <si>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</si>
  <si>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</si>
  <si>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</si>
  <si>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</si>
  <si>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</si>
  <si>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</si>
  <si>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</si>
  <si>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</si>
  <si>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</si>
  <si>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</si>
  <si>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</si>
  <si>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</si>
  <si>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</si>
  <si>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</si>
  <si>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</si>
  <si>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</si>
  <si>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</si>
  <si>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</si>
  <si>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</si>
  <si>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</si>
  <si>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</si>
  <si>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</si>
  <si>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</si>
  <si>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</si>
  <si>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</si>
  <si>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</si>
  <si>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</si>
  <si>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</si>
  <si>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</si>
  <si>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</si>
  <si>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</si>
  <si>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</si>
  <si>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</si>
  <si>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</si>
  <si>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</si>
  <si>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</si>
  <si>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</si>
  <si>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</si>
  <si>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</si>
  <si>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</si>
  <si>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</si>
  <si>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</si>
  <si>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</si>
  <si>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</si>
  <si>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</si>
  <si>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</si>
  <si>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</si>
  <si>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</si>
  <si>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</si>
  <si>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</si>
  <si>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</si>
  <si>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</si>
  <si>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</si>
  <si>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</si>
  <si>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</si>
  <si>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</si>
  <si>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</si>
  <si>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</si>
  <si>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</si>
  <si>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</si>
  <si>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</si>
  <si>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</si>
  <si>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</si>
  <si>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</si>
  <si>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</si>
  <si>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</si>
  <si>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</si>
  <si>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</si>
  <si>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</si>
  <si>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</si>
  <si>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</si>
  <si>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</si>
  <si>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</si>
  <si>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</si>
  <si>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</si>
  <si>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</si>
  <si>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</si>
  <si>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</si>
  <si>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</si>
  <si>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</si>
  <si>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</si>
  <si>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</si>
  <si>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</si>
  <si>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</si>
  <si>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</si>
  <si>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</si>
  <si>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</si>
  <si>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</si>
  <si>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</si>
  <si>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</si>
  <si>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</si>
  <si>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</si>
  <si>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</si>
  <si>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</si>
  <si>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</si>
  <si>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</si>
  <si>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</si>
  <si>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</si>
  <si>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</si>
  <si>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</si>
  <si>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</si>
  <si>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</si>
  <si>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</si>
  <si>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</si>
  <si>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</si>
  <si>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</si>
  <si>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</si>
  <si>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</si>
  <si>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</si>
  <si>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</si>
  <si>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</si>
  <si>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</si>
  <si>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</si>
  <si>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</si>
  <si>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</si>
  <si>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</si>
  <si>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</si>
  <si>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</si>
  <si>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</si>
  <si>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</si>
  <si>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</si>
  <si>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</si>
  <si>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</si>
  <si>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</si>
  <si>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</si>
  <si>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</si>
  <si>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</si>
  <si>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</si>
  <si>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</si>
  <si>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</si>
  <si>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</si>
  <si>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</si>
  <si>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</si>
  <si>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</si>
  <si>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</si>
  <si>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</si>
  <si>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</si>
  <si>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</si>
  <si>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</si>
  <si>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</si>
  <si>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</si>
  <si>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</si>
  <si>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</si>
  <si>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</si>
  <si>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</si>
  <si>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</si>
  <si>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</si>
  <si>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</si>
  <si>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</si>
  <si>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</si>
  <si>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</si>
  <si>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</si>
  <si>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</si>
  <si>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</si>
  <si>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</si>
  <si>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</si>
  <si>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</si>
  <si>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</si>
  <si>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</si>
  <si>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</si>
  <si>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</si>
  <si>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</si>
  <si>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</si>
  <si>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</si>
  <si>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</si>
  <si>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</si>
  <si>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</si>
  <si>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</si>
  <si>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</si>
  <si>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</si>
  <si>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</si>
  <si>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</si>
  <si>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</si>
  <si>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</si>
  <si>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</si>
  <si>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</si>
  <si>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</si>
  <si>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</si>
  <si>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</si>
  <si>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</si>
  <si>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</si>
  <si>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</si>
  <si>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</si>
  <si>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</si>
  <si>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</si>
  <si>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</si>
  <si>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</si>
  <si>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</si>
  <si>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</si>
  <si>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</si>
  <si>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</si>
  <si>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</si>
  <si>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</si>
  <si>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</si>
  <si>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</si>
  <si>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</si>
  <si>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</si>
  <si>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</si>
  <si>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</si>
  <si>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</si>
  <si>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</si>
  <si>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</si>
  <si>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</si>
  <si>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</si>
  <si>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</si>
  <si>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</si>
  <si>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</si>
  <si>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</si>
  <si>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</si>
  <si>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</si>
  <si>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</si>
  <si>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</si>
  <si>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</si>
  <si>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</si>
  <si>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</si>
  <si>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</si>
  <si>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</si>
  <si>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</si>
  <si>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</si>
  <si>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</si>
  <si>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</si>
  <si>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</si>
  <si>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</si>
  <si>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</si>
  <si>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</si>
  <si>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</si>
  <si>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</si>
  <si>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</si>
  <si>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</si>
  <si>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</si>
  <si>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</si>
  <si>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</si>
  <si>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</si>
  <si>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</si>
  <si>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</si>
  <si>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</si>
  <si>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</si>
  <si>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</si>
  <si>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</si>
  <si>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</si>
  <si>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</si>
  <si>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</si>
  <si>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</si>
  <si>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</si>
  <si>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</si>
  <si>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</si>
  <si>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</si>
  <si>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</si>
  <si>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</si>
  <si>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</si>
  <si>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</si>
  <si>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</si>
  <si>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</si>
  <si>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</si>
  <si>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</si>
  <si>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</si>
  <si>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</si>
  <si>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</si>
  <si>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</si>
  <si>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</si>
  <si>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</si>
  <si>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</si>
  <si>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</si>
  <si>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</si>
  <si>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</si>
  <si>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</si>
  <si>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</si>
  <si>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</si>
  <si>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</si>
  <si>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</si>
  <si>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</si>
  <si>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</si>
  <si>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</si>
  <si>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</si>
  <si>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</si>
  <si>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</si>
  <si>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</si>
  <si>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</si>
  <si>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</si>
  <si>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</si>
  <si>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</si>
  <si>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</si>
  <si>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</si>
  <si>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</si>
  <si>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</si>
  <si>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</si>
  <si>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</si>
  <si>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</si>
  <si>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</si>
  <si>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</si>
  <si>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</si>
  <si>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</si>
  <si>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</si>
  <si>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</si>
  <si>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</si>
  <si>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</si>
  <si>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</si>
  <si>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</si>
  <si>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</si>
  <si>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</si>
  <si>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</si>
  <si>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</si>
  <si>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</si>
  <si>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</si>
  <si>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</si>
  <si>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</si>
  <si>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</si>
  <si>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</si>
  <si>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</si>
  <si>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</si>
  <si>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</si>
  <si>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</si>
  <si>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</si>
  <si>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</si>
  <si>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</si>
  <si>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</si>
  <si>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</si>
  <si>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</si>
  <si>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</si>
  <si>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</si>
  <si>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</si>
  <si>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</si>
  <si>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</si>
  <si>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</si>
  <si>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</si>
  <si>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</si>
  <si>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</si>
  <si>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</si>
  <si>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</si>
  <si>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</si>
  <si>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</si>
  <si>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</si>
  <si>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</si>
  <si>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</si>
  <si>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</si>
  <si>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</si>
  <si>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</si>
  <si>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</si>
  <si>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</si>
  <si>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</si>
  <si>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</si>
  <si>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</si>
  <si>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</si>
  <si>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</si>
  <si>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</si>
  <si>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</si>
  <si>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</si>
  <si>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</si>
  <si>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</si>
  <si>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</si>
  <si>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</si>
  <si>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</si>
  <si>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</si>
  <si>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</si>
  <si>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</si>
  <si>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</si>
  <si>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</si>
  <si>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</si>
  <si>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</si>
  <si>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</si>
  <si>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</si>
  <si>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</si>
  <si>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</si>
  <si>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</si>
  <si>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</si>
  <si>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</si>
  <si>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</si>
  <si>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</si>
  <si>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</si>
  <si>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</si>
  <si>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</si>
  <si>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</si>
  <si>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</si>
  <si>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</si>
  <si>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</si>
  <si>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</si>
  <si>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</si>
  <si>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</si>
  <si>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</si>
  <si>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</si>
  <si>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</si>
  <si>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</si>
  <si>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</si>
  <si>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</si>
  <si>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</si>
  <si>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</si>
  <si>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</si>
  <si>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</si>
  <si>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</si>
  <si>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</si>
  <si>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</si>
  <si>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</si>
  <si>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</si>
  <si>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</si>
  <si>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</si>
  <si>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</si>
  <si>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</si>
  <si>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</si>
  <si>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</si>
  <si>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</si>
  <si>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</si>
  <si>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</si>
  <si>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</si>
  <si>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</si>
  <si>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</si>
  <si>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</si>
  <si>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</si>
  <si>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</si>
  <si>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</si>
  <si>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</si>
  <si>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</si>
  <si>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</si>
  <si>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</si>
  <si>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</si>
  <si>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</si>
  <si>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</si>
  <si>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</si>
  <si>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</si>
  <si>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</si>
  <si>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</si>
  <si>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</si>
  <si>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</si>
  <si>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</si>
  <si>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</si>
  <si>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</si>
  <si>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</si>
  <si>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</si>
  <si>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</si>
  <si>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</si>
  <si>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</si>
  <si>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</si>
  <si>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</si>
  <si>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</si>
  <si>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</si>
  <si>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</si>
  <si>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</si>
  <si>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</si>
  <si>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</si>
  <si>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</si>
  <si>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</si>
  <si>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</si>
  <si>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</si>
  <si>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</si>
  <si>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</si>
  <si>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</si>
  <si>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</si>
  <si>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</si>
  <si>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</si>
  <si>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</si>
  <si>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</si>
  <si>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</si>
  <si>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</si>
  <si>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</si>
  <si>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</si>
  <si>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</si>
  <si>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</si>
  <si>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</si>
  <si>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</si>
  <si>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</si>
  <si>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</si>
  <si>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</si>
  <si>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</si>
  <si>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</si>
  <si>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</si>
  <si>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</si>
  <si>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</si>
  <si>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</si>
  <si>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</si>
  <si>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</si>
  <si>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</si>
  <si>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</si>
  <si>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</si>
  <si>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</si>
  <si>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</si>
  <si>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</si>
  <si>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</si>
  <si>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</si>
  <si>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</si>
  <si>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</si>
  <si>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</si>
  <si>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</si>
  <si>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</si>
  <si>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</si>
  <si>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</si>
  <si>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</si>
  <si>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</si>
  <si>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</si>
  <si>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</si>
  <si>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</si>
  <si>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</si>
  <si>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</si>
  <si>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</si>
  <si>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</si>
  <si>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</si>
  <si>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</si>
  <si>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</si>
  <si>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</si>
  <si>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</si>
  <si>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</si>
  <si>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</si>
  <si>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</si>
  <si>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</si>
  <si>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</si>
  <si>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</si>
  <si>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</si>
  <si>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</si>
  <si>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</si>
  <si>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</si>
  <si>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</si>
  <si>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</si>
  <si>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</si>
  <si>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</si>
  <si>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</si>
  <si>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</si>
  <si>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</si>
  <si>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</si>
  <si>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</si>
  <si>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</si>
  <si>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</si>
  <si>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</si>
  <si>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</si>
  <si>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</si>
  <si>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</si>
  <si>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</si>
  <si>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</si>
  <si>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</si>
  <si>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</si>
  <si>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</si>
  <si>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</si>
  <si>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</si>
  <si>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</si>
  <si>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</si>
  <si>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</si>
  <si>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</si>
  <si>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</si>
  <si>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</si>
  <si>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</si>
  <si>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</si>
  <si>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</si>
  <si>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</si>
  <si>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</si>
  <si>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</si>
  <si>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Mã hiệu</t>
  </si>
  <si>
    <t>BẢNG GIÁ VẬT LIỆU - NHÂN CÔNG - MÁY</t>
  </si>
  <si>
    <t>Không hưởng lương ngân sách</t>
  </si>
  <si>
    <t>TEST-DT103-PRICE-BASELINE@1.0.0</t>
  </si>
  <si>
    <t>Mã</t>
  </si>
  <si>
    <t>Loại</t>
  </si>
  <si>
    <t>Tên dữ liệu</t>
  </si>
  <si>
    <t>Giá gốc</t>
  </si>
  <si>
    <t>Giá áp dụng</t>
  </si>
  <si>
    <t>Nguồn</t>
  </si>
  <si>
    <t>Lý do ghi đè</t>
  </si>
  <si>
    <t>LAB-QNCN-7</t>
  </si>
  <si>
    <t>worker-day</t>
  </si>
  <si>
    <t>Workbook:Sheet20!F11</t>
  </si>
  <si>
    <t>LAB-QNCN-8</t>
  </si>
  <si>
    <t>Workbook:Sheet20!F15</t>
  </si>
  <si>
    <t>MACHINE-M010.001</t>
  </si>
  <si>
    <t>Ca máy</t>
  </si>
  <si>
    <t>Máy dò mìn</t>
  </si>
  <si>
    <t>shift</t>
  </si>
  <si>
    <t>Workbook:Sheet20!F23</t>
  </si>
  <si>
    <t>MAT-CONCRETE-STAKE</t>
  </si>
  <si>
    <t>each</t>
  </si>
  <si>
    <t>Workbook:Sheet20!F81</t>
  </si>
  <si>
    <t>MAT-RED-FLAG</t>
  </si>
  <si>
    <t>Workbook:Sheet20!F83</t>
  </si>
  <si>
    <t>MAT-ROPE-10MM</t>
  </si>
  <si>
    <t>Workbook:Sheet20!F85</t>
  </si>
  <si>
    <t>MAT-WOOD-STAKE</t>
  </si>
  <si>
    <t>Workbook:Sheet20!F82</t>
  </si>
  <si>
    <t>PHÂN TÍCH ĐƠN GIÁ CẠN</t>
  </si>
  <si>
    <t>DG-204CAB6BD224B3BF</t>
  </si>
  <si>
    <t>NORM-010.0200 / forest-1</t>
  </si>
  <si>
    <t>Dọn mặt bằng bằng thủ công khu vực không phải là bãi mìn</t>
  </si>
  <si>
    <t>1 công tác sử dụng</t>
  </si>
  <si>
    <t>Mã nguồn lực</t>
  </si>
  <si>
    <t>Tên nguồn lực</t>
  </si>
  <si>
    <t>Hao phí</t>
  </si>
  <si>
    <t>Giá</t>
  </si>
  <si>
    <t>%</t>
  </si>
  <si>
    <t>DG-03837B4BF438189A</t>
  </si>
  <si>
    <t>NORM-020.0200 / density-1</t>
  </si>
  <si>
    <t>Rà phá bom mìn vật nổ bằng máy dò mìn đến độ sâu 0,3 m hoặc 0,5 m</t>
  </si>
  <si>
    <t>MAT-OTHER</t>
  </si>
  <si>
    <t>Vat lieu khac</t>
  </si>
  <si>
    <t>percent</t>
  </si>
  <si>
    <t>M010.001</t>
  </si>
  <si>
    <t>DG-84783FBB731FF946</t>
  </si>
  <si>
    <t>NORM-020.0300 / soil-1</t>
  </si>
  <si>
    <t>Đào đất, kiểm tra, xử lý tín hiệu đến độ sâu 0,3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</si>
</sst>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4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  <font>
      <b/>
      <sz val="14"/>
      <name val=".VnTime"/>
      <family val="2"/>
    </font>
  </fonts>
  <fills count="5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3EAD9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54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0" fontId="108" fillId="0" borderId="70" xfId="2675" quotePrefix="1" applyFont="1" applyBorder="1" applyAlignment="1">
      <alignment horizontal="center" vertical="center"/>
    </xf>
    <xf numFmtId="0" fontId="333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94" fillId="57" borderId="1" xfId="0" applyFont="1" applyFill="1" applyBorder="1" applyAlignment="1">
      <alignment vertical="center"/>
    </xf>
    <xf numFmtId="4" fontId="0" fillId="0" borderId="1" xfId="0" applyNumberFormat="1" applyBorder="1" applyAlignment="1">
      <alignment vertical="center"/>
    </xf>
    <xf numFmtId="0" fontId="333" fillId="0" borderId="0" xfId="0" applyFont="1" applyAlignment="1">
      <alignment vertical="center"/>
    </xf>
    <xf numFmtId="4" fontId="3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0"/>
      <c r="S1" s="710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1"/>
      <c r="S2" s="711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1"/>
      <c r="S3" s="711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6" t="s">
        <v>452</v>
      </c>
      <c r="B6" s="713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1"/>
      <c r="S6" s="711"/>
      <c r="U6" s="709">
        <v>3</v>
      </c>
    </row>
    <row r="7" spans="1:31" ht="57.6" customHeight="1">
      <c r="A7" s="826"/>
      <c r="B7" s="713"/>
      <c r="C7" s="827"/>
      <c r="D7" s="827"/>
      <c r="E7" s="828"/>
      <c r="F7" s="828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0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550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TC'!U9</f>
        <v>0</v>
      </c>
      <c r="F2" s="462">
        <f>'Gia DT TC'!W9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59" t="s">
        <v>121</v>
      </c>
      <c r="B2" s="859"/>
      <c r="C2" s="859"/>
      <c r="D2" s="859"/>
      <c r="E2" s="859"/>
      <c r="F2" s="859"/>
    </row>
    <row r="3" spans="1:25" s="630" customFormat="1" ht="48" customHeight="1">
      <c r="A3" s="860" t="str">
        <f>'PL01'!C2</f>
        <v>Dự án: Cải tạo, nâng cấp  trạm bơm Trà Phương 3 tiêu thoát nước cho vùng các khu công nghiệp huyện Kim Động, Ân Thi, Yên Mỹ tỉnh Hưng Yên</v>
      </c>
      <c r="B3" s="861"/>
      <c r="C3" s="861"/>
      <c r="D3" s="861"/>
      <c r="E3" s="861"/>
      <c r="F3" s="861"/>
      <c r="H3" s="631"/>
    </row>
    <row r="4" spans="1:25" s="632" customFormat="1" ht="16.8" customHeight="1">
      <c r="A4" s="860" t="str">
        <f>'PL01'!C3</f>
        <v>Hạng mục: Rà phá bom mìn, vật nổ</v>
      </c>
      <c r="B4" s="861"/>
      <c r="C4" s="861"/>
      <c r="D4" s="861"/>
      <c r="E4" s="861"/>
      <c r="F4" s="861"/>
    </row>
    <row r="5" spans="1:25" s="630" customFormat="1" ht="22.8" customHeight="1">
      <c r="A5" s="860" t="str">
        <f>'PL01'!C4</f>
        <v>Địa điểm: Xã Hồng Quang, tỉnh Hưng Yên</v>
      </c>
      <c r="B5" s="861"/>
      <c r="C5" s="861"/>
      <c r="D5" s="861"/>
      <c r="E5" s="861"/>
      <c r="F5" s="861"/>
    </row>
    <row r="6" spans="1:25" s="632" customFormat="1" ht="21" hidden="1" customHeight="1">
      <c r="A6" s="858" t="s">
        <v>240</v>
      </c>
      <c r="B6" s="858"/>
      <c r="C6" s="858"/>
      <c r="D6" s="858"/>
      <c r="E6" s="858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t="e">
        <f>TRANSPOSE('Gia DT TC'!J27:L27)</f>
        <v>#VALUE!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/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/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 t="e">
        <f>E12+E11+E10</f>
        <v>#VALUE!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0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 t="e">
        <f>$D15%*(E13+E14)</f>
        <v>#VALUE!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 t="e">
        <f>(E13+E14+E15)</f>
        <v>#VALUE!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 t="e">
        <f>SUM(E18:E23)</f>
        <v>#VALUE!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 t="e">
        <f>$D$18%*E16</f>
        <v>#VALUE!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 t="e">
        <f>$D$19%*E13</f>
        <v>#VALUE!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 t="e">
        <f>IF(D20="Mức tối thiểu",2000000,IF(D20="Mức tối đa",60000000,D20%*E16))</f>
        <v>#VALUE!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 t="e">
        <f>$D21%*E$16</f>
        <v>#VALUE!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0</v>
      </c>
      <c r="E22" s="677" t="e">
        <f>$D$22%*E13</f>
        <v>#VALUE!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 t="e">
        <f>$D23%*E$16</f>
        <v>#VALUE!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 t="e">
        <f>E17+E16</f>
        <v>#VALUE!</v>
      </c>
      <c r="F24" s="254"/>
      <c r="G24" s="664"/>
      <c r="I24" s="666"/>
      <c r="J24" s="675"/>
      <c r="L24" s="675" t="e">
        <f>1%*E27</f>
        <v>#VALUE!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 t="e">
        <f>8%*(E24-E21-E20)</f>
        <v>#VALUE!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 t="e">
        <f>E24+E25</f>
        <v>#VALUE!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 t="e">
        <f>+ROUND(E26,-3)</f>
        <v>#VALUE!</v>
      </c>
      <c r="F27" s="254"/>
      <c r="G27" s="680"/>
      <c r="H27" s="681"/>
      <c r="I27" s="666"/>
      <c r="J27" s="666">
        <v>15564162000</v>
      </c>
      <c r="K27" s="666" t="e">
        <f>E27-J27</f>
        <v>#VALUE!</v>
      </c>
    </row>
    <row r="28" spans="1:12" ht="37.950000000000003" customHeight="1">
      <c r="A28" s="864" t="s">
        <v>545</v>
      </c>
      <c r="B28" s="864"/>
      <c r="C28" s="864"/>
      <c r="D28" s="864"/>
      <c r="E28" s="864"/>
      <c r="F28" s="864"/>
      <c r="G28" s="865"/>
      <c r="H28" s="865"/>
      <c r="I28" s="865"/>
      <c r="J28" s="865"/>
      <c r="K28" s="865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6" t="s">
        <v>179</v>
      </c>
      <c r="B30" s="866"/>
      <c r="C30" s="424"/>
      <c r="D30" s="866" t="s">
        <v>123</v>
      </c>
      <c r="E30" s="866"/>
      <c r="F30" s="866"/>
    </row>
    <row r="31" spans="1:12" ht="16.95" customHeight="1">
      <c r="A31" s="866"/>
      <c r="B31" s="866"/>
      <c r="C31" s="424"/>
      <c r="D31" s="866" t="s">
        <v>551</v>
      </c>
      <c r="E31" s="866"/>
      <c r="F31" s="866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6" t="s">
        <v>552</v>
      </c>
      <c r="E35" s="866"/>
      <c r="F35" s="866"/>
    </row>
    <row r="36" spans="1:6" ht="18">
      <c r="A36" s="862"/>
      <c r="B36" s="862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63"/>
      <c r="B39" s="863"/>
      <c r="C39" s="863"/>
      <c r="D39" s="863"/>
      <c r="E39" s="863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W32"/>
  <sheetViews>
    <sheetView view="pageBreakPreview" topLeftCell="A10" zoomScale="60" zoomScaleNormal="85" workbookViewId="0">
      <selection activeCell="C17" sqref="C17"/>
    </sheetView>
  </sheetViews>
  <sheetFormatPr defaultColWidth="8.8984375" defaultRowHeight="18" outlineLevelCol="1"/>
  <cols>
    <col min="1" max="2" width="5.59765625" style="3" customWidth="1"/>
    <col min="3" max="3" width="54.09765625" style="1" customWidth="1"/>
    <col min="4" max="4" width="7.3984375" style="3" customWidth="1"/>
    <col min="5" max="5" width="12.09765625" style="7" customWidth="1"/>
    <col min="6" max="6" width="8.09765625" style="7" hidden="1" customWidth="1"/>
    <col min="7" max="7" width="14" style="1" customWidth="1"/>
    <col min="8" max="8" width="13.8984375" style="1" customWidth="1"/>
    <col min="9" max="9" width="13.3984375" style="1" customWidth="1"/>
    <col min="10" max="10" width="14.8984375" style="1" customWidth="1"/>
    <col min="11" max="11" width="16" style="1" customWidth="1"/>
    <col min="12" max="12" width="15.3984375" style="1" customWidth="1"/>
    <col min="13" max="15" width="13.09765625" style="1" hidden="1" customWidth="1" outlineLevel="1"/>
    <col min="16" max="16" width="7.8984375" style="1" customWidth="1" collapsed="1"/>
    <col min="17" max="17" width="10.09765625" style="25" customWidth="1" outlineLevel="1"/>
    <col min="18" max="18" width="9.59765625" style="25" customWidth="1" outlineLevel="1"/>
    <col min="19" max="20" width="11.09765625" style="25" customWidth="1" outlineLevel="1"/>
    <col min="21" max="21" width="9.09765625" style="1" customWidth="1" outlineLevel="1"/>
    <col min="22" max="22" width="11.09765625" style="1" customWidth="1" outlineLevel="1"/>
    <col min="23" max="16384" width="8.8984375" style="1"/>
  </cols>
  <sheetData>
    <row r="1" spans="1:23" ht="20.25" customHeight="1">
      <c r="A1" s="806" t="s">
        <v>351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806"/>
      <c r="M1" s="23"/>
      <c r="N1" s="23"/>
      <c r="O1" s="23"/>
      <c r="P1" s="23"/>
    </row>
    <row r="2" spans="1:23" ht="24" customHeight="1">
      <c r="A2" s="806" t="s">
        <v>112</v>
      </c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806"/>
      <c r="M2" s="23"/>
      <c r="N2" s="23"/>
      <c r="O2" s="23"/>
      <c r="P2" s="23"/>
      <c r="R2" s="807"/>
      <c r="S2" s="807"/>
      <c r="T2" s="807"/>
      <c r="U2" s="807"/>
    </row>
    <row r="3" spans="1:23" ht="24" hidden="1" customHeight="1">
      <c r="A3" s="805" t="e">
        <f>#REF!</f>
        <v>#REF!</v>
      </c>
      <c r="B3" s="805"/>
      <c r="C3" s="805"/>
      <c r="D3" s="805"/>
      <c r="E3" s="805"/>
      <c r="F3" s="805"/>
      <c r="G3" s="805"/>
      <c r="H3" s="805"/>
      <c r="I3" s="805"/>
      <c r="J3" s="805"/>
      <c r="K3" s="805"/>
      <c r="L3" s="805"/>
      <c r="M3" s="23"/>
      <c r="N3" s="23"/>
      <c r="O3" s="23"/>
      <c r="P3" s="23"/>
    </row>
    <row r="4" spans="1:23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808"/>
      <c r="M4" s="24"/>
      <c r="N4" s="24"/>
      <c r="O4" s="24"/>
      <c r="P4" s="24"/>
      <c r="Q4" s="26"/>
      <c r="R4" s="26"/>
      <c r="S4" s="26"/>
      <c r="T4" s="26"/>
      <c r="U4" s="79"/>
    </row>
    <row r="5" spans="1:23" s="2" customFormat="1" ht="21.75" customHeight="1">
      <c r="A5" s="805" t="s">
        <v>195</v>
      </c>
      <c r="B5" s="805"/>
      <c r="C5" s="805"/>
      <c r="D5" s="805"/>
      <c r="E5" s="805"/>
      <c r="F5" s="805"/>
      <c r="G5" s="805"/>
      <c r="H5" s="805"/>
      <c r="I5" s="805"/>
      <c r="J5" s="805"/>
      <c r="K5" s="805"/>
      <c r="L5" s="805"/>
      <c r="M5" s="24"/>
      <c r="N5" s="24"/>
      <c r="O5" s="24"/>
      <c r="P5" s="24"/>
      <c r="Q5" s="26"/>
      <c r="R5" s="26"/>
      <c r="S5" s="26"/>
      <c r="T5" s="26"/>
    </row>
    <row r="6" spans="1:23" s="2" customFormat="1" ht="17.399999999999999">
      <c r="A6" s="808" t="str">
        <f>'THKP-TC'!A5</f>
        <v>Địa điểm: Xã Hồng Quang, tỉnh Hưng Yên</v>
      </c>
      <c r="B6" s="808"/>
      <c r="C6" s="805"/>
      <c r="D6" s="805"/>
      <c r="E6" s="805"/>
      <c r="F6" s="805"/>
      <c r="G6" s="805"/>
      <c r="H6" s="805"/>
      <c r="I6" s="805"/>
      <c r="J6" s="805"/>
      <c r="K6" s="805"/>
      <c r="L6" s="805"/>
      <c r="M6" s="24"/>
      <c r="N6" s="24"/>
      <c r="O6" s="24"/>
      <c r="P6" s="24"/>
      <c r="Q6" s="26"/>
      <c r="R6" s="26"/>
      <c r="S6" s="26"/>
      <c r="T6" s="26"/>
    </row>
    <row r="7" spans="1:23" s="2" customFormat="1" ht="12.75" hidden="1" customHeight="1">
      <c r="A7" s="812"/>
      <c r="B7" s="812"/>
      <c r="C7" s="812"/>
      <c r="D7" s="812"/>
      <c r="E7" s="812"/>
      <c r="F7" s="812"/>
      <c r="G7" s="812"/>
      <c r="H7" s="812"/>
      <c r="I7" s="812"/>
      <c r="J7" s="812"/>
      <c r="K7" s="812"/>
      <c r="L7" s="812"/>
      <c r="M7" s="31"/>
      <c r="N7" s="31"/>
      <c r="O7" s="31"/>
      <c r="P7" s="31"/>
      <c r="Q7" s="27"/>
      <c r="R7" s="27"/>
      <c r="S7" s="27"/>
      <c r="T7" s="26"/>
    </row>
    <row r="8" spans="1:23" ht="12.75" customHeight="1">
      <c r="C8" s="4"/>
      <c r="D8" s="4"/>
      <c r="E8" s="6"/>
      <c r="F8" s="6"/>
      <c r="G8" s="4"/>
      <c r="H8" s="4"/>
      <c r="I8" s="4"/>
      <c r="J8" s="4"/>
      <c r="K8" s="4"/>
      <c r="L8" s="4"/>
      <c r="M8" s="30"/>
      <c r="N8" s="30"/>
      <c r="O8" s="30"/>
      <c r="P8" s="30"/>
      <c r="Q8" s="25">
        <f>'THKP-TC'!G10</f>
        <v>2</v>
      </c>
    </row>
    <row r="9" spans="1:23" s="5" customFormat="1" ht="21" customHeight="1">
      <c r="A9" s="813" t="s">
        <v>0</v>
      </c>
      <c r="B9" s="813" t="s">
        <v>555</v>
      </c>
      <c r="C9" s="813" t="s">
        <v>49</v>
      </c>
      <c r="D9" s="813" t="s">
        <v>53</v>
      </c>
      <c r="E9" s="813" t="s">
        <v>22</v>
      </c>
      <c r="F9" s="813" t="s">
        <v>164</v>
      </c>
      <c r="G9" s="809" t="s">
        <v>31</v>
      </c>
      <c r="H9" s="809"/>
      <c r="I9" s="809"/>
      <c r="J9" s="809" t="s">
        <v>45</v>
      </c>
      <c r="K9" s="809"/>
      <c r="L9" s="809"/>
      <c r="M9" s="809" t="s">
        <v>167</v>
      </c>
      <c r="N9" s="809"/>
      <c r="O9" s="809"/>
      <c r="P9" s="240"/>
      <c r="Q9" s="85" t="s">
        <v>198</v>
      </c>
      <c r="R9" s="9" t="s">
        <v>199</v>
      </c>
      <c r="S9" s="9" t="s">
        <v>200</v>
      </c>
      <c r="T9" s="68" t="s">
        <v>176</v>
      </c>
    </row>
    <row r="10" spans="1:23" s="5" customFormat="1" ht="24" customHeight="1">
      <c r="A10" s="814"/>
      <c r="B10" s="814"/>
      <c r="C10" s="814"/>
      <c r="D10" s="814"/>
      <c r="E10" s="814"/>
      <c r="F10" s="814"/>
      <c r="G10" s="498" t="s">
        <v>5</v>
      </c>
      <c r="H10" s="498" t="s">
        <v>6</v>
      </c>
      <c r="I10" s="498" t="s">
        <v>7</v>
      </c>
      <c r="J10" s="498" t="s">
        <v>5</v>
      </c>
      <c r="K10" s="498" t="s">
        <v>6</v>
      </c>
      <c r="L10" s="498" t="s">
        <v>7</v>
      </c>
      <c r="M10" s="498" t="s">
        <v>5</v>
      </c>
      <c r="N10" s="498" t="s">
        <v>6</v>
      </c>
      <c r="O10" s="498" t="s">
        <v>7</v>
      </c>
      <c r="P10" s="499"/>
      <c r="Q10" s="86">
        <f>IF(OR($Q$8=3,$Q$8=4),$S$10,$R$10)</f>
        <v>1</v>
      </c>
      <c r="R10" s="498">
        <v>1</v>
      </c>
      <c r="S10" s="498">
        <v>2</v>
      </c>
      <c r="T10" s="498" t="s">
        <v>265</v>
      </c>
      <c r="U10" s="5" t="s">
        <v>294</v>
      </c>
    </row>
    <row r="11" spans="1:23" s="5" customFormat="1" ht="30" customHeight="1">
      <c r="A11" s="81" t="s">
        <v>1</v>
      </c>
      <c r="B11" s="81"/>
      <c r="C11" s="607" t="s">
        <v>160</v>
      </c>
      <c r="D11" s="81"/>
      <c r="E11" s="208"/>
      <c r="F11" s="208"/>
      <c r="G11" s="498"/>
      <c r="H11" s="498"/>
      <c r="I11" s="498"/>
      <c r="J11" s="382">
        <f t="shared" ref="J11:O11" si="0">SUM(J12:J18)</f>
        <v>5208997.4635888003</v>
      </c>
      <c r="K11" s="382">
        <f t="shared" si="0"/>
        <v>130958181</v>
      </c>
      <c r="L11" s="382">
        <f t="shared" si="0"/>
        <v>49083054.229040004</v>
      </c>
      <c r="M11" s="66">
        <f t="shared" si="0"/>
        <v>0</v>
      </c>
      <c r="N11" s="66">
        <f t="shared" si="0"/>
        <v>0</v>
      </c>
      <c r="O11" s="66">
        <f t="shared" si="0"/>
        <v>0</v>
      </c>
      <c r="P11" s="500"/>
      <c r="Q11" s="501"/>
      <c r="R11" s="501"/>
      <c r="S11" s="501"/>
      <c r="T11" s="28"/>
      <c r="U11" s="208"/>
    </row>
    <row r="12" spans="1:23" s="5" customFormat="1" ht="45" customHeight="1">
      <c r="A12" s="502">
        <f>_xlfn.AGGREGATE(3,5,$C12:C$12)</f>
        <v>1</v>
      </c>
      <c r="B12" s="502"/>
      <c r="C12" s="608" t="str">
        <f>"Phát quang mặt bằng tương đương rừng loại 1, chiếm "&amp;Q12&amp;"% diện tích cạn, không phải bãi mìn"</f>
        <v>Phát quang mặt bằng tương đương rừng loại 1, chiếm 50% diện tích cạn, không phải bãi mìn</v>
      </c>
      <c r="D12" s="503" t="s">
        <v>9</v>
      </c>
      <c r="E12" s="226">
        <f>ROUND(E13*Q12%,3)</f>
        <v>1.905</v>
      </c>
      <c r="F12" s="383"/>
      <c r="G12" s="384">
        <f>TTBMVN_DG204CAB6BD224B3BF_VL</f>
        <v>0</v>
      </c>
      <c r="H12" s="384">
        <f>TTBMVN_DG204CAB6BD224B3BF_NC</f>
        <v>36481500</v>
      </c>
      <c r="I12" s="384">
        <f>TTBMVN_DG204CAB6BD224B3BF_M</f>
        <v>0</v>
      </c>
      <c r="J12" s="384">
        <f>E12*G12</f>
        <v>0</v>
      </c>
      <c r="K12" s="384">
        <f>E12*H12</f>
        <v>69497257.5</v>
      </c>
      <c r="L12" s="384">
        <f>E12*I12</f>
        <v>0</v>
      </c>
      <c r="M12" s="241">
        <f t="shared" ref="M12:M18" si="1">F12*G12</f>
        <v>0</v>
      </c>
      <c r="N12" s="241">
        <f t="shared" ref="N12:N18" si="2">F12*H12</f>
        <v>0</v>
      </c>
      <c r="O12" s="241">
        <f t="shared" ref="O12:O18" si="3">F12*I12</f>
        <v>0</v>
      </c>
      <c r="P12" s="241"/>
      <c r="Q12" s="501">
        <f t="shared" ref="Q12:Q14" si="4">IF($Q$10=1,R12,S12)</f>
        <v>50</v>
      </c>
      <c r="R12" s="501">
        <v>50</v>
      </c>
      <c r="S12" s="501">
        <v>35</v>
      </c>
      <c r="T12" s="501"/>
      <c r="U12" s="67"/>
      <c r="V12" s="504">
        <v>15</v>
      </c>
      <c r="W12" s="210"/>
    </row>
    <row r="13" spans="1:23" ht="30" customHeight="1">
      <c r="A13" s="505">
        <f>_xlfn.AGGREGATE(3,5,$C$12:C13)</f>
        <v>2</v>
      </c>
      <c r="B13" s="505"/>
      <c r="C13" s="98" t="str">
        <f>"Dò tìm trên cạn đến độ sâu 0,3m. "&amp;Q13</f>
        <v>Dò tìm trên cạn đến độ sâu 0,3m. Mật độ 1</v>
      </c>
      <c r="D13" s="506" t="s">
        <v>9</v>
      </c>
      <c r="E13" s="242">
        <f>THKL!F18</f>
        <v>3.81</v>
      </c>
      <c r="F13" s="242"/>
      <c r="G13" s="385">
        <f>TTBMVN_DG03837B4BF438189A_VL</f>
        <v>851550</v>
      </c>
      <c r="H13" s="385">
        <f>TTBMVN_DG03837B4BF438189A_NC</f>
        <v>8593200</v>
      </c>
      <c r="I13" s="385">
        <f>TTBMVN_DG03837B4BF438189A_M</f>
        <v>8827863.7200000007</v>
      </c>
      <c r="J13" s="385">
        <f>E13*G13</f>
        <v>3244405.5</v>
      </c>
      <c r="K13" s="385">
        <f>E13*H13</f>
        <v>32740092</v>
      </c>
      <c r="L13" s="385">
        <f>E13*I13</f>
        <v>33634160.773200005</v>
      </c>
      <c r="M13" s="241">
        <f t="shared" si="1"/>
        <v>0</v>
      </c>
      <c r="N13" s="241">
        <f t="shared" si="2"/>
        <v>0</v>
      </c>
      <c r="O13" s="241">
        <f t="shared" si="3"/>
        <v>0</v>
      </c>
      <c r="P13" s="241"/>
      <c r="Q13" s="501" t="str">
        <f t="shared" si="4"/>
        <v>Mật độ 1</v>
      </c>
      <c r="R13" s="501" t="str">
        <f>S13</f>
        <v>Mật độ 1</v>
      </c>
      <c r="S13" s="501" t="str">
        <f>T13</f>
        <v>Mật độ 1</v>
      </c>
      <c r="T13" s="501" t="s">
        <v>266</v>
      </c>
      <c r="U13" s="242" cm="1">
        <f t="array" ref="U13">_xlfn.IFS(U10="Khu vực 1",2,U10="Khu vực 2",3,U10="Khu vực 3",4,U10="Khu vực 4",5,U10="Khu vực đặc biệt",6)</f>
        <v>2</v>
      </c>
      <c r="V13" s="504"/>
      <c r="W13" s="210"/>
    </row>
    <row r="14" spans="1:23" ht="30" customHeight="1">
      <c r="A14" s="505">
        <f>_xlfn.AGGREGATE(3,5,$C$12:C14)</f>
        <v>3</v>
      </c>
      <c r="B14" s="505"/>
      <c r="C14" s="98" t="str">
        <f>"Đào, xử lý đến độ sâu 0,3m ("&amp;Q14&amp;" TH/ha). Đất C1"</f>
        <v>Đào, xử lý đến độ sâu 0,3m (70 TH/ha). Đất C1</v>
      </c>
      <c r="D14" s="506" t="s">
        <v>239</v>
      </c>
      <c r="E14" s="243">
        <f>ROUND(E13*Q14,0)</f>
        <v>267</v>
      </c>
      <c r="F14" s="243"/>
      <c r="G14" s="385">
        <f>TTBMVN_DG84783FBB731FF946_VL</f>
        <v>0</v>
      </c>
      <c r="H14" s="385">
        <f>TTBMVN_DG84783FBB731FF946_NC</f>
        <v>31050</v>
      </c>
      <c r="I14" s="385">
        <f>TTBMVN_DG84783FBB731FF946_M</f>
        <v>10681.944</v>
      </c>
      <c r="J14" s="385">
        <f>E14*G14</f>
        <v>0</v>
      </c>
      <c r="K14" s="385">
        <f>E14*H14</f>
        <v>8290350</v>
      </c>
      <c r="L14" s="385">
        <f>E14*I14</f>
        <v>2852079.048</v>
      </c>
      <c r="M14" s="241">
        <f t="shared" si="1"/>
        <v>0</v>
      </c>
      <c r="N14" s="241">
        <f t="shared" si="2"/>
        <v>0</v>
      </c>
      <c r="O14" s="241">
        <f t="shared" si="3"/>
        <v>0</v>
      </c>
      <c r="P14" s="241"/>
      <c r="Q14" s="501">
        <f t="shared" si="4"/>
        <v>70</v>
      </c>
      <c r="R14" s="501">
        <v>70</v>
      </c>
      <c r="S14" s="501">
        <v>45</v>
      </c>
      <c r="T14" s="501">
        <f>HLOOKUP(U14,Tracuu!$B$18:$G$23,U13,FALSE)</f>
        <v>70</v>
      </c>
      <c r="U14" s="243">
        <v>0.3</v>
      </c>
      <c r="V14" s="507">
        <v>35</v>
      </c>
    </row>
    <row r="15" spans="1:23" ht="30" customHeight="1">
      <c r="A15" s="505">
        <f>_xlfn.AGGREGATE(3,5,$C$12:C15)</f>
        <v>4</v>
      </c>
      <c r="B15" s="505"/>
      <c r="C15" s="98" t="s">
        <v>359</v>
      </c>
      <c r="D15" s="506" t="s">
        <v>9</v>
      </c>
      <c r="E15" s="242">
        <f>THKL!F19</f>
        <v>2.4699999999999998</v>
      </c>
      <c r="F15" s="242"/>
      <c r="G15" s="385">
        <v>640500</v>
      </c>
      <c r="H15" s="385">
        <v>3489750</v>
      </c>
      <c r="I15" s="385">
        <v>5030522.8</v>
      </c>
      <c r="J15" s="385">
        <f t="shared" ref="J12:J18" si="5">E15*G15</f>
        <v>1582034.9999999998</v>
      </c>
      <c r="K15" s="385">
        <f t="shared" ref="K12:K18" si="6">E15*H15</f>
        <v>8619682.5</v>
      </c>
      <c r="L15" s="385">
        <f t="shared" ref="L12:L18" si="7">E15*I15</f>
        <v>12425391.315999998</v>
      </c>
      <c r="M15" s="241">
        <f t="shared" si="1"/>
        <v>0</v>
      </c>
      <c r="N15" s="241">
        <f t="shared" si="2"/>
        <v>0</v>
      </c>
      <c r="O15" s="241">
        <f t="shared" si="3"/>
        <v>0</v>
      </c>
      <c r="P15" s="241"/>
      <c r="Q15" s="28"/>
      <c r="R15" s="28"/>
      <c r="S15" s="28"/>
      <c r="T15" s="28"/>
      <c r="U15" s="242"/>
      <c r="V15" s="242"/>
    </row>
    <row r="16" spans="1:23" hidden="1">
      <c r="A16" s="505">
        <f>_xlfn.AGGREGATE(3,5,$C$12:C16)</f>
        <v>4</v>
      </c>
      <c r="B16" s="505"/>
      <c r="C16" s="98" t="s">
        <v>175</v>
      </c>
      <c r="D16" s="506" t="s">
        <v>9</v>
      </c>
      <c r="E16" s="242">
        <v>0</v>
      </c>
      <c r="F16" s="242"/>
      <c r="G16" s="385">
        <v>640500</v>
      </c>
      <c r="H16" s="385">
        <v>3841200</v>
      </c>
      <c r="I16" s="385">
        <v>5533575.0800000001</v>
      </c>
      <c r="J16" s="385">
        <f t="shared" si="5"/>
        <v>0</v>
      </c>
      <c r="K16" s="385">
        <f t="shared" si="6"/>
        <v>0</v>
      </c>
      <c r="L16" s="385">
        <f t="shared" si="7"/>
        <v>0</v>
      </c>
      <c r="M16" s="241">
        <f t="shared" si="1"/>
        <v>0</v>
      </c>
      <c r="N16" s="241">
        <f t="shared" si="2"/>
        <v>0</v>
      </c>
      <c r="O16" s="241">
        <f t="shared" si="3"/>
        <v>0</v>
      </c>
      <c r="P16" s="241"/>
      <c r="Q16" s="28"/>
      <c r="R16" s="28"/>
      <c r="S16" s="28"/>
      <c r="T16" s="28"/>
      <c r="U16" s="242"/>
      <c r="V16" s="242"/>
    </row>
    <row r="17" spans="1:23" ht="30" customHeight="1">
      <c r="A17" s="505">
        <f>_xlfn.AGGREGATE(3,5,$C$12:C17)</f>
        <v>5</v>
      </c>
      <c r="B17" s="505"/>
      <c r="C17" s="98" t="str">
        <f>"Đào đất xử lý tín hiệu từ độ sâu 0,3m - 3m (0"&amp;Q17&amp;" TH/ha). Đất C2"</f>
        <v>Đào đất xử lý tín hiệu từ độ sâu 0,3m - 3m (03 TH/ha). Đất C2</v>
      </c>
      <c r="D17" s="506" t="s">
        <v>14</v>
      </c>
      <c r="E17" s="242">
        <f>ROUND((E15+E16)*Q17,0)*2.86</f>
        <v>20.02</v>
      </c>
      <c r="F17" s="242"/>
      <c r="G17" s="385">
        <v>19108.739440000001</v>
      </c>
      <c r="H17" s="385">
        <v>589950</v>
      </c>
      <c r="I17" s="385">
        <v>8562.5920000000006</v>
      </c>
      <c r="J17" s="385">
        <f t="shared" si="5"/>
        <v>382556.96358879999</v>
      </c>
      <c r="K17" s="385">
        <f t="shared" si="6"/>
        <v>11810799</v>
      </c>
      <c r="L17" s="385">
        <f t="shared" si="7"/>
        <v>171423.09184000001</v>
      </c>
      <c r="M17" s="241">
        <f t="shared" si="1"/>
        <v>0</v>
      </c>
      <c r="N17" s="241">
        <f t="shared" si="2"/>
        <v>0</v>
      </c>
      <c r="O17" s="241">
        <f t="shared" si="3"/>
        <v>0</v>
      </c>
      <c r="P17" s="241"/>
      <c r="Q17" s="501">
        <f t="shared" ref="Q17:Q18" si="8">IF($Q$10=1,R17,S17)</f>
        <v>3</v>
      </c>
      <c r="R17" s="501">
        <v>3</v>
      </c>
      <c r="S17" s="501">
        <v>2</v>
      </c>
      <c r="T17" s="501">
        <f>HLOOKUP(U17,Tracuu!$B$18:$G$23,U13,FALSE)</f>
        <v>3</v>
      </c>
      <c r="U17" s="242">
        <v>3</v>
      </c>
      <c r="V17" s="242"/>
    </row>
    <row r="18" spans="1:23" hidden="1">
      <c r="A18" s="505">
        <f>_xlfn.AGGREGATE(3,5,$C$12:C18)</f>
        <v>5</v>
      </c>
      <c r="B18" s="505"/>
      <c r="C18" s="98" t="str">
        <f>"Đào đất xử lý tín hiệu từ độ sâu 3m - 5m ("&amp;TEXT(Q18,"0,0")&amp;" TH/ha). Đất C2"</f>
        <v>Đào đất xử lý tín hiệu từ độ sâu 3m - 5m (0,3 TH/ha). Đất C2</v>
      </c>
      <c r="D18" s="506" t="s">
        <v>14</v>
      </c>
      <c r="E18" s="242">
        <f>ROUND(E16*Q18,0)*14.67</f>
        <v>0</v>
      </c>
      <c r="F18" s="242"/>
      <c r="G18" s="385">
        <v>0</v>
      </c>
      <c r="H18" s="385">
        <v>0</v>
      </c>
      <c r="I18" s="385">
        <v>0</v>
      </c>
      <c r="J18" s="385">
        <f t="shared" si="5"/>
        <v>0</v>
      </c>
      <c r="K18" s="385">
        <f t="shared" si="6"/>
        <v>0</v>
      </c>
      <c r="L18" s="385">
        <f t="shared" si="7"/>
        <v>0</v>
      </c>
      <c r="M18" s="241">
        <f t="shared" si="1"/>
        <v>0</v>
      </c>
      <c r="N18" s="241">
        <f t="shared" si="2"/>
        <v>0</v>
      </c>
      <c r="O18" s="241">
        <f t="shared" si="3"/>
        <v>0</v>
      </c>
      <c r="P18" s="241"/>
      <c r="Q18" s="501">
        <f t="shared" si="8"/>
        <v>0.3</v>
      </c>
      <c r="R18" s="28">
        <v>0.3</v>
      </c>
      <c r="S18" s="28">
        <v>0.2</v>
      </c>
      <c r="T18" s="501">
        <f>HLOOKUP(U18,Tracuu!$B$18:$G$23,U13,FALSE)</f>
        <v>0.3</v>
      </c>
      <c r="U18" s="242">
        <v>5</v>
      </c>
      <c r="V18" s="242"/>
    </row>
    <row r="19" spans="1:23" s="5" customFormat="1" ht="30" customHeight="1">
      <c r="A19" s="81" t="s">
        <v>2</v>
      </c>
      <c r="B19" s="81"/>
      <c r="C19" s="607" t="s">
        <v>398</v>
      </c>
      <c r="D19" s="81"/>
      <c r="E19" s="227"/>
      <c r="F19" s="208"/>
      <c r="G19" s="498"/>
      <c r="H19" s="498"/>
      <c r="I19" s="498"/>
      <c r="J19" s="382">
        <f t="shared" ref="J19:O19" si="9">SUM(J20:J26)</f>
        <v>7331588.1559999995</v>
      </c>
      <c r="K19" s="382">
        <f t="shared" si="9"/>
        <v>143774571.59999999</v>
      </c>
      <c r="L19" s="382">
        <f t="shared" si="9"/>
        <v>509776991.89318007</v>
      </c>
      <c r="M19" s="66">
        <f t="shared" si="9"/>
        <v>0</v>
      </c>
      <c r="N19" s="66">
        <f t="shared" si="9"/>
        <v>0</v>
      </c>
      <c r="O19" s="66">
        <f t="shared" si="9"/>
        <v>0</v>
      </c>
      <c r="P19" s="208"/>
      <c r="Q19" s="501"/>
      <c r="R19" s="28"/>
      <c r="S19" s="28"/>
      <c r="T19" s="28"/>
      <c r="U19" s="208"/>
    </row>
    <row r="20" spans="1:23" ht="30" customHeight="1">
      <c r="A20" s="505">
        <f>_xlfn.AGGREGATE(3,5,$C$20:C20)</f>
        <v>1</v>
      </c>
      <c r="B20" s="505"/>
      <c r="C20" s="98" t="s">
        <v>342</v>
      </c>
      <c r="D20" s="506" t="s">
        <v>9</v>
      </c>
      <c r="E20" s="242">
        <f>THKL!F21</f>
        <v>6.65</v>
      </c>
      <c r="F20" s="242"/>
      <c r="G20" s="385">
        <v>572387.19999999995</v>
      </c>
      <c r="H20" s="385">
        <v>11790900</v>
      </c>
      <c r="I20" s="385">
        <v>39574428.280000001</v>
      </c>
      <c r="J20" s="385">
        <f t="shared" ref="J20:J25" si="10">E20*G20</f>
        <v>3806374.88</v>
      </c>
      <c r="K20" s="385">
        <f t="shared" ref="K20:K25" si="11">E20*H20</f>
        <v>78409485</v>
      </c>
      <c r="L20" s="385">
        <f t="shared" ref="L20:L25" si="12">E20*I20</f>
        <v>263169948.06200004</v>
      </c>
      <c r="M20" s="241">
        <f t="shared" ref="M20:M25" si="13">F20*G20</f>
        <v>0</v>
      </c>
      <c r="N20" s="241">
        <f t="shared" ref="N20:N25" si="14">F20*H20</f>
        <v>0</v>
      </c>
      <c r="O20" s="241">
        <f t="shared" ref="O20:O25" si="15">F20*I20</f>
        <v>0</v>
      </c>
      <c r="P20" s="241"/>
      <c r="Q20" s="501"/>
      <c r="R20" s="501"/>
      <c r="S20" s="501"/>
      <c r="T20" s="501"/>
      <c r="U20" s="242"/>
      <c r="V20" s="504"/>
      <c r="W20" s="210"/>
    </row>
    <row r="21" spans="1:23" ht="30" customHeight="1">
      <c r="A21" s="505">
        <f>_xlfn.AGGREGATE(3,5,$C$20:C21)</f>
        <v>2</v>
      </c>
      <c r="B21" s="505"/>
      <c r="C21" s="98" t="s">
        <v>451</v>
      </c>
      <c r="D21" s="386" t="s">
        <v>9</v>
      </c>
      <c r="E21" s="242">
        <f>THKL!F22</f>
        <v>6.58</v>
      </c>
      <c r="F21" s="242"/>
      <c r="G21" s="385">
        <v>360287.2</v>
      </c>
      <c r="H21" s="385">
        <v>4855950</v>
      </c>
      <c r="I21" s="385">
        <v>19792190.91</v>
      </c>
      <c r="J21" s="385">
        <f t="shared" si="10"/>
        <v>2370689.7760000001</v>
      </c>
      <c r="K21" s="385">
        <f t="shared" si="11"/>
        <v>31952151</v>
      </c>
      <c r="L21" s="385">
        <f t="shared" si="12"/>
        <v>130232616.18780001</v>
      </c>
      <c r="M21" s="241">
        <f t="shared" si="13"/>
        <v>0</v>
      </c>
      <c r="N21" s="241">
        <f t="shared" si="14"/>
        <v>0</v>
      </c>
      <c r="O21" s="241">
        <f t="shared" si="15"/>
        <v>0</v>
      </c>
      <c r="P21" s="242"/>
      <c r="Q21" s="501"/>
      <c r="R21" s="501"/>
      <c r="S21" s="501"/>
      <c r="T21" s="501"/>
      <c r="U21" s="242"/>
      <c r="V21" s="242"/>
    </row>
    <row r="22" spans="1:23" ht="30" customHeight="1">
      <c r="A22" s="505">
        <f>_xlfn.AGGREGATE(3,5,$C$20:C22)</f>
        <v>3</v>
      </c>
      <c r="B22" s="505"/>
      <c r="C22" s="98" t="s">
        <v>343</v>
      </c>
      <c r="D22" s="506" t="s">
        <v>239</v>
      </c>
      <c r="E22" s="243">
        <f>SUM(E23:F25)</f>
        <v>141</v>
      </c>
      <c r="F22" s="243"/>
      <c r="G22" s="385">
        <v>4393.5</v>
      </c>
      <c r="H22" s="385">
        <v>27720</v>
      </c>
      <c r="I22" s="385">
        <v>34270.800000000003</v>
      </c>
      <c r="J22" s="385">
        <f t="shared" si="10"/>
        <v>619483.5</v>
      </c>
      <c r="K22" s="385">
        <f t="shared" si="11"/>
        <v>3908520</v>
      </c>
      <c r="L22" s="385">
        <f t="shared" si="12"/>
        <v>4832182.8000000007</v>
      </c>
      <c r="M22" s="241">
        <f t="shared" si="13"/>
        <v>0</v>
      </c>
      <c r="N22" s="241">
        <f t="shared" si="14"/>
        <v>0</v>
      </c>
      <c r="O22" s="241">
        <f t="shared" si="15"/>
        <v>0</v>
      </c>
      <c r="P22" s="243"/>
      <c r="Q22" s="501"/>
      <c r="R22" s="501"/>
      <c r="S22" s="501"/>
      <c r="T22" s="501"/>
      <c r="U22" s="243"/>
      <c r="V22" s="243"/>
    </row>
    <row r="23" spans="1:23" ht="30" customHeight="1">
      <c r="A23" s="505">
        <f>_xlfn.AGGREGATE(3,5,$C$20:C23)</f>
        <v>4</v>
      </c>
      <c r="B23" s="505"/>
      <c r="C23" s="98" t="str">
        <f>"Lặn xử lý tín hiệu đến độ sâu 0,5m ("&amp;Q23&amp;" TH/ha)"</f>
        <v>Lặn xử lý tín hiệu đến độ sâu 0,5m (20 TH/ha)</v>
      </c>
      <c r="D23" s="506" t="s">
        <v>239</v>
      </c>
      <c r="E23" s="243">
        <f>ROUND(E20*Q23,0)</f>
        <v>133</v>
      </c>
      <c r="F23" s="242"/>
      <c r="G23" s="385">
        <v>0</v>
      </c>
      <c r="H23" s="385">
        <v>113850</v>
      </c>
      <c r="I23" s="385">
        <v>441645.14</v>
      </c>
      <c r="J23" s="385">
        <f t="shared" si="10"/>
        <v>0</v>
      </c>
      <c r="K23" s="385">
        <f t="shared" si="11"/>
        <v>15142050</v>
      </c>
      <c r="L23" s="385">
        <f t="shared" si="12"/>
        <v>58738803.620000005</v>
      </c>
      <c r="M23" s="241">
        <f t="shared" si="13"/>
        <v>0</v>
      </c>
      <c r="N23" s="241">
        <f t="shared" si="14"/>
        <v>0</v>
      </c>
      <c r="O23" s="241">
        <f t="shared" si="15"/>
        <v>0</v>
      </c>
      <c r="P23" s="243"/>
      <c r="Q23" s="501">
        <f>IF($Q$10=1,R23,S23)</f>
        <v>20</v>
      </c>
      <c r="R23" s="28">
        <v>20</v>
      </c>
      <c r="S23" s="28">
        <v>15</v>
      </c>
      <c r="T23" s="209">
        <f>HLOOKUP(U23,Tracuu!$B$28:$G$33,U13,FALSE)</f>
        <v>20</v>
      </c>
      <c r="U23" s="242">
        <v>0.5</v>
      </c>
      <c r="V23" s="242">
        <v>10</v>
      </c>
    </row>
    <row r="24" spans="1:23" ht="30" customHeight="1">
      <c r="A24" s="505">
        <f>_xlfn.AGGREGATE(3,5,$C$20:C24)</f>
        <v>5</v>
      </c>
      <c r="B24" s="505"/>
      <c r="C24" s="98" t="str">
        <f>"Lặn xử lý tín hiệu từ độ sâu 0,5m - 1m ("&amp;TEXT(Q24,"00")&amp;"TH/ha)"</f>
        <v>Lặn xử lý tín hiệu từ độ sâu 0,5m - 1m (01TH/ha)</v>
      </c>
      <c r="D24" s="506" t="s">
        <v>239</v>
      </c>
      <c r="E24" s="243">
        <f>IF(ROUND($E21*Q24,0)=0,1,ROUND(+$E21*Q24,0))</f>
        <v>7</v>
      </c>
      <c r="F24" s="242"/>
      <c r="G24" s="385">
        <v>0</v>
      </c>
      <c r="H24" s="385">
        <v>113850</v>
      </c>
      <c r="I24" s="385">
        <v>764584.71299999999</v>
      </c>
      <c r="J24" s="385">
        <f t="shared" si="10"/>
        <v>0</v>
      </c>
      <c r="K24" s="385">
        <f t="shared" si="11"/>
        <v>796950</v>
      </c>
      <c r="L24" s="385">
        <f t="shared" si="12"/>
        <v>5352092.9910000004</v>
      </c>
      <c r="M24" s="241">
        <f t="shared" si="13"/>
        <v>0</v>
      </c>
      <c r="N24" s="241">
        <f t="shared" si="14"/>
        <v>0</v>
      </c>
      <c r="O24" s="241">
        <f t="shared" si="15"/>
        <v>0</v>
      </c>
      <c r="P24" s="243"/>
      <c r="Q24" s="501">
        <f>IF($Q$10=1,R24,S24)</f>
        <v>1</v>
      </c>
      <c r="R24" s="28">
        <v>1</v>
      </c>
      <c r="S24" s="28">
        <v>1</v>
      </c>
      <c r="T24" s="28">
        <f>HLOOKUP(U24,Tracuu!$B$28:$G$33,U13,FALSE)</f>
        <v>1</v>
      </c>
      <c r="U24" s="242">
        <v>1</v>
      </c>
      <c r="V24" s="242"/>
    </row>
    <row r="25" spans="1:23" ht="30" customHeight="1">
      <c r="A25" s="505">
        <f>_xlfn.AGGREGATE(3,5,$C$20:C25)</f>
        <v>6</v>
      </c>
      <c r="B25" s="945"/>
      <c r="C25" s="609" t="str">
        <f>"Lặn xử lý tín hiệu từ độ sâu 1m - 3m ( "&amp;Q25&amp;" TH/ha)"</f>
        <v>Lặn xử lý tín hiệu từ độ sâu 1m - 3m ( 0,1 TH/ha)</v>
      </c>
      <c r="D25" s="506" t="s">
        <v>239</v>
      </c>
      <c r="E25" s="243">
        <f>IF(ROUND($E21*Q25,0)=0,1,ROUND($E21*Q25,0))</f>
        <v>1</v>
      </c>
      <c r="F25" s="242"/>
      <c r="G25" s="385">
        <v>535040</v>
      </c>
      <c r="H25" s="385">
        <v>495000</v>
      </c>
      <c r="I25" s="385">
        <v>1107985.3330000001</v>
      </c>
      <c r="J25" s="385">
        <f t="shared" si="10"/>
        <v>535040</v>
      </c>
      <c r="K25" s="385">
        <f t="shared" si="11"/>
        <v>495000</v>
      </c>
      <c r="L25" s="385">
        <f t="shared" si="12"/>
        <v>1107985.3330000001</v>
      </c>
      <c r="M25" s="241">
        <f t="shared" si="13"/>
        <v>0</v>
      </c>
      <c r="N25" s="241">
        <f t="shared" si="14"/>
        <v>0</v>
      </c>
      <c r="O25" s="241">
        <f t="shared" si="15"/>
        <v>0</v>
      </c>
      <c r="P25" s="243"/>
      <c r="Q25" s="501">
        <f>IF($Q$10=1,R25,S25)</f>
        <v>0.1</v>
      </c>
      <c r="R25" s="501">
        <v>0.1</v>
      </c>
      <c r="S25" s="501">
        <v>0.05</v>
      </c>
      <c r="T25" s="501">
        <f>HLOOKUP(U25,Tracuu!$B$28:$G$33,U13,FALSE)</f>
        <v>0.1</v>
      </c>
      <c r="U25" s="242">
        <v>10</v>
      </c>
      <c r="V25" s="242"/>
    </row>
    <row r="26" spans="1:23" ht="30" customHeight="1" collapsed="1">
      <c r="A26" s="505"/>
      <c r="B26" s="945"/>
      <c r="C26" s="377" t="s">
        <v>350</v>
      </c>
      <c r="D26" s="508"/>
      <c r="E26" s="376"/>
      <c r="F26" s="387"/>
      <c r="G26" s="388"/>
      <c r="H26" s="388"/>
      <c r="I26" s="388"/>
      <c r="J26" s="388">
        <v>0</v>
      </c>
      <c r="K26" s="388">
        <f>SUM(K20:K25)*0.1</f>
        <v>13070415.600000001</v>
      </c>
      <c r="L26" s="388">
        <f>SUM(L20:L25)*0.1</f>
        <v>46343362.899380006</v>
      </c>
      <c r="M26" s="241">
        <v>0</v>
      </c>
      <c r="N26" s="241">
        <f>SUM(N20:N25)*0.1</f>
        <v>0</v>
      </c>
      <c r="O26" s="241">
        <f>SUM(O20:O25)*0.1</f>
        <v>0</v>
      </c>
      <c r="P26" s="241"/>
      <c r="Q26" s="509"/>
      <c r="R26" s="509"/>
      <c r="S26" s="509"/>
      <c r="T26" s="509"/>
    </row>
    <row r="27" spans="1:23" ht="30" customHeight="1">
      <c r="A27" s="510"/>
      <c r="B27" s="510"/>
      <c r="C27" s="510" t="s">
        <v>178</v>
      </c>
      <c r="D27" s="510"/>
      <c r="E27" s="511"/>
      <c r="F27" s="511"/>
      <c r="G27" s="511" t="s">
        <v>554</v>
      </c>
      <c r="H27" s="511" t="s">
        <v>554</v>
      </c>
      <c r="I27" s="511" t="s">
        <v>554</v>
      </c>
      <c r="J27" s="512">
        <f t="shared" ref="J27:O27" si="16">J11+J19</f>
        <v>12540585.6195888</v>
      </c>
      <c r="K27" s="512">
        <f t="shared" si="16"/>
        <v>274732752.60000002</v>
      </c>
      <c r="L27" s="512">
        <f t="shared" si="16"/>
        <v>558860046.12222004</v>
      </c>
      <c r="M27" s="512">
        <f t="shared" si="16"/>
        <v>0</v>
      </c>
      <c r="N27" s="512">
        <f t="shared" si="16"/>
        <v>0</v>
      </c>
      <c r="O27" s="512">
        <f t="shared" si="16"/>
        <v>0</v>
      </c>
      <c r="P27" s="513"/>
      <c r="Q27" s="29"/>
      <c r="R27" s="29"/>
      <c r="S27" s="29"/>
      <c r="T27" s="29"/>
      <c r="U27" s="511"/>
    </row>
    <row r="28" spans="1:23">
      <c r="E28" s="244"/>
      <c r="G28" s="205"/>
    </row>
    <row r="29" spans="1:23">
      <c r="J29" s="20"/>
      <c r="K29" s="206"/>
      <c r="L29" s="20"/>
      <c r="Q29" s="207"/>
    </row>
    <row r="30" spans="1:23">
      <c r="D30" s="810"/>
      <c r="E30" s="811"/>
      <c r="J30" s="206"/>
      <c r="K30" s="206"/>
      <c r="L30" s="206"/>
      <c r="Q30" s="207"/>
    </row>
    <row r="31" spans="1:23">
      <c r="D31" s="810"/>
      <c r="E31" s="811"/>
    </row>
    <row r="32" spans="1:23">
      <c r="E32" s="19"/>
      <c r="F32" s="19"/>
    </row>
  </sheetData>
  <mergeCells count="19">
    <mergeCell ref="M9:O9"/>
    <mergeCell ref="D30:E30"/>
    <mergeCell ref="D31:E31"/>
    <mergeCell ref="A6:L6"/>
    <mergeCell ref="A7:L7"/>
    <mergeCell ref="A9:A10"/>
    <mergeCell ref="C9:C10"/>
    <mergeCell ref="D9:D10"/>
    <mergeCell ref="E9:E10"/>
    <mergeCell ref="F9:F10"/>
    <mergeCell ref="G9:I9"/>
    <mergeCell ref="J9:L9"/>
    <mergeCell ref="B9:B10"/>
    <mergeCell ref="A5:L5"/>
    <mergeCell ref="A1:L1"/>
    <mergeCell ref="A2:L2"/>
    <mergeCell ref="R2:U2"/>
    <mergeCell ref="A3:L3"/>
    <mergeCell ref="A4:L4"/>
  </mergeCells>
  <dataValidations disablePrompts="1" count="1">
    <dataValidation type="list" allowBlank="1" showInputMessage="1" showErrorMessage="1" sqref="R2:U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2" max="1048575" man="1"/>
    <brk id="15" max="22" man="1"/>
  </colBreaks>
  <customProperties>
    <customPr name="TTBMVN.EstimateSourceId" r:id="rId2"/>
    <customPr name="TTBMVN.WorksheetRole" r:id="rId3"/>
  </customProperties>
  <legacy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1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TC'!E12</f>
        <v>1.905</v>
      </c>
      <c r="K6" s="519">
        <f>'Gia DT TC'!F12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TC'!E13</f>
        <v>3.81</v>
      </c>
      <c r="K18" s="539">
        <f>'Gia DT TC'!F13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TC'!E14</f>
        <v>267</v>
      </c>
      <c r="K69" s="519">
        <f>'Gia DT TC'!F14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TC'!E15</f>
        <v>2.4699999999999998</v>
      </c>
      <c r="K83" s="546">
        <f>'Gia DT TC'!F15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TC'!E16</f>
        <v>0</v>
      </c>
      <c r="K101" s="547">
        <f>'Gia DT TC'!F16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TC'!E17</f>
        <v>20.02</v>
      </c>
      <c r="K117" s="548">
        <f>'Gia DT TC'!F17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TC'!E18</f>
        <v>0</v>
      </c>
      <c r="K133" s="552">
        <f>'Gia DT TC'!F18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TC'!F19+'Gia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TC'!E20</f>
        <v>6.65</v>
      </c>
      <c r="K17" s="183">
        <f>'Gia DT TC'!F20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TC'!E21</f>
        <v>6.58</v>
      </c>
      <c r="K40" s="184">
        <f>'Gia DT TC'!F21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TC'!E22</f>
        <v>141</v>
      </c>
      <c r="K62" s="185">
        <f>'Gia DT TC'!F22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TC'!E23</f>
        <v>133</v>
      </c>
      <c r="K80" s="185">
        <f>'Gia DT TC'!F23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TC'!E24</f>
        <v>7</v>
      </c>
      <c r="K93" s="186">
        <f>'Gia DT TC'!F24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TC'!E25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TC'!F25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 t="e">
        <f>'THKP-TC'!E16</f>
        <v>#VALUE!</v>
      </c>
      <c r="Q5" s="235" t="e">
        <f>'THKP-TC'!E16</f>
        <v>#VALUE!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0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 t="e">
        <f>LOOKUP(IF(P5/10^9&lt;10,10,P5/10^9),D7:N7)</f>
        <v>#VALUE!</v>
      </c>
      <c r="P8" s="201" t="e" cm="1">
        <f t="array" ref="P8">INDEX(D7:N7,MATCH(IF(P5/10^9&lt;10,10,P5/10^9),D7:N7)+1)</f>
        <v>#VALUE!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0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 t="e">
        <f>IF('THKP-TC'!$E$13&lt;15*10^9,15*10^9,'THKP-TC'!$E$13)</f>
        <v>#VALUE!</v>
      </c>
      <c r="K19" s="904"/>
      <c r="L19" s="898" t="e">
        <f>'THKP-TC'!E13</f>
        <v>#VALUE!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#VALUE!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 t="e">
        <f>LOOKUP(IF(J19/10^9&lt;15,15,J19/10^9),D21:H21)</f>
        <v>#VALUE!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#VALUE!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 t="e">
        <f>IF('THKP-TC'!E16&lt;1*10^9,1*10^9,'THKP-TC'!E16)</f>
        <v>#VALUE!</v>
      </c>
      <c r="F42" s="898"/>
      <c r="G42" s="235" t="e">
        <f>'THKP-TC'!E16</f>
        <v>#VALUE!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 t="e">
        <f>IF(E46&lt;C47,"Mức tối thiểu",IF(E46&gt;C48,"Mức tối đa",E45))</f>
        <v>#VALUE!</v>
      </c>
    </row>
    <row r="45" spans="1:7">
      <c r="A45" s="87">
        <v>2</v>
      </c>
      <c r="B45" s="199">
        <v>5</v>
      </c>
      <c r="C45" s="87">
        <v>0.3</v>
      </c>
      <c r="E45" s="201" t="e">
        <f>VLOOKUP(F45,$B$43:$C$48,2,FALSE)</f>
        <v>#VALUE!</v>
      </c>
      <c r="F45" s="201" t="e">
        <f>INDEX($B$43:$B$46,MATCH(E42/10^9,$B$43:$B$46))</f>
        <v>#VALUE!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 t="e">
        <f>G42%*E45</f>
        <v>#VALUE!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548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550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 t="e">
        <f>'THKP-TC'!E10</f>
        <v>#VALUE!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0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 t="e">
        <f>'THKP-TC'!E13</f>
        <v>#VALUE!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 t="e">
        <f>+G42-G43</f>
        <v>#VALUE!</v>
      </c>
      <c r="H44" s="234" t="e">
        <f>#REF!+#REF!+#REF!+#REF!</f>
        <v>#REF!</v>
      </c>
      <c r="I44" s="10" t="e">
        <f>IF(ROUND(G44,0)=0,"PT chuẩn","Kiểm tra lại")</f>
        <v>#VALUE!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TC'!E13</f>
        <v>3.81</v>
      </c>
      <c r="O50" s="12">
        <f>'Gia DT TC'!E20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TC'!E13*10^4</f>
        <v>38100</v>
      </c>
      <c r="O52" s="404">
        <f>'Gia DT TC'!E20*10^4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B9862-7A34-4FF1-A965-62DAD5F7AA18}">
  <dimension ref="A1:H10"/>
  <sheetViews>
    <sheetView workbookViewId="0"/>
  </sheetViews>
  <sheetFormatPr defaultRowHeight="15"/>
  <cols>
    <col min="1" max="1" width="26.796875" bestFit="1" customWidth="1"/>
    <col min="2" max="2" width="34.59765625" bestFit="1" customWidth="1"/>
    <col min="3" max="3" width="32.69921875" customWidth="1"/>
    <col min="4" max="4" width="10.19921875" bestFit="1" customWidth="1"/>
    <col min="5" max="5" width="9.8984375" bestFit="1" customWidth="1"/>
    <col min="6" max="6" width="11.5" bestFit="1" customWidth="1"/>
    <col min="7" max="8" width="28.69921875" customWidth="1"/>
  </cols>
  <sheetData>
    <row r="1" spans="1:8" ht="18">
      <c r="A1" s="946" t="s">
        <v>556</v>
      </c>
      <c r="B1" s="946"/>
      <c r="C1" s="946"/>
      <c r="D1" s="946"/>
      <c r="E1" s="946"/>
      <c r="F1" s="946"/>
      <c r="G1" s="946"/>
      <c r="H1" s="946"/>
    </row>
    <row r="2" spans="1:8">
      <c r="A2" s="947" t="s">
        <v>557</v>
      </c>
      <c r="B2" s="947" t="s">
        <v>558</v>
      </c>
      <c r="C2" s="947"/>
      <c r="D2" s="947"/>
      <c r="E2" s="947"/>
      <c r="F2" s="947"/>
      <c r="G2" s="947"/>
      <c r="H2" s="947"/>
    </row>
    <row r="3" spans="1:8" ht="15.6">
      <c r="A3" s="948" t="s">
        <v>559</v>
      </c>
      <c r="B3" s="948" t="s">
        <v>560</v>
      </c>
      <c r="C3" s="948" t="s">
        <v>561</v>
      </c>
      <c r="D3" s="948" t="s">
        <v>23</v>
      </c>
      <c r="E3" s="948" t="s">
        <v>562</v>
      </c>
      <c r="F3" s="948" t="s">
        <v>563</v>
      </c>
      <c r="G3" s="948" t="s">
        <v>564</v>
      </c>
      <c r="H3" s="948" t="s">
        <v>565</v>
      </c>
    </row>
    <row r="4" spans="1:8">
      <c r="A4" s="947" t="s">
        <v>566</v>
      </c>
      <c r="B4" s="947" t="s">
        <v>25</v>
      </c>
      <c r="C4" s="947" t="s">
        <v>60</v>
      </c>
      <c r="D4" s="947" t="s">
        <v>567</v>
      </c>
      <c r="E4" s="949">
        <v>495000</v>
      </c>
      <c r="F4" s="949">
        <v>495000</v>
      </c>
      <c r="G4" s="947" t="s">
        <v>568</v>
      </c>
      <c r="H4" s="947"/>
    </row>
    <row r="5" spans="1:8">
      <c r="A5" s="947" t="s">
        <v>569</v>
      </c>
      <c r="B5" s="947" t="s">
        <v>25</v>
      </c>
      <c r="C5" s="947" t="s">
        <v>64</v>
      </c>
      <c r="D5" s="947" t="s">
        <v>567</v>
      </c>
      <c r="E5" s="949">
        <v>517500</v>
      </c>
      <c r="F5" s="949">
        <v>517500</v>
      </c>
      <c r="G5" s="947" t="s">
        <v>570</v>
      </c>
      <c r="H5" s="947"/>
    </row>
    <row r="6" spans="1:8">
      <c r="A6" s="947" t="s">
        <v>571</v>
      </c>
      <c r="B6" s="947" t="s">
        <v>572</v>
      </c>
      <c r="C6" s="947" t="s">
        <v>573</v>
      </c>
      <c r="D6" s="947" t="s">
        <v>574</v>
      </c>
      <c r="E6" s="949">
        <v>762996</v>
      </c>
      <c r="F6" s="949">
        <v>762996</v>
      </c>
      <c r="G6" s="947" t="s">
        <v>575</v>
      </c>
      <c r="H6" s="947"/>
    </row>
    <row r="7" spans="1:8">
      <c r="A7" s="947" t="s">
        <v>576</v>
      </c>
      <c r="B7" s="947" t="s">
        <v>59</v>
      </c>
      <c r="C7" s="947" t="s">
        <v>62</v>
      </c>
      <c r="D7" s="947" t="s">
        <v>577</v>
      </c>
      <c r="E7" s="949">
        <v>100000</v>
      </c>
      <c r="F7" s="949">
        <v>100000</v>
      </c>
      <c r="G7" s="947" t="s">
        <v>578</v>
      </c>
      <c r="H7" s="947"/>
    </row>
    <row r="8" spans="1:8">
      <c r="A8" s="947" t="s">
        <v>579</v>
      </c>
      <c r="B8" s="947" t="s">
        <v>59</v>
      </c>
      <c r="C8" s="947" t="s">
        <v>55</v>
      </c>
      <c r="D8" s="947" t="s">
        <v>577</v>
      </c>
      <c r="E8" s="949">
        <v>2500</v>
      </c>
      <c r="F8" s="949">
        <v>2500</v>
      </c>
      <c r="G8" s="947" t="s">
        <v>580</v>
      </c>
      <c r="H8" s="947"/>
    </row>
    <row r="9" spans="1:8">
      <c r="A9" s="947" t="s">
        <v>581</v>
      </c>
      <c r="B9" s="947" t="s">
        <v>59</v>
      </c>
      <c r="C9" s="947" t="s">
        <v>54</v>
      </c>
      <c r="D9" s="947" t="s">
        <v>4</v>
      </c>
      <c r="E9" s="949">
        <v>2000</v>
      </c>
      <c r="F9" s="949">
        <v>2000</v>
      </c>
      <c r="G9" s="947" t="s">
        <v>582</v>
      </c>
      <c r="H9" s="947"/>
    </row>
    <row r="10" spans="1:8">
      <c r="A10" s="947" t="s">
        <v>583</v>
      </c>
      <c r="B10" s="947" t="s">
        <v>59</v>
      </c>
      <c r="C10" s="947" t="s">
        <v>56</v>
      </c>
      <c r="D10" s="947" t="s">
        <v>577</v>
      </c>
      <c r="E10" s="949">
        <v>8000</v>
      </c>
      <c r="F10" s="949">
        <v>8000</v>
      </c>
      <c r="G10" s="947" t="s">
        <v>584</v>
      </c>
      <c r="H10" s="947"/>
    </row>
  </sheetData>
  <mergeCells count="1">
    <mergeCell ref="A1:H1"/>
  </mergeCells>
  <pageMargins left="0.7" right="0.7" top="0.75" bottom="0.75" header="0.3" footer="0.3"/>
  <customProperties>
    <customPr name="TTBMVN.GeneratedEstimateRole" r:id="rId1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AC399-8F83-44B5-8339-F7FE66B90E82}">
  <dimension ref="A1:H35"/>
  <sheetViews>
    <sheetView tabSelected="1" workbookViewId="0"/>
  </sheetViews>
  <sheetFormatPr defaultRowHeight="15"/>
  <cols>
    <col min="1" max="1" width="29.59765625" bestFit="1" customWidth="1"/>
    <col min="2" max="2" width="33" bestFit="1" customWidth="1"/>
    <col min="3" max="3" width="42.69921875" customWidth="1"/>
    <col min="4" max="4" width="10.19921875" bestFit="1" customWidth="1"/>
    <col min="5" max="5" width="7.69921875" bestFit="1" customWidth="1"/>
    <col min="6" max="6" width="9.8984375" bestFit="1" customWidth="1"/>
    <col min="7" max="7" width="16.5" bestFit="1" customWidth="1"/>
    <col min="8" max="8" width="2.59765625" hidden="1" customWidth="1"/>
  </cols>
  <sheetData>
    <row r="1" spans="1:8" ht="18">
      <c r="A1" s="950" t="s">
        <v>585</v>
      </c>
      <c r="B1" s="950" t="s">
        <v>557</v>
      </c>
      <c r="C1" s="950"/>
      <c r="D1" s="950"/>
      <c r="E1" s="951"/>
      <c r="F1" s="951"/>
      <c r="G1" s="951"/>
      <c r="H1" s="950"/>
    </row>
    <row r="2" spans="1:8">
      <c r="A2" s="952" t="s">
        <v>586</v>
      </c>
      <c r="B2" s="952" t="s">
        <v>587</v>
      </c>
      <c r="C2" s="952" t="s">
        <v>588</v>
      </c>
      <c r="D2" s="952"/>
      <c r="E2" s="953"/>
      <c r="F2" s="953"/>
      <c r="G2" s="953" t="s">
        <v>589</v>
      </c>
      <c r="H2" s="952"/>
    </row>
    <row r="3" spans="1:8">
      <c r="A3" s="952" t="s">
        <v>560</v>
      </c>
      <c r="B3" s="952" t="s">
        <v>590</v>
      </c>
      <c r="C3" s="952" t="s">
        <v>591</v>
      </c>
      <c r="D3" s="952" t="s">
        <v>23</v>
      </c>
      <c r="E3" s="953" t="s">
        <v>592</v>
      </c>
      <c r="F3" s="953" t="s">
        <v>593</v>
      </c>
      <c r="G3" s="953" t="s">
        <v>17</v>
      </c>
      <c r="H3" s="952" t="s">
        <v>594</v>
      </c>
    </row>
    <row r="4" spans="1:8">
      <c r="A4" s="952" t="s">
        <v>6</v>
      </c>
      <c r="B4" s="952" t="s">
        <v>566</v>
      </c>
      <c r="C4" s="952" t="s">
        <v>60</v>
      </c>
      <c r="D4" s="952" t="s">
        <v>567</v>
      </c>
      <c r="E4" s="953">
        <v>73.7</v>
      </c>
      <c r="F4" s="953">
        <f>TTBMVN_GIA_KHLNS_D578BFDA1CFAFE</f>
        <v>495000</v>
      </c>
      <c r="G4" s="953">
        <f>E4*F4</f>
        <v>36481500</v>
      </c>
      <c r="H4" s="952">
        <v>0</v>
      </c>
    </row>
    <row r="5" spans="1:8">
      <c r="A5" s="952"/>
      <c r="B5" s="952"/>
      <c r="C5" s="952"/>
      <c r="D5" s="952"/>
      <c r="E5" s="953"/>
      <c r="F5" s="953"/>
      <c r="G5" s="953"/>
      <c r="H5" s="952"/>
    </row>
    <row r="6" spans="1:8">
      <c r="A6" s="952"/>
      <c r="B6" s="952"/>
      <c r="C6" s="952"/>
      <c r="D6" s="952"/>
      <c r="E6" s="953"/>
      <c r="F6" s="953" t="s">
        <v>59</v>
      </c>
      <c r="G6" s="953">
        <f>SUMIF($A$4:$A$4,"VL",$G$4:$G$4)</f>
        <v>0</v>
      </c>
      <c r="H6" s="952"/>
    </row>
    <row r="7" spans="1:8">
      <c r="A7" s="952"/>
      <c r="B7" s="952"/>
      <c r="C7" s="952"/>
      <c r="D7" s="952"/>
      <c r="E7" s="953"/>
      <c r="F7" s="953" t="s">
        <v>25</v>
      </c>
      <c r="G7" s="953">
        <f>SUMIF($A$4:$A$4,"NC",$G$4:$G$4)</f>
        <v>36481500</v>
      </c>
      <c r="H7" s="952"/>
    </row>
    <row r="8" spans="1:8">
      <c r="A8" s="952"/>
      <c r="B8" s="952"/>
      <c r="C8" s="952"/>
      <c r="D8" s="952"/>
      <c r="E8" s="953"/>
      <c r="F8" s="953" t="s">
        <v>81</v>
      </c>
      <c r="G8" s="953">
        <f>SUMIF($A$4:$A$4,"M",$G$4:$G$4)</f>
        <v>0</v>
      </c>
      <c r="H8" s="952"/>
    </row>
    <row r="9" spans="1:8">
      <c r="A9" s="952"/>
      <c r="B9" s="952"/>
      <c r="C9" s="952"/>
      <c r="D9" s="952"/>
      <c r="E9" s="953"/>
      <c r="F9" s="953" t="s">
        <v>237</v>
      </c>
      <c r="G9" s="953">
        <f>SUM(G6:G8)</f>
        <v>36481500</v>
      </c>
      <c r="H9" s="952"/>
    </row>
    <row r="10" spans="1:8">
      <c r="A10" s="952"/>
      <c r="B10" s="952"/>
      <c r="C10" s="952"/>
      <c r="D10" s="952"/>
      <c r="E10" s="953"/>
      <c r="F10" s="953"/>
      <c r="G10" s="953"/>
      <c r="H10" s="952"/>
    </row>
    <row r="11" spans="1:8">
      <c r="A11" s="952" t="s">
        <v>595</v>
      </c>
      <c r="B11" s="952" t="s">
        <v>596</v>
      </c>
      <c r="C11" s="952" t="s">
        <v>597</v>
      </c>
      <c r="D11" s="952"/>
      <c r="E11" s="953"/>
      <c r="F11" s="953"/>
      <c r="G11" s="953" t="s">
        <v>589</v>
      </c>
      <c r="H11" s="952"/>
    </row>
    <row r="12" spans="1:8">
      <c r="A12" s="952" t="s">
        <v>560</v>
      </c>
      <c r="B12" s="952" t="s">
        <v>590</v>
      </c>
      <c r="C12" s="952" t="s">
        <v>591</v>
      </c>
      <c r="D12" s="952" t="s">
        <v>23</v>
      </c>
      <c r="E12" s="953" t="s">
        <v>592</v>
      </c>
      <c r="F12" s="953" t="s">
        <v>593</v>
      </c>
      <c r="G12" s="953" t="s">
        <v>17</v>
      </c>
      <c r="H12" s="952" t="s">
        <v>594</v>
      </c>
    </row>
    <row r="13" spans="1:8">
      <c r="A13" s="952" t="s">
        <v>5</v>
      </c>
      <c r="B13" s="952" t="s">
        <v>576</v>
      </c>
      <c r="C13" s="952" t="s">
        <v>62</v>
      </c>
      <c r="D13" s="952" t="s">
        <v>577</v>
      </c>
      <c r="E13" s="953">
        <v>4</v>
      </c>
      <c r="F13" s="953">
        <f>TTBMVN_GIA_KHLNS_B8C2DB20D4C7A4</f>
        <v>100000</v>
      </c>
      <c r="G13" s="953">
        <f>E13*F13</f>
        <v>400000</v>
      </c>
      <c r="H13" s="952">
        <v>0</v>
      </c>
    </row>
    <row r="14" spans="1:8">
      <c r="A14" s="952" t="s">
        <v>5</v>
      </c>
      <c r="B14" s="952" t="s">
        <v>598</v>
      </c>
      <c r="C14" s="952" t="s">
        <v>599</v>
      </c>
      <c r="D14" s="952" t="s">
        <v>600</v>
      </c>
      <c r="E14" s="953">
        <v>5</v>
      </c>
      <c r="F14" s="953">
        <v>0</v>
      </c>
      <c r="G14" s="953">
        <f>SUMIFS($G$13:$G$19,$A$13:$A$19,"VL",$H$13:$H$19,0)*E14/100</f>
        <v>40550</v>
      </c>
      <c r="H14" s="952">
        <v>1</v>
      </c>
    </row>
    <row r="15" spans="1:8">
      <c r="A15" s="952" t="s">
        <v>5</v>
      </c>
      <c r="B15" s="952" t="s">
        <v>579</v>
      </c>
      <c r="C15" s="952" t="s">
        <v>55</v>
      </c>
      <c r="D15" s="952" t="s">
        <v>577</v>
      </c>
      <c r="E15" s="953">
        <v>2</v>
      </c>
      <c r="F15" s="953">
        <f>TTBMVN_GIA_KHLNS_8ED0DD58638907</f>
        <v>2500</v>
      </c>
      <c r="G15" s="953">
        <f>E15*F15</f>
        <v>5000</v>
      </c>
      <c r="H15" s="952">
        <v>0</v>
      </c>
    </row>
    <row r="16" spans="1:8">
      <c r="A16" s="952" t="s">
        <v>5</v>
      </c>
      <c r="B16" s="952" t="s">
        <v>581</v>
      </c>
      <c r="C16" s="952" t="s">
        <v>54</v>
      </c>
      <c r="D16" s="952" t="s">
        <v>4</v>
      </c>
      <c r="E16" s="953">
        <v>67</v>
      </c>
      <c r="F16" s="953">
        <f>TTBMVN_GIA_KHLNS_2FC357D2F9360A</f>
        <v>2000</v>
      </c>
      <c r="G16" s="953">
        <f>E16*F16</f>
        <v>134000</v>
      </c>
      <c r="H16" s="952">
        <v>0</v>
      </c>
    </row>
    <row r="17" spans="1:8">
      <c r="A17" s="952" t="s">
        <v>5</v>
      </c>
      <c r="B17" s="952" t="s">
        <v>583</v>
      </c>
      <c r="C17" s="952" t="s">
        <v>56</v>
      </c>
      <c r="D17" s="952" t="s">
        <v>577</v>
      </c>
      <c r="E17" s="953">
        <v>34</v>
      </c>
      <c r="F17" s="953">
        <f>TTBMVN_GIA_KHLNS_BDE2F3090195E0</f>
        <v>8000</v>
      </c>
      <c r="G17" s="953">
        <f>E17*F17</f>
        <v>272000</v>
      </c>
      <c r="H17" s="952">
        <v>0</v>
      </c>
    </row>
    <row r="18" spans="1:8">
      <c r="A18" s="952" t="s">
        <v>6</v>
      </c>
      <c r="B18" s="952" t="s">
        <v>566</v>
      </c>
      <c r="C18" s="952" t="s">
        <v>60</v>
      </c>
      <c r="D18" s="952" t="s">
        <v>567</v>
      </c>
      <c r="E18" s="953">
        <v>17.36</v>
      </c>
      <c r="F18" s="953">
        <f>TTBMVN_GIA_KHLNS_D578BFDA1CFAFE</f>
        <v>495000</v>
      </c>
      <c r="G18" s="953">
        <f>E18*F18</f>
        <v>8593200</v>
      </c>
      <c r="H18" s="952">
        <v>0</v>
      </c>
    </row>
    <row r="19" spans="1:8">
      <c r="A19" s="952" t="s">
        <v>7</v>
      </c>
      <c r="B19" s="952" t="s">
        <v>601</v>
      </c>
      <c r="C19" s="952" t="s">
        <v>573</v>
      </c>
      <c r="D19" s="952" t="s">
        <v>574</v>
      </c>
      <c r="E19" s="953">
        <v>11.57</v>
      </c>
      <c r="F19" s="953">
        <f>TTBMVN_GIA_KHLNS_A5B20047CC0024</f>
        <v>762996</v>
      </c>
      <c r="G19" s="953">
        <f>E19*F19</f>
        <v>8827863.7200000007</v>
      </c>
      <c r="H19" s="952">
        <v>0</v>
      </c>
    </row>
    <row r="20" spans="1:8">
      <c r="A20" s="952"/>
      <c r="B20" s="952"/>
      <c r="C20" s="952"/>
      <c r="D20" s="952"/>
      <c r="E20" s="953"/>
      <c r="F20" s="953"/>
      <c r="G20" s="953"/>
      <c r="H20" s="952"/>
    </row>
    <row r="21" spans="1:8">
      <c r="A21" s="952"/>
      <c r="B21" s="952"/>
      <c r="C21" s="952"/>
      <c r="D21" s="952"/>
      <c r="E21" s="953"/>
      <c r="F21" s="953" t="s">
        <v>59</v>
      </c>
      <c r="G21" s="953">
        <f>SUMIF($A$13:$A$19,"VL",$G$13:$G$19)</f>
        <v>851550</v>
      </c>
      <c r="H21" s="952"/>
    </row>
    <row r="22" spans="1:8">
      <c r="A22" s="952"/>
      <c r="B22" s="952"/>
      <c r="C22" s="952"/>
      <c r="D22" s="952"/>
      <c r="E22" s="953"/>
      <c r="F22" s="953" t="s">
        <v>25</v>
      </c>
      <c r="G22" s="953">
        <f>SUMIF($A$13:$A$19,"NC",$G$13:$G$19)</f>
        <v>8593200</v>
      </c>
      <c r="H22" s="952"/>
    </row>
    <row r="23" spans="1:8">
      <c r="A23" s="952"/>
      <c r="B23" s="952"/>
      <c r="C23" s="952"/>
      <c r="D23" s="952"/>
      <c r="E23" s="953"/>
      <c r="F23" s="953" t="s">
        <v>81</v>
      </c>
      <c r="G23" s="953">
        <f>SUMIF($A$13:$A$19,"M",$G$13:$G$19)</f>
        <v>8827863.7200000007</v>
      </c>
      <c r="H23" s="952"/>
    </row>
    <row r="24" spans="1:8">
      <c r="A24" s="952"/>
      <c r="B24" s="952"/>
      <c r="C24" s="952"/>
      <c r="D24" s="952"/>
      <c r="E24" s="953"/>
      <c r="F24" s="953" t="s">
        <v>237</v>
      </c>
      <c r="G24" s="953">
        <f>SUM(G21:G23)</f>
        <v>18272613.719999999</v>
      </c>
      <c r="H24" s="952"/>
    </row>
    <row r="25" spans="1:8">
      <c r="A25" s="952"/>
      <c r="B25" s="952"/>
      <c r="C25" s="952"/>
      <c r="D25" s="952"/>
      <c r="E25" s="953"/>
      <c r="F25" s="953"/>
      <c r="G25" s="953"/>
      <c r="H25" s="952"/>
    </row>
    <row r="26" spans="1:8">
      <c r="A26" s="952" t="s">
        <v>602</v>
      </c>
      <c r="B26" s="952" t="s">
        <v>603</v>
      </c>
      <c r="C26" s="952" t="s">
        <v>604</v>
      </c>
      <c r="D26" s="952"/>
      <c r="E26" s="953"/>
      <c r="F26" s="953"/>
      <c r="G26" s="953" t="s">
        <v>589</v>
      </c>
      <c r="H26" s="952"/>
    </row>
    <row r="27" spans="1:8">
      <c r="A27" s="952" t="s">
        <v>560</v>
      </c>
      <c r="B27" s="952" t="s">
        <v>590</v>
      </c>
      <c r="C27" s="952" t="s">
        <v>591</v>
      </c>
      <c r="D27" s="952" t="s">
        <v>23</v>
      </c>
      <c r="E27" s="953" t="s">
        <v>592</v>
      </c>
      <c r="F27" s="953" t="s">
        <v>593</v>
      </c>
      <c r="G27" s="953" t="s">
        <v>17</v>
      </c>
      <c r="H27" s="952" t="s">
        <v>594</v>
      </c>
    </row>
    <row r="28" spans="1:8">
      <c r="A28" s="952" t="s">
        <v>6</v>
      </c>
      <c r="B28" s="952" t="s">
        <v>569</v>
      </c>
      <c r="C28" s="952" t="s">
        <v>64</v>
      </c>
      <c r="D28" s="952" t="s">
        <v>567</v>
      </c>
      <c r="E28" s="953">
        <v>0.06</v>
      </c>
      <c r="F28" s="953">
        <f>TTBMVN_GIA_KHLNS_96D131F969B2CA</f>
        <v>517500</v>
      </c>
      <c r="G28" s="953">
        <f>E28*F28</f>
        <v>31050</v>
      </c>
      <c r="H28" s="952">
        <v>0</v>
      </c>
    </row>
    <row r="29" spans="1:8">
      <c r="A29" s="952" t="s">
        <v>7</v>
      </c>
      <c r="B29" s="952" t="s">
        <v>601</v>
      </c>
      <c r="C29" s="952" t="s">
        <v>573</v>
      </c>
      <c r="D29" s="952" t="s">
        <v>574</v>
      </c>
      <c r="E29" s="953">
        <v>1.4E-2</v>
      </c>
      <c r="F29" s="953">
        <f>TTBMVN_GIA_KHLNS_A5B20047CC0024</f>
        <v>762996</v>
      </c>
      <c r="G29" s="953">
        <f>E29*F29</f>
        <v>10681.944</v>
      </c>
      <c r="H29" s="952">
        <v>0</v>
      </c>
    </row>
    <row r="30" spans="1:8">
      <c r="A30" s="952"/>
      <c r="B30" s="952"/>
      <c r="C30" s="952"/>
      <c r="D30" s="952"/>
      <c r="E30" s="953"/>
      <c r="F30" s="953"/>
      <c r="G30" s="953"/>
      <c r="H30" s="952"/>
    </row>
    <row r="31" spans="1:8">
      <c r="A31" s="952"/>
      <c r="B31" s="952"/>
      <c r="C31" s="952"/>
      <c r="D31" s="952"/>
      <c r="E31" s="953"/>
      <c r="F31" s="953" t="s">
        <v>59</v>
      </c>
      <c r="G31" s="953">
        <f>SUMIF($A$28:$A$29,"VL",$G$28:$G$29)</f>
        <v>0</v>
      </c>
      <c r="H31" s="952"/>
    </row>
    <row r="32" spans="1:8">
      <c r="A32" s="952"/>
      <c r="B32" s="952"/>
      <c r="C32" s="952"/>
      <c r="D32" s="952"/>
      <c r="E32" s="953"/>
      <c r="F32" s="953" t="s">
        <v>25</v>
      </c>
      <c r="G32" s="953">
        <f>SUMIF($A$28:$A$29,"NC",$G$28:$G$29)</f>
        <v>31050</v>
      </c>
      <c r="H32" s="952"/>
    </row>
    <row r="33" spans="1:8">
      <c r="A33" s="952"/>
      <c r="B33" s="952"/>
      <c r="C33" s="952"/>
      <c r="D33" s="952"/>
      <c r="E33" s="953"/>
      <c r="F33" s="953" t="s">
        <v>81</v>
      </c>
      <c r="G33" s="953">
        <f>SUMIF($A$28:$A$29,"M",$G$28:$G$29)</f>
        <v>10681.944</v>
      </c>
      <c r="H33" s="952"/>
    </row>
    <row r="34" spans="1:8">
      <c r="A34" s="952"/>
      <c r="B34" s="952"/>
      <c r="C34" s="952"/>
      <c r="D34" s="952"/>
      <c r="E34" s="953"/>
      <c r="F34" s="953" t="s">
        <v>237</v>
      </c>
      <c r="G34" s="953">
        <f>SUM(G31:G33)</f>
        <v>41731.944000000003</v>
      </c>
      <c r="H34" s="952"/>
    </row>
    <row r="35" spans="1:8">
      <c r="A35" s="952"/>
      <c r="B35" s="952"/>
      <c r="C35" s="952"/>
      <c r="D35" s="952"/>
      <c r="E35" s="953"/>
      <c r="F35" s="953"/>
      <c r="G35" s="953"/>
      <c r="H35" s="952"/>
    </row>
  </sheetData>
  <pageMargins left="0.7" right="0.7" top="0.75" bottom="0.75" header="0.3" footer="0.3"/>
  <customProperties>
    <customPr name="TTBMVN.GeneratedEstimateRol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13</vt:i4>
      </vt:variant>
    </vt:vector>
  </HeadingPairs>
  <TitlesOfParts>
    <vt:vector size="31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VL-NC-M - KHLNS</vt:lpstr>
      <vt:lpstr>ĐG Cạn - KHLNS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2026-08-04T03:47:32Z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1|c4de8ffbd06b4507a66ea611b4280d84|2|D0BE6E8126FE911ABF671EA01451652602BFFD4D51025BD9480E554DB068A79D</vt:lpwstr>
  </property>
  <property fmtid="{D5CDD505-2E9C-101B-9397-08002B2CF9AE}" pid="12" name="TTBMVN.ProjectProfile.Part.c4de8ffbd06b4507a66ea611b4280d84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3" name="TTBMVN.ProjectProfile.Part.c4de8ffbd06b4507a66ea611b4280d84.0001">
    <vt:lpwstr>2537C08E7156414585BEFC446E74DD51E79AB8D67A3774B1F5250E7EECCDA90
priceProfileId=VEVTVC1EVDEwMy1QUklDRS1CQVNFTElORQ==
overrideSummary=</vt:lpwstr>
  </property>
  <property fmtid="{D5CDD505-2E9C-101B-9397-08002B2CF9AE}" pid="14" name="TTBMVN.PriceProfile.Part.7a4115b4e756405ea39dd27d233075a3.0000">
    <vt:lpwstr>TTBMVN_PRICE_PROFILE
schema=1
profileId=VEVTVC1EVDEwMy1QUklDRS1CQVNFTElORQ==
dataVersion=MS4wLjA=
displayName=TmhhcCB0dSAwMC4gRHUgdG9hbiBUUCAzLnhsc20=
location=Q2h1YSBraGFpIGJhbw==
valuationDate=2026-08-03
laborAudience=2
createdAtUtc=2026-</vt:lpwstr>
  </property>
  <property fmtid="{D5CDD505-2E9C-101B-9397-08002B2CF9AE}" pid="15" name="TTBMVN.PriceProfile.Part.7a4115b4e756405ea39dd27d233075a3.0001">
    <vt:lpwstr>08-04T01:33:40.1937065Z
entryCount=34
entry.0.code=TEFCLVFOQ04tNQ==
entry.0.kind=2
entry.0.name=TmjDom4gY8O0bmcgdGjhu6MgYuG6rWMgNS8xMA==
entry.0.unit=d29ya2VyLWRheQ==
entry.0.basePrice=450000
entry.0.sourceDate=2026-08-03
entry.0.sourceKind</vt:lpwstr>
  </property>
  <property fmtid="{D5CDD505-2E9C-101B-9397-08002B2CF9AE}" pid="16" name="TTBMVN.PriceProfile.Part.7a4115b4e756405ea39dd27d233075a3.0002">
    <vt:lpwstr>=2
entry.0.sourceReference=V29ya2Jvb2s6U2hlZXQyMCFGNw==
entry.0.legacyLookupName=TmjDom4gY8O0bmcgdGjhu6MgYuG6rWMgNS8xMA==
entry.0.aliasCount=1
entry.0.alias.0=YmFjLTUtMTA=
entry.1.code=TEFCLVFOQ04tNw==
entry.1.kind=2
entry.1.name=TmjDom4gY8</vt:lpwstr>
  </property>
  <property fmtid="{D5CDD505-2E9C-101B-9397-08002B2CF9AE}" pid="17" name="TTBMVN.PriceProfile.Part.7a4115b4e756405ea39dd27d233075a3.0003">
    <vt:lpwstr>O0bmcgdGjhu6MgYuG6rWMgNy8xMA==
entry.1.unit=d29ya2VyLWRheQ==
entry.1.basePrice=495000
entry.1.sourceDate=2026-08-03
entry.1.sourceKind=2
entry.1.sourceReference=V29ya2Jvb2s6U2hlZXQyMCFGMTE=
entry.1.legacyLookupName=TmjDom4gY8O0bmcgdGjhu6MgY</vt:lpwstr>
  </property>
  <property fmtid="{D5CDD505-2E9C-101B-9397-08002B2CF9AE}" pid="18" name="TTBMVN.PriceProfile.Part.7a4115b4e756405ea39dd27d233075a3.0004">
    <vt:lpwstr>uG6rWMgNy8xMA==
entry.1.aliasCount=1
entry.1.alias.0=YmFjLTctMTA=
entry.2.code=TEFCLVFOQ04tOA==
entry.2.kind=2
entry.2.name=TmjDom4gY8O0bmcgdGjhu6MgYuG6rWMgOC8xMA==
entry.2.unit=d29ya2VyLWRheQ==
entry.2.basePrice=517500
entry.2.sourceDate=2</vt:lpwstr>
  </property>
  <property fmtid="{D5CDD505-2E9C-101B-9397-08002B2CF9AE}" pid="19" name="TTBMVN.PriceProfile.Part.7a4115b4e756405ea39dd27d233075a3.0005">
    <vt:lpwstr>026-08-03
entry.2.sourceKind=2
entry.2.sourceReference=V29ya2Jvb2s6U2hlZXQyMCFGMTU=
entry.2.legacyLookupName=TmjDom4gY8O0bmcgdGjhu6MgYuG6rWMgOC8xMA==
entry.2.aliasCount=1
entry.2.alias.0=YmFjLTgtMTA=
entry.3.code=TEVHQUNZLU1BVC1OQUlMLVRXTy1</vt:lpwstr>
  </property>
  <property fmtid="{D5CDD505-2E9C-101B-9397-08002B2CF9AE}" pid="20" name="TTBMVN.PriceProfile.Part.7a4115b4e756405ea39dd27d233075a3.0006">
    <vt:lpwstr>QUk9ORy1FQUNI
entry.3.kind=1
entry.3.name=xJBpbmggMiBt4buP
entry.3.unit=ZWFjaA==
entry.3.basePrice=6000
entry.3.sourceDate=2026-08-03
entry.3.sourceKind=2
entry.3.sourceReference=V29ya2Jvb2s6U2hlZXQyMCFGODk=
entry.3.legacyLookupName=xJBpbmg</vt:lpwstr>
  </property>
  <property fmtid="{D5CDD505-2E9C-101B-9397-08002B2CF9AE}" pid="21" name="TTBMVN.PriceProfile.Part.7a4115b4e756405ea39dd27d233075a3.0007">
    <vt:lpwstr>gMiBt4buP
entry.3.aliasCount=0
entry.4.code=TEVHQUNZLU1BVC1OWUxPTi1ST1BFLTEwTU0=
entry.4.kind=1
entry.4.name=RMOieSBOaWxvbiBwaGkgMTBtbQ==
entry.4.unit=bQ==
entry.4.basePrice=2000
entry.4.sourceDate=2026-08-03
entry.4.sourceKind=2
entry.4.so</vt:lpwstr>
  </property>
  <property fmtid="{D5CDD505-2E9C-101B-9397-08002B2CF9AE}" pid="22" name="TTBMVN.PriceProfile.Part.7a4115b4e756405ea39dd27d233075a3.0008">
    <vt:lpwstr>urceReference=V29ya2Jvb2s6U2hlZXQyMCFGOTg=
entry.4.legacyLookupName=RMOieSBOaWxvbiBwaGkgMTBtbQ==
entry.4.aliasCount=0
entry.5.code=TUFDSElORS1NMDEwLjAwMQ==
entry.5.kind=5
entry.5.name=TcOheSBkw7IgbcOsbg==
entry.5.unit=c2hpZnQ=
entry.5.baseP</vt:lpwstr>
  </property>
  <property fmtid="{D5CDD505-2E9C-101B-9397-08002B2CF9AE}" pid="23" name="TTBMVN.PriceProfile.Part.7a4115b4e756405ea39dd27d233075a3.0009">
    <vt:lpwstr>rice=762996
entry.5.sourceDate=2026-08-03
entry.5.sourceKind=2
entry.5.sourceReference=V29ya2Jvb2s6U2hlZXQyMCFGMjM=
entry.5.legacyLookupName=TcOheSBkw7IgbcOsbg==
entry.5.aliasCount=2
entry.5.alias.0=TTAxMC4wMDE=
entry.5.alias.1=TTAxMS4wMDE=</vt:lpwstr>
  </property>
  <property fmtid="{D5CDD505-2E9C-101B-9397-08002B2CF9AE}" pid="24" name="TTBMVN.PriceProfile.Part.7a4115b4e756405ea39dd27d233075a3.0010">
    <vt:lpwstr>
entry.6.code=TUFDSElORS1NMDEwLjAwMg==
entry.6.kind=5
entry.6.name=TcOheSBkw7IgYm9tIHRyw6puIGPhuqFu
entry.6.unit=c2hpZnQ=
entry.6.basePrice=1070324
entry.6.sourceDate=2026-08-03
entry.6.sourceKind=2
entry.6.sourceReference=V29ya2Jvb2s6U2hlZ</vt:lpwstr>
  </property>
  <property fmtid="{D5CDD505-2E9C-101B-9397-08002B2CF9AE}" pid="25" name="TTBMVN.PriceProfile.Part.7a4115b4e756405ea39dd27d233075a3.0011">
    <vt:lpwstr>XQyMCFGMjk=
entry.6.legacyLookupName=TcOheSBkw7IgYm9tIHRyw6puIGPhuqFu
entry.6.aliasCount=2
entry.6.alias.0=TTAxMC4wMDI=
entry.6.alias.1=TTAxMS4wMDI=
entry.7.code=TUFDSElORS1NMDEwLjAwOA==
entry.7.kind=5
entry.7.name=TcOheSBkw7IgYm9tIGTGsOG7m</vt:lpwstr>
  </property>
  <property fmtid="{D5CDD505-2E9C-101B-9397-08002B2CF9AE}" pid="26" name="TTBMVN.PriceProfile.Part.7a4115b4e756405ea39dd27d233075a3.0012">
    <vt:lpwstr>2kgbsaw4bubYw==
entry.7.unit=c2hpZnQ=
entry.7.basePrice=1587824
entry.7.sourceDate=2026-08-03
entry.7.sourceKind=2
entry.7.sourceReference=V29ya2Jvb2s6U2hlZXQyMCFGMzU=
entry.7.legacyLookupName=TcOheSBkw7IgYm9tIGTGsOG7m2kgbsaw4bubYw==
entry.</vt:lpwstr>
  </property>
  <property fmtid="{D5CDD505-2E9C-101B-9397-08002B2CF9AE}" pid="27" name="TTBMVN.PriceProfile.Part.7a4115b4e756405ea39dd27d233075a3.0013">
    <vt:lpwstr>7.aliasCount=2
entry.7.alias.0=TTAxMC4wMDg=
entry.7.alias.1=TTAxMS4wMDg=
entry.8.code=TUFDSElORS1NMDEwLjAwOQ==
entry.8.kind=5
entry.8.name=VGh1eeG7gW4gY2FvIHN1IHRp4buDdQ==
entry.8.unit=c2hpZnQ=
entry.8.basePrice=518226
entry.8.sourceDate=20</vt:lpwstr>
  </property>
  <property fmtid="{D5CDD505-2E9C-101B-9397-08002B2CF9AE}" pid="28" name="TTBMVN.PriceProfile.Part.7a4115b4e756405ea39dd27d233075a3.0014">
    <vt:lpwstr>26-08-03
entry.8.sourceKind=2
entry.8.sourceReference=V29ya2Jvb2s6U2hlZXQyMCFGNDE=
entry.8.legacyLookupName=VGh1eeG7gW4gY2FvIHN1IHRp4buDdQ==
entry.8.aliasCount=2
entry.8.alias.0=TTAxMC4wMDk=
entry.8.alias.1=TTAxMS4wMDk=
entry.9.code=TUFDSEl</vt:lpwstr>
  </property>
  <property fmtid="{D5CDD505-2E9C-101B-9397-08002B2CF9AE}" pid="29" name="TTBMVN.PriceProfile.Part.7a4115b4e756405ea39dd27d233075a3.0015">
    <vt:lpwstr>ORS1NMDEwLjAxMA==
entry.9.kind=5
entry.9.name=VGh1eeG7gW4gY2FvIHN1IHRydW5n
entry.9.unit=c2hpZnQ=
entry.9.basePrice=554101
entry.9.sourceDate=2026-08-03
entry.9.sourceKind=2
entry.9.sourceReference=V29ya2Jvb2s6U2hlZXQyMCFGNDY=
entry.9.legacy</vt:lpwstr>
  </property>
  <property fmtid="{D5CDD505-2E9C-101B-9397-08002B2CF9AE}" pid="30" name="TTBMVN.PriceProfile.Part.7a4115b4e756405ea39dd27d233075a3.0016">
    <vt:lpwstr>LookupName=VGh1eeG7gW4gY2FvIHN1IHRydW5n
entry.9.aliasCount=2
entry.9.alias.0=TTAxMC4wMTA=
entry.9.alias.1=TTAxMS4wMTA=
entry.10.code=TUFDSElORS1NMDEwLjAyMw==
entry.10.kind=5
entry.10.name=VGhp4bq/dCBi4buLIHPDs2kgdsOgIGjDunQgYsO5biBjw6F0
ent</vt:lpwstr>
  </property>
  <property fmtid="{D5CDD505-2E9C-101B-9397-08002B2CF9AE}" pid="31" name="TTBMVN.PriceProfile.Part.7a4115b4e756405ea39dd27d233075a3.0017">
    <vt:lpwstr>ry.10.unit=c2hpZnQ=
entry.10.basePrice=2946909
entry.10.sourceDate=2026-08-03
entry.10.sourceKind=2
entry.10.sourceReference=V29ya2Jvb2s6U2hlZXQyMCFGNTY=
entry.10.legacyLookupName=VGhp4bq/dCBi4buLIHPDs2kgdsOgIGjDunQgYsO5biBjw6F0
entry.10.al</vt:lpwstr>
  </property>
  <property fmtid="{D5CDD505-2E9C-101B-9397-08002B2CF9AE}" pid="32" name="TTBMVN.PriceProfile.Part.7a4115b4e756405ea39dd27d233075a3.0018">
    <vt:lpwstr>iasCount=2
entry.10.alias.0=TTAxMC4wMjM=
entry.10.alias.1=TTAxMS4wMjM=
entry.11.code=TUFDSElORS1NMDEwLjAyNw==
entry.11.kind=5
entry.11.name=VGh1eeG7gW4gQ29tcG9zaXQ=
entry.11.unit=c2hpZnQ=
entry.11.basePrice=995354
entry.11.sourceDate=2026-0</vt:lpwstr>
  </property>
  <property fmtid="{D5CDD505-2E9C-101B-9397-08002B2CF9AE}" pid="33" name="TTBMVN.PriceProfile.Part.7a4115b4e756405ea39dd27d233075a3.0019">
    <vt:lpwstr>8-03
entry.11.sourceKind=2
entry.11.sourceReference=V29ya2Jvb2s6U2hlZXQyMCFGNTE=
entry.11.legacyLookupName=VGh1eeG7gW4gQ29tcG9zaXQ=
entry.11.aliasCount=2
entry.11.alias.0=TTAxMC4wMjc=
entry.11.alias.1=TTAxMS4wMjc=
entry.12.code=TUFDSElORS1N</vt:lpwstr>
  </property>
  <property fmtid="{D5CDD505-2E9C-101B-9397-08002B2CF9AE}" pid="34" name="TTBMVN.PriceProfile.Part.7a4115b4e756405ea39dd27d233075a3.0020">
    <vt:lpwstr>MDEwLjAyOQ==
entry.12.kind=5
entry.12.name=VGhp4bq/dCBi4buLIGzhurduIHPDonUgMCw1bSAtIDNt
entry.12.unit=c2hpZnQ=
entry.12.basePrice=1105582
entry.12.sourceDate=2026-08-03
entry.12.sourceKind=2
entry.12.sourceReference=V29ya2Jvb2s6U2hlZXQyMCFG</vt:lpwstr>
  </property>
  <property fmtid="{D5CDD505-2E9C-101B-9397-08002B2CF9AE}" pid="35" name="TTBMVN.PriceProfile.Part.7a4115b4e756405ea39dd27d233075a3.0021">
    <vt:lpwstr>NjI=
entry.12.legacyLookupName=VGhp4bq/dCBi4buLIGzhurduIHPDonUgMCw1bSAtIDNt
entry.12.aliasCount=2
entry.12.alias.0=TTAxMC4wMjk=
entry.12.alias.1=TTAxMS4wMjk=
entry.13.code=TUFDSElORS1NMDEwLjAzMA==
entry.13.kind=5
entry.13.name=VGhp4bq/dCBi4</vt:lpwstr>
  </property>
  <property fmtid="{D5CDD505-2E9C-101B-9397-08002B2CF9AE}" pid="36" name="TTBMVN.PriceProfile.Part.7a4115b4e756405ea39dd27d233075a3.0022">
    <vt:lpwstr>buLIGzhurduIHPDonUgM20gLSA2bQ==
entry.13.unit=c2hpZnQ=
entry.13.basePrice=1108263
entry.13.sourceDate=2026-08-03
entry.13.sourceKind=2
entry.13.sourceReference=V29ya2Jvb2s6U2hlZXQyMCFGNjc=
entry.13.legacyLookupName=VGhp4bq/dCBi4buLIGzhurduI</vt:lpwstr>
  </property>
  <property fmtid="{D5CDD505-2E9C-101B-9397-08002B2CF9AE}" pid="37" name="TTBMVN.PriceProfile.Part.7a4115b4e756405ea39dd27d233075a3.0023">
    <vt:lpwstr>HPDonUgM20gLSA2bQ==
entry.13.aliasCount=2
entry.13.alias.0=TTAxMC4wMzA=
entry.13.alias.1=TTAxMS4wMzA=
entry.14.code=TUFDSElORS1NMDEwLjAzMQ==
entry.14.kind=5
entry.14.name=VGhp4bq/dCBi4buLIGzhurduIHPDonUgNm0gLSAxMm0=
entry.14.unit=c2hpZnQ=
e</vt:lpwstr>
  </property>
  <property fmtid="{D5CDD505-2E9C-101B-9397-08002B2CF9AE}" pid="38" name="TTBMVN.PriceProfile.Part.7a4115b4e756405ea39dd27d233075a3.0024">
    <vt:lpwstr>ntry.14.basePrice=1112914
entry.14.sourceDate=2026-08-03
entry.14.sourceKind=2
entry.14.sourceReference=V29ya2Jvb2s6U2hlZXQyMCFGNzI=
entry.14.legacyLookupName=VGhp4bq/dCBi4buLIGzhurduIHPDonUgNm0gLSAxMm0=
entry.14.aliasCount=2
entry.14.alias</vt:lpwstr>
  </property>
  <property fmtid="{D5CDD505-2E9C-101B-9397-08002B2CF9AE}" pid="39" name="TTBMVN.PriceProfile.Part.7a4115b4e756405ea39dd27d233075a3.0025">
    <vt:lpwstr>.0=TTAxMC4wMzE=
entry.14.alias.1=TTAxMS4wMzE=
entry.15.code=TUFULUFOQ0hPUi0yMEtH
entry.15.kind=1
entry.15.name=TeG7jyBuZW8gbG/huqFpIDIwIGtn
entry.15.unit=ZWFjaA==
entry.15.basePrice=200000
entry.15.sourceDate=2026-08-03
entry.15.sourceKind=</vt:lpwstr>
  </property>
  <property fmtid="{D5CDD505-2E9C-101B-9397-08002B2CF9AE}" pid="40" name="TTBMVN.PriceProfile.Part.7a4115b4e756405ea39dd27d233075a3.0026">
    <vt:lpwstr>2
entry.15.sourceReference=V29ya2Jvb2s6U2hlZXQyMCFGOTM=
entry.15.legacyLookupName=TeG7jyBuZW8gbG/huqFpIDIwIGtn
entry.15.aliasCount=0
entry.16.code=TUFULUFOQ0hPUi01MEtH
entry.16.kind=1
entry.16.name=TeG7jyBuZW8gbG/huqFpIDUwIGtn
entry.16.unit</vt:lpwstr>
  </property>
  <property fmtid="{D5CDD505-2E9C-101B-9397-08002B2CF9AE}" pid="41" name="TTBMVN.PriceProfile.Part.7a4115b4e756405ea39dd27d233075a3.0027">
    <vt:lpwstr>=ZWFjaA==
entry.16.basePrice=500000
entry.16.sourceDate=2026-08-03
entry.16.sourceKind=2
entry.16.sourceReference=V29ya2Jvb2s6U2hlZXQyMCFGOTI=
entry.16.legacyLookupName=TeG7jyBuZW8gbG/huqFpIDUwIGtn
entry.16.aliasCount=0
entry.17.code=TUFULU</vt:lpwstr>
  </property>
  <property fmtid="{D5CDD505-2E9C-101B-9397-08002B2CF9AE}" pid="42" name="TTBMVN.PriceProfile.Part.7a4115b4e756405ea39dd27d233075a3.0028">
    <vt:lpwstr>JBTUJPTy1QT0xF
entry.17.kind=1
entry.17.name=U8OgbyB0cmUgZD03LCBMPTUwMCBDbQ==
entry.17.unit=ZWFjaA==
entry.17.basePrice=10000
entry.17.sourceDate=2026-08-03
entry.17.sourceKind=2
entry.17.sourceReference=V29ya2Jvb2s6U2hlZXQyMCFGOTE=
entry.1</vt:lpwstr>
  </property>
  <property fmtid="{D5CDD505-2E9C-101B-9397-08002B2CF9AE}" pid="43" name="TTBMVN.PriceProfile.Part.7a4115b4e756405ea39dd27d233075a3.0029">
    <vt:lpwstr>7.legacyLookupName=U8OgbyB0cmUgZD03LCBMPTUwMCBDbQ==
entry.17.aliasCount=0
entry.18.code=TUFULUJBTUJPTy1TVEFLRQ==
entry.18.kind=1
entry.18.name=Q+G7jWMgdHJlIGQ9OCwgTD0yMDAgQ20=
entry.18.unit=ZWFjaA==
entry.18.basePrice=10000
entry.18.sourceD</vt:lpwstr>
  </property>
  <property fmtid="{D5CDD505-2E9C-101B-9397-08002B2CF9AE}" pid="44" name="TTBMVN.PriceProfile.Part.7a4115b4e756405ea39dd27d233075a3.0030">
    <vt:lpwstr>ate=2026-08-03
entry.18.sourceKind=2
entry.18.sourceReference=V29ya2Jvb2s6U2hlZXQyMCFGODY=
entry.18.legacyLookupName=Q+G7jWMgdHJlIGQ9OCwgTD0yMDAgQ20=
entry.18.aliasCount=0
entry.19.code=TUFULUNPTkNSRVRFLVNUQUtF
entry.19.kind=1
entry.19.name</vt:lpwstr>
  </property>
  <property fmtid="{D5CDD505-2E9C-101B-9397-08002B2CF9AE}" pid="45" name="TTBMVN.PriceProfile.Part.7a4115b4e756405ea39dd27d233075a3.0031">
    <vt:lpwstr>=Q+G7jWMgYsOqIHTDtG5nIGPhu5F0IHRow6lwICgxMngxMngxMjApY20=
entry.19.unit=ZWFjaA==
entry.19.basePrice=100000
entry.19.sourceDate=2026-08-03
entry.19.sourceKind=2
entry.19.sourceReference=V29ya2Jvb2s6U2hlZXQyMCFGODE=
entry.19.legacyLookupName=</vt:lpwstr>
  </property>
  <property fmtid="{D5CDD505-2E9C-101B-9397-08002B2CF9AE}" pid="46" name="TTBMVN.PriceProfile.Part.7a4115b4e756405ea39dd27d233075a3.0032">
    <vt:lpwstr>Q+G7jWMgYsOqIHTDtG5nIGPhu5F0IHRow6lwICgxMngxMngxMjApY20=
entry.19.aliasCount=0
entry.20.code=TUFULUxBUkdFLUZMT0FU
entry.20.kind=1
entry.20.name=UGhhbyBs4bubbiAxbTM=
entry.20.unit=ZWFjaA==
entry.20.basePrice=100000
entry.20.sourceDate=2026-0</vt:lpwstr>
  </property>
  <property fmtid="{D5CDD505-2E9C-101B-9397-08002B2CF9AE}" pid="47" name="TTBMVN.PriceProfile.Part.7a4115b4e756405ea39dd27d233075a3.0033">
    <vt:lpwstr>8-03
entry.20.sourceKind=2
entry.20.sourceReference=V29ya2Jvb2s6U2hlZXQyMCFGOTU=
entry.20.legacyLookupName=UGhhbyBs4bubbiAxbTM=
entry.20.aliasCount=0
entry.21.code=TUFULU5BSUwtMTBDTQ==
entry.21.kind=1
entry.21.name=xJBpbmggMTAgY20=
entry.21</vt:lpwstr>
  </property>
  <property fmtid="{D5CDD505-2E9C-101B-9397-08002B2CF9AE}" pid="48" name="TTBMVN.PriceProfile.Part.7a4115b4e756405ea39dd27d233075a3.0034">
    <vt:lpwstr>.unit=a2c=
entry.21.basePrice=23100
entry.21.sourceDate=2026-08-03
entry.21.sourceKind=2
entry.21.sourceReference=V29ya2Jvb2s6U2hlZXQyMCFGODg=
entry.21.legacyLookupName=xJBpbmggMTAgY20=
entry.21.aliasCount=0
entry.22.code=TUFULVBMQVNUSUMtRk</vt:lpwstr>
  </property>
  <property fmtid="{D5CDD505-2E9C-101B-9397-08002B2CF9AE}" pid="49" name="TTBMVN.PriceProfile.Part.7a4115b4e756405ea39dd27d233075a3.0035">
    <vt:lpwstr>xPQVQ=
entry.22.kind=1
entry.22.name=UGhhbyBuaOG7sWEgdHLDsm4gcGhpIDMwIGNt
entry.22.unit=ZWFjaA==
entry.22.basePrice=50000
entry.22.sourceDate=2026-08-03
entry.22.sourceKind=2
entry.22.sourceReference=V29ya2Jvb2s6U2hlZXQyMCFGOTY=
entry.22.le</vt:lpwstr>
  </property>
  <property fmtid="{D5CDD505-2E9C-101B-9397-08002B2CF9AE}" pid="50" name="TTBMVN.PriceProfile.Part.7a4115b4e756405ea39dd27d233075a3.0036">
    <vt:lpwstr>gacyLookupName=UGhhbyBuaOG7sWEgdHLDsm4gcGhpIDMwIGNt
entry.22.aliasCount=0
entry.23.code=TUFULVJFRC1GTEFH
entry.23.kind=1
entry.23.name=Q+G7nSDEkeG7jyDEkXXDtGkgbmhlbw==
entry.23.unit=ZWFjaA==
entry.23.basePrice=2500
entry.23.sourceDate=2026-</vt:lpwstr>
  </property>
  <property fmtid="{D5CDD505-2E9C-101B-9397-08002B2CF9AE}" pid="51" name="TTBMVN.PriceProfile.Part.7a4115b4e756405ea39dd27d233075a3.0037">
    <vt:lpwstr>08-03
entry.23.sourceKind=2
entry.23.sourceReference=V29ya2Jvb2s6U2hlZXQyMCFGODM=
entry.23.legacyLookupName=Q+G7nSDEkeG7jyDEkXXDtGkgbmhlbw==
entry.23.aliasCount=0
entry.24.code=TUFULVJFRC1GTEFHLUxBUkdF
entry.24.kind=1
entry.24.name=Q+G7nSDE</vt:lpwstr>
  </property>
  <property fmtid="{D5CDD505-2E9C-101B-9397-08002B2CF9AE}" pid="52" name="TTBMVN.PriceProfile.Part.7a4115b4e756405ea39dd27d233075a3.0038">
    <vt:lpwstr>keG7jyB0byAoIDQwIHggNjAgKSBjbQ==
entry.24.unit=ZWFjaA==
entry.24.basePrice=10000
entry.24.sourceDate=2026-08-03
entry.24.sourceKind=2
entry.24.sourceReference=V29ya2Jvb2s6U2hlZXQyMCFGODQ=
entry.24.legacyLookupName=Q+G7nSDEkeG7jyB0byAoIDQwIH</vt:lpwstr>
  </property>
  <property fmtid="{D5CDD505-2E9C-101B-9397-08002B2CF9AE}" pid="53" name="TTBMVN.PriceProfile.Part.7a4115b4e756405ea39dd27d233075a3.0039">
    <vt:lpwstr>ggNjAgKSBjbQ==
entry.24.aliasCount=0
entry.25.code=TUFULVJPUEUtMTBNTQ==
entry.25.kind=1
entry.25.name=RMOieSB0aOG7q25nIDEwIG1t
entry.25.unit=bQ==
entry.25.basePrice=2000
entry.25.sourceDate=2026-08-03
entry.25.sourceKind=2
entry.25.sourceRe</vt:lpwstr>
  </property>
  <property fmtid="{D5CDD505-2E9C-101B-9397-08002B2CF9AE}" pid="54" name="TTBMVN.PriceProfile.Part.7a4115b4e756405ea39dd27d233075a3.0040">
    <vt:lpwstr>ference=V29ya2Jvb2s6U2hlZXQyMCFGODU=
entry.25.legacyLookupName=RMOieSB0aOG7q25nIDEwIG1t
entry.25.aliasCount=0
entry.26.code=TUFULVJPUEUtMTJNTQ==
entry.26.kind=1
entry.26.name=RMOieSBOaWxvbiBwaGkgMTJtbQ==
entry.26.unit=bQ==
entry.26.basePric</vt:lpwstr>
  </property>
  <property fmtid="{D5CDD505-2E9C-101B-9397-08002B2CF9AE}" pid="55" name="TTBMVN.PriceProfile.Part.7a4115b4e756405ea39dd27d233075a3.0041">
    <vt:lpwstr>e=2500
entry.26.sourceDate=2026-08-03
entry.26.sourceKind=2
entry.26.sourceReference=V29ya2Jvb2s6U2hlZXQyMCFGOTk=
entry.26.legacyLookupName=RMOieSBOaWxvbiBwaGkgMTJtbQ==
entry.26.aliasCount=0
entry.27.code=TUFULVJPUEUtMThNTQ==
entry.27.kind=</vt:lpwstr>
  </property>
  <property fmtid="{D5CDD505-2E9C-101B-9397-08002B2CF9AE}" pid="56" name="TTBMVN.PriceProfile.Part.7a4115b4e756405ea39dd27d233075a3.0042">
    <vt:lpwstr>1
entry.27.name=RMOieSBOaWxvbiBwaGkgMThtbQ==
entry.27.unit=bQ==
entry.27.basePrice=3000
entry.27.sourceDate=2026-08-03
entry.27.sourceKind=2
entry.27.sourceReference=V29ya2Jvb2s6U2hlZXQyMCFGMTAw
entry.27.legacyLookupName=RMOieSBOaWxvbiBwaGk</vt:lpwstr>
  </property>
  <property fmtid="{D5CDD505-2E9C-101B-9397-08002B2CF9AE}" pid="57" name="TTBMVN.PriceProfile.Part.7a4115b4e756405ea39dd27d233075a3.0043">
    <vt:lpwstr>gMThtbQ==
entry.27.aliasCount=0
entry.28.code=TUFULVNNQUxMLUZMT0FU
entry.28.kind=1
entry.28.name=UGhhbyBuaOG7jyBwaGkgMTIgY20=
entry.28.unit=ZWFjaA==
entry.28.basePrice=10000
entry.28.sourceDate=2026-08-03
entry.28.sourceKind=2
entry.28.sour</vt:lpwstr>
  </property>
  <property fmtid="{D5CDD505-2E9C-101B-9397-08002B2CF9AE}" pid="58" name="TTBMVN.PriceProfile.Part.7a4115b4e756405ea39dd27d233075a3.0044">
    <vt:lpwstr>ceReference=V29ya2Jvb2s6U2hlZXQyMCFGOTc=
entry.28.legacyLookupName=UGhhbyBuaOG7jyBwaGkgMTIgY20=
entry.28.aliasCount=0
entry.29.code=TUFULVNQRUNJQUwtQU5DSE9S
entry.29.kind=1
entry.29.name=TeG7jyBuZW8gxJHhurdjIGJp4buHdCBsb+G6oWkgMjBrZw==
entr</vt:lpwstr>
  </property>
  <property fmtid="{D5CDD505-2E9C-101B-9397-08002B2CF9AE}" pid="59" name="TTBMVN.PriceProfile.Part.7a4115b4e756405ea39dd27d233075a3.0045">
    <vt:lpwstr>y.29.unit=ZWFjaA==
entry.29.basePrice=300000
entry.29.sourceDate=2026-08-03
entry.29.sourceKind=2
entry.29.sourceReference=V29ya2Jvb2s6U2hlZXQyMCFGOTQ=
entry.29.legacyLookupName=TeG7jyBuZW8gxJHhurdjIGJp4buHdCBsb+G6oWkgMjBrZw==
entry.29.alia</vt:lpwstr>
  </property>
  <property fmtid="{D5CDD505-2E9C-101B-9397-08002B2CF9AE}" pid="60" name="TTBMVN.PriceProfile.Part.7a4115b4e756405ea39dd27d233075a3.0046">
    <vt:lpwstr>sCount=0
entry.30.code=TUFULVNURUVMLUVYQ0FWQVRJT04tRlJBTUU=
entry.30.kind=1
entry.30.name=S2h1bmcgZ2lhIGPDtG5nIGLhurFuZyB0w7RuIDNtbSB2w6Agc+G6r3QgZ8OzYyAoNDV4NDUpbW0=
entry.30.unit=a2c=
entry.30.basePrice=22000
entry.30.sourceDate=2026-08-0</vt:lpwstr>
  </property>
  <property fmtid="{D5CDD505-2E9C-101B-9397-08002B2CF9AE}" pid="61" name="TTBMVN.PriceProfile.Part.7a4115b4e756405ea39dd27d233075a3.0047">
    <vt:lpwstr>3
entry.30.sourceKind=2
entry.30.sourceReference=V29ya2Jvb2s6U2hlZXQyMCFGMTAx
entry.30.legacyLookupName=S2h1bmcgZ2lhIGPDtG5nIGLhurFuZyB0w7RuIDNtbSB2w6Agc+G6r3QgZ8OzYyAoNDV4NDUpbW0=
entry.30.aliasCount=0
entry.31.code=TUFULVdJUkUtMk1N
entry.</vt:lpwstr>
  </property>
  <property fmtid="{D5CDD505-2E9C-101B-9397-08002B2CF9AE}" pid="62" name="TTBMVN.PriceProfile.Part.7a4115b4e756405ea39dd27d233075a3.0048">
    <vt:lpwstr>31.kind=1
entry.31.name=RMOieSB0aMOpcCBideG7mWMgMiBseQ==
entry.31.unit=a2c=
entry.31.basePrice=18500
entry.31.sourceDate=2026-08-03
entry.31.sourceKind=2
entry.31.sourceReference=V29ya2Jvb2s6U2hlZXQyMCFGOTA=
entry.31.legacyLookupName=RMOieS</vt:lpwstr>
  </property>
  <property fmtid="{D5CDD505-2E9C-101B-9397-08002B2CF9AE}" pid="63" name="TTBMVN.PriceProfile.Part.7a4115b4e756405ea39dd27d233075a3.0049">
    <vt:lpwstr>B0aMOpcCBideG7mWMgMiBseQ==
entry.31.aliasCount=0
entry.32.code=TUFULVdPT0QtQk9BUkQ=
entry.32.kind=1
entry.32.name=VsOhbiBn4buXIGTDoHkgMyBDbQ==
entry.32.unit=bTM=
entry.32.basePrice=3363636
entry.32.sourceDate=2026-08-03
entry.32.sourceKind=</vt:lpwstr>
  </property>
  <property fmtid="{D5CDD505-2E9C-101B-9397-08002B2CF9AE}" pid="64" name="TTBMVN.PriceProfile.Part.7a4115b4e756405ea39dd27d233075a3.0050">
    <vt:lpwstr>2
entry.32.sourceReference=V29ya2Jvb2s6U2hlZXQyMCFGODc=
entry.32.legacyLookupName=VsOhbiBn4buXIGTDoHkgMyBDbQ==
entry.32.aliasCount=0
entry.33.code=TUFULVdPT0QtU1RBS0U=
entry.33.kind=1
entry.33.name=Q+G7jWMgZ+G7lyBkID0gM2NtLCBMPSA1MCBjbQ==
e</vt:lpwstr>
  </property>
  <property fmtid="{D5CDD505-2E9C-101B-9397-08002B2CF9AE}" pid="65" name="TTBMVN.PriceProfile.Part.7a4115b4e756405ea39dd27d233075a3.0051">
    <vt:lpwstr>ntry.33.unit=ZWFjaA==
entry.33.basePrice=8000
entry.33.sourceDate=2026-08-03
entry.33.sourceKind=2
entry.33.sourceReference=V29ya2Jvb2s6U2hlZXQyMCFGODI=
entry.33.legacyLookupName=Q+G7jWMgZ+G7lyBkID0gM2NtLCBMPSA1MCBjbQ==
entry.33.aliasCount=</vt:lpwstr>
  </property>
  <property fmtid="{D5CDD505-2E9C-101B-9397-08002B2CF9AE}" pid="66" name="TTBMVN.PriceProfile.Part.7a4115b4e756405ea39dd27d233075a3.0052">
    <vt:lpwstr>0
overrideCount=0
checksum=1A9C6A1A8EF4B55B503FA0B2475D62262BB884A812B9BC322EBC47C122AF6A79</vt:lpwstr>
  </property>
  <property fmtid="{D5CDD505-2E9C-101B-9397-08002B2CF9AE}" pid="67" name="TTBMVN.PriceProfile.Manifest">
    <vt:lpwstr>1|7a4115b4e756405ea39dd27d233075a3|53|237399E73A875BB5D9D53C8E398CE87DAF1EFCA5B075EF2807EA683C07AE9756</vt:lpwstr>
  </property>
  <property fmtid="{D5CDD505-2E9C-101B-9397-08002B2CF9AE}" pid="68" name="TTBMVN.ResultAudit.Manifest">
    <vt:lpwstr>1|d6a3ad07c1aa48b698abc4f4d034da39|91|01D5D114ED27EE7CC6C48195155F1FBF3C5D89F67C87D4D7E18195C730E9986B</vt:lpwstr>
  </property>
  <property fmtid="{D5CDD505-2E9C-101B-9397-08002B2CF9AE}" pid="69" name="TTBMVN.ResultAudit.Part.d6a3ad07c1aa48b698abc4f4d034da39.0000">
    <vt:lpwstr>TTBMVN_RESULT_AUDIT
schema=1
entries=14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70" name="TTBMVN.ResultAudit.Part.d6a3ad07c1aa48b698abc4f4d034da39.0001">
    <vt:lpwstr>eG7h24gdMOtY2ggY+G6oW4sIGtow7RuZyBwaOG6o2kgYsOjaSBtw6xu|QlFQLVJQQk0tMjAyNQ==|Mi4wLjE=|E2537C08E7156414585BEFC446E74DD51E79AB8D67A3774B1F5250E7EECCDA90|VEVTVC1EVDEwMy1QUklDRS1CQVNFTElORQ==|MS4wLjA=|1A9C6A1A8EF4B55B503FA0B2475D62262BB884A812B</vt:lpwstr>
  </property>
  <property fmtid="{D5CDD505-2E9C-101B-9397-08002B2CF9AE}" pid="71" name="TTBMVN.ResultAudit.Part.d6a3ad07c1aa48b698abc4f4d034da39.0002">
    <vt:lpwstr>9BC322EBC47C122AF6A79|Tk9STS0wMTAuMDIwMA==|Zm9yZXN0LTE=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2" name="TTBMVN.ResultAudit.Part.d6a3ad07c1aa48b698abc4f4d034da39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3" name="TTBMVN.ResultAudit.Part.d6a3ad07c1aa48b698abc4f4d034da39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74" name="TTBMVN.ResultAudit.Part.d6a3ad07c1aa48b698abc4f4d034da39.0005">
    <vt:lpwstr>|E2537C08E7156414585BEFC446E74DD51E79AB8D67A3774B1F5250E7EECCDA90|VEVTVC1EVDEwMy1QUklDRS1CQVNFTElORQ==|MS4wLjA=|1A9C6A1A8EF4B55B503FA0B2475D62262BB884A812B9BC322EBC47C122AF6A79|Tk9STS0wMjAuMDIwMA==|ZGVuc2l0eS0x
source|RVNUfFNoZWV0MjR8MTM=|1</vt:lpwstr>
  </property>
  <property fmtid="{D5CDD505-2E9C-101B-9397-08002B2CF9AE}" pid="75" name="TTBMVN.ResultAudit.Part.d6a3ad07c1aa48b698abc4f4d034da39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76" name="TTBMVN.ResultAudit.Part.d6a3ad07c1aa48b698abc4f4d034da39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77" name="TTBMVN.ResultAudit.Part.d6a3ad07c1aa48b698abc4f4d034da39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78" name="TTBMVN.ResultAudit.Part.d6a3ad07c1aa48b698abc4f4d034da39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79" name="TTBMVN.ResultAudit.Part.d6a3ad07c1aa48b698abc4f4d034da39.0010">
    <vt:lpwstr>56414585BEFC446E74DD51E79AB8D67A3774B1F5250E7EECCDA90|VEVTVC1EVDEwMy1QUklDRS1CQVNFTElORQ==|MS4wLjA=|1A9C6A1A8EF4B55B503FA0B2475D62262BB884A812B9BC322EBC47C122AF6A79|Tk9STS0wMjAuMDMwMA==|c29pbC0x
source|RVNUfFNoZWV0MjR8MTQ=|1|VkJITjk3LTIwMjU</vt:lpwstr>
  </property>
  <property fmtid="{D5CDD505-2E9C-101B-9397-08002B2CF9AE}" pid="80" name="TTBMVN.ResultAudit.Part.d6a3ad07c1aa48b698abc4f4d034da39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81" name="TTBMVN.ResultAudit.Part.d6a3ad07c1aa48b698abc4f4d034da39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2" name="TTBMVN.ResultAudit.Part.d6a3ad07c1aa48b698abc4f4d034da39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3" name="TTBMVN.ResultAudit.Part.d6a3ad07c1aa48b698abc4f4d034da39.0014">
    <vt:lpwstr>0|VEVTVC1EVDEwMy1QUklDRS1CQVNFTElORQ==|MS4wLjA=|1A9C6A1A8EF4B55B503FA0B2475D62262BB884A812B9BC322EBC47C122AF6A79|Tk9STS0wMjAuMDUwMA==|ZGVwdGgtMw==
source|RVNUfFNoZWV0MjR8MTU=|1|VkJITjk3LTIwMjUtQlFQ|24|25|UGjhu6UgbOG7pWMgSSwgUGjhuqduIElJLCBD</vt:lpwstr>
  </property>
  <property fmtid="{D5CDD505-2E9C-101B-9397-08002B2CF9AE}" pid="84" name="TTBMVN.ResultAudit.Part.d6a3ad07c1aa48b698abc4f4d034da39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85" name="TTBMVN.ResultAudit.Part.d6a3ad07c1aa48b698abc4f4d034da39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86" name="TTBMVN.ResultAudit.Part.d6a3ad07c1aa48b698abc4f4d034da39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87" name="TTBMVN.ResultAudit.Part.d6a3ad07c1aa48b698abc4f4d034da39.0018">
    <vt:lpwstr>gdHLDqm4gY+G6oW4gdOG7qyDEkeG7mSBzw6J1IDAsM20tNW0u|QlFQLVJQQk0tMjAyNQ==|Mi4wLjE=|E2537C08E7156414585BEFC446E74DD51E79AB8D67A3774B1F5250E7EECCDA90|VEVTVC1EVDEwMy1QUklDRS1CQVNFTElORQ==|MS4wLjA=|1A9C6A1A8EF4B55B503FA0B2475D62262BB884A812B9BC322</vt:lpwstr>
  </property>
  <property fmtid="{D5CDD505-2E9C-101B-9397-08002B2CF9AE}" pid="88" name="TTBMVN.ResultAudit.Part.d6a3ad07c1aa48b698abc4f4d034da39.0019">
    <vt:lpwstr>EBC47C122AF6A79|Tk9STS0wMjAuMDUwMA==|ZGVwdGgtNQ==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89" name="TTBMVN.ResultAudit.Part.d6a3ad07c1aa48b698abc4f4d034da39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90" name="TTBMVN.ResultAudit.Part.d6a3ad07c1aa48b698abc4f4d034da39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91" name="TTBMVN.ResultAudit.Part.d6a3ad07c1aa48b698abc4f4d034da39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2" name="TTBMVN.ResultAudit.Part.d6a3ad07c1aa48b698abc4f4d034da39.0023">
    <vt:lpwstr>IEMy|QlFQLVJQQk0tMjAyNQ==|Mi4wLjE=|E2537C08E7156414585BEFC446E74DD51E79AB8D67A3774B1F5250E7EECCDA90|VEVTVC1EVDEwMy1QUklDRS1CQVNFTElORQ==|MS4wLjA=|1A9C6A1A8EF4B55B503FA0B2475D62262BB884A812B9BC322EBC47C122AF6A79|Tk9STS0wMjAuMDcwMA==|c29pbC0y</vt:lpwstr>
  </property>
  <property fmtid="{D5CDD505-2E9C-101B-9397-08002B2CF9AE}" pid="93" name="TTBMVN.ResultAudit.Part.d6a3ad07c1aa48b698abc4f4d034da39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94" name="TTBMVN.ResultAudit.Part.d6a3ad07c1aa48b698abc4f4d034da39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95" name="TTBMVN.ResultAudit.Part.d6a3ad07c1aa48b698abc4f4d034da39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96" name="TTBMVN.ResultAudit.Part.d6a3ad07c1aa48b698abc4f4d034da39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97" name="TTBMVN.ResultAudit.Part.d6a3ad07c1aa48b698abc4f4d034da39.0028">
    <vt:lpwstr>=|E2537C08E7156414585BEFC446E74DD51E79AB8D67A3774B1F5250E7EECCDA90|VEVTVC1EVDEwMy1QUklDRS1CQVNFTElORQ==|MS4wLjA=|1A9C6A1A8EF4B55B503FA0B2475D62262BB884A812B9BC322EBC47C122AF6A79|Tk9STS0wMjAuMDgwMA==|
source|RVNUfFNoZWV0MjR8MTg=|3||0|0||Uk9V</vt:lpwstr>
  </property>
  <property fmtid="{D5CDD505-2E9C-101B-9397-08002B2CF9AE}" pid="98" name="TTBMVN.ResultAudit.Part.d6a3ad07c1aa48b698abc4f4d034da39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99" name="TTBMVN.ResultAudit.Part.d6a3ad07c1aa48b698abc4f4d034da39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100" name="TTBMVN.ResultAudit.Part.d6a3ad07c1aa48b698abc4f4d034da39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101" name="TTBMVN.ResultAudit.Part.d6a3ad07c1aa48b698abc4f4d034da39.0032">
    <vt:lpwstr>B1F5250E7EECCDA90|VEVTVC1EVDEwMy1QUklDRS1CQVNFTElORQ==|MS4wLjA=|1A9C6A1A8EF4B55B503FA0B2475D62262BB884A812B9BC322EBC47C122AF6A79|Tk9STS0wMzAuMDEwMA==|d2F0ZXItMC41LTEy
source|RVNUfFNoZWV0MjR8MjA=|1|VkJITjk3LTIwMjUtQlFQ|30|31|UGjhu6UgbOG7pWMg</vt:lpwstr>
  </property>
  <property fmtid="{D5CDD505-2E9C-101B-9397-08002B2CF9AE}" pid="102" name="TTBMVN.ResultAudit.Part.d6a3ad07c1aa48b698abc4f4d034da39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3" name="TTBMVN.ResultAudit.Part.d6a3ad07c1aa48b698abc4f4d034da39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04" name="TTBMVN.ResultAudit.Part.d6a3ad07c1aa48b698abc4f4d034da39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05" name="TTBMVN.ResultAudit.Part.d6a3ad07c1aa48b698abc4f4d034da39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06" name="TTBMVN.ResultAudit.Part.d6a3ad07c1aa48b698abc4f4d034da39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07" name="TTBMVN.ResultAudit.Part.d6a3ad07c1aa48b698abc4f4d034da39.0038">
    <vt:lpwstr>IHTDrG0gZMaw4bubaSBuxrDhu5tjIHThu6sgxJHhu5kgc8OidSAwLDVtIC0gM20uIE7GsOG7m2Mgc8OidSAwLDVtIC0gMTJt|QlFQLVJQQk0tMjAyNQ==|Mi4wLjE=|E2537C08E7156414585BEFC446E74DD51E79AB8D67A3774B1F5250E7EECCDA90|VEVTVC1EVDEwMy1QUklDRS1CQVNFTElORQ==|MS4wLjA=|1A</vt:lpwstr>
  </property>
  <property fmtid="{D5CDD505-2E9C-101B-9397-08002B2CF9AE}" pid="108" name="TTBMVN.ResultAudit.Part.d6a3ad07c1aa48b698abc4f4d034da39.0039">
    <vt:lpwstr>9C6A1A8EF4B55B503FA0B2475D62262BB884A812B9BC322EBC47C122AF6A79|Tk9STS0wMzAuMDIwMA==|d2F0ZXItMC41LTEy
source|RVNUfFNoZWV0MjR8MjE=|1|VkJITjk3LTIwMjUtQlFQ|31|32|UGjhu6UgbOG7pWMgSSwgUGjhuqduIElJLCBDaMawxqFuZyBJViwgbeG7pWMgMg==|
source|RVNUfFNoZ</vt:lpwstr>
  </property>
  <property fmtid="{D5CDD505-2E9C-101B-9397-08002B2CF9AE}" pid="109" name="TTBMVN.ResultAudit.Part.d6a3ad07c1aa48b698abc4f4d034da39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10" name="TTBMVN.ResultAudit.Part.d6a3ad07c1aa48b698abc4f4d034da39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11" name="TTBMVN.ResultAudit.Part.d6a3ad07c1aa48b698abc4f4d034da39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2" name="TTBMVN.ResultAudit.Part.d6a3ad07c1aa48b698abc4f4d034da39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3" name="TTBMVN.ResultAudit.Part.d6a3ad07c1aa48b698abc4f4d034da39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14" name="TTBMVN.ResultAudit.Part.d6a3ad07c1aa48b698abc4f4d034da39.0045">
    <vt:lpwstr>BOxrDhu5tjIHPDonUgM20gLSAxMm0=|QlFQLVJQQk0tMjAyNQ==|Mi4wLjE=|E2537C08E7156414585BEFC446E74DD51E79AB8D67A3774B1F5250E7EECCDA90|VEVTVC1EVDEwMy1QUklDRS1CQVNFTElORQ==|MS4wLjA=|1A9C6A1A8EF4B55B503FA0B2475D62262BB884A812B9BC322EBC47C122AF6A79|Tk9</vt:lpwstr>
  </property>
  <property fmtid="{D5CDD505-2E9C-101B-9397-08002B2CF9AE}" pid="115" name="TTBMVN.ResultAudit.Part.d6a3ad07c1aa48b698abc4f4d034da39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16" name="TTBMVN.ResultAudit.Part.d6a3ad07c1aa48b698abc4f4d034da39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17" name="TTBMVN.ResultAudit.Part.d6a3ad07c1aa48b698abc4f4d034da39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18" name="TTBMVN.ResultAudit.Part.d6a3ad07c1aa48b698abc4f4d034da39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19" name="TTBMVN.ResultAudit.Part.d6a3ad07c1aa48b698abc4f4d034da39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20" name="TTBMVN.ResultAudit.Part.d6a3ad07c1aa48b698abc4f4d034da39.0051">
    <vt:lpwstr>k0tMjAyNQ==|Mi4wLjE=|E2537C08E7156414585BEFC446E74DD51E79AB8D67A3774B1F5250E7EECCDA90|VEVTVC1EVDEwMy1QUklDRS1CQVNFTElORQ==|MS4wLjA=|1A9C6A1A8EF4B55B503FA0B2475D62262BB884A812B9BC322EBC47C122AF6A79|Tk9STS0wMzAuMDQwMA==|d2F0ZXItMC41LTEy
sourc</vt:lpwstr>
  </property>
  <property fmtid="{D5CDD505-2E9C-101B-9397-08002B2CF9AE}" pid="121" name="TTBMVN.ResultAudit.Part.d6a3ad07c1aa48b698abc4f4d034da39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2" name="TTBMVN.ResultAudit.Part.d6a3ad07c1aa48b698abc4f4d034da39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3" name="TTBMVN.ResultAudit.Part.d6a3ad07c1aa48b698abc4f4d034da39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24" name="TTBMVN.ResultAudit.Part.d6a3ad07c1aa48b698abc4f4d034da39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25" name="TTBMVN.ResultAudit.Part.d6a3ad07c1aa48b698abc4f4d034da39.0056">
    <vt:lpwstr>gdMOtbiBoaeG7h3UgdOG7qyDEkeG7mSBzw6J1IDAsNW0gLSAxbSAoMDFUSC9oYSk=|QlFQLVJQQk0tMjAyNQ==|Mi4wLjE=|E2537C08E7156414585BEFC446E74DD51E79AB8D67A3774B1F5250E7EECCDA90|VEVTVC1EVDEwMy1QUklDRS1CQVNFTElORQ==|MS4wLjA=|1A9C6A1A8EF4B55B503FA0B2475D62262</vt:lpwstr>
  </property>
  <property fmtid="{D5CDD505-2E9C-101B-9397-08002B2CF9AE}" pid="126" name="TTBMVN.ResultAudit.Part.d6a3ad07c1aa48b698abc4f4d034da39.0057">
    <vt:lpwstr>BB884A812B9BC322EBC47C122AF6A79|Tk9STS0wMzAuMDUwMA==|d2F0ZXItMC41LTEy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27" name="TTBMVN.ResultAudit.Part.d6a3ad07c1aa48b698abc4f4d034da39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28" name="TTBMVN.ResultAudit.Part.d6a3ad07c1aa48b698abc4f4d034da39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29" name="TTBMVN.ResultAudit.Part.d6a3ad07c1aa48b698abc4f4d034da39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30" name="TTBMVN.ResultAudit.Part.d6a3ad07c1aa48b698abc4f4d034da39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31" name="TTBMVN.ResultAudit.Part.d6a3ad07c1aa48b698abc4f4d034da39.0062">
    <vt:lpwstr>Bsw70gdMOtbiBoaeG7h3UgdOG7qyDEkeG7mSBzw6J1IDFtIC0gM20gKCAwLDEgVEgvaGEp|QlFQLVJQQk0tMjAyNQ==|Mi4wLjE=|E2537C08E7156414585BEFC446E74DD51E79AB8D67A3774B1F5250E7EECCDA90|VEVTVC1EVDEwMy1QUklDRS1CQVNFTElORQ==|MS4wLjA=|1A9C6A1A8EF4B55B503FA0B2475D</vt:lpwstr>
  </property>
  <property fmtid="{D5CDD505-2E9C-101B-9397-08002B2CF9AE}" pid="132" name="TTBMVN.ResultAudit.Part.d6a3ad07c1aa48b698abc4f4d034da39.0063">
    <vt:lpwstr>62262BB884A812B9BC322EBC47C122AF6A79|Tk9STS0wMzAuMDYwMA==|d2F0ZXItMC41LTEy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3" name="TTBMVN.ResultAudit.Part.d6a3ad07c1aa48b698abc4f4d034da39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34" name="TTBMVN.ResultAudit.Part.d6a3ad07c1aa48b698abc4f4d034da39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35" name="TTBMVN.ResultAudit.Part.d6a3ad07c1aa48b698abc4f4d034da39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36" name="TTBMVN.ResultAudit.Part.d6a3ad07c1aa48b698abc4f4d034da39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37" name="TTBMVN.ResultAudit.Part.d6a3ad07c1aa48b698abc4f4d034da39.0068">
    <vt:lpwstr>bmRpeA==|2|U2hlZXQyNA==|RXN0aW1hdGVBcHBlbmRpeA==|11|6|27|14|UGh1IGx1YyBkdSB0b2FuIHRoaSBjb25n|QlFQLVJQQk0tMjAyNQ==|Mi4wLjE=|E2537C08E7156414585BEFC446E74DD51E79AB8D67A3774B1F5250E7EECCDA90|VEVTVC1EVDEwMy1QUklDRS1CQVNFTElORQ==|MS4wLjA=|1A9C6A</vt:lpwstr>
  </property>
  <property fmtid="{D5CDD505-2E9C-101B-9397-08002B2CF9AE}" pid="138" name="TTBMVN.ResultAudit.Part.d6a3ad07c1aa48b698abc4f4d034da39.0069">
    <vt:lpwstr>1A8EF4B55B503FA0B2475D62262BB884A812B9BC322EBC47C122AF6A79||
source|RVNUfFNoZWV0MjR8QkxPQ0s=|1|VkJITjk3LTIwMjUtQlFQ|21|21|UGjhu6UgbOG7pWMgSSwgUGjhuqduIElJLCBDaMawxqFuZyBJSSwgbeG7pWMgMg==|
source|RVNUfFNoZWV0MjR8QkxPQ0s=|1|VkJITjk3LTIwMjUtQl</vt:lpwstr>
  </property>
  <property fmtid="{D5CDD505-2E9C-101B-9397-08002B2CF9AE}" pid="139" name="TTBMVN.ResultAudit.Part.d6a3ad07c1aa48b698abc4f4d034da39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40" name="TTBMVN.ResultAudit.Part.d6a3ad07c1aa48b698abc4f4d034da39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41" name="TTBMVN.ResultAudit.Part.d6a3ad07c1aa48b698abc4f4d034da39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2" name="TTBMVN.ResultAudit.Part.d6a3ad07c1aa48b698abc4f4d034da39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3" name="TTBMVN.ResultAudit.Part.d6a3ad07c1aa48b698abc4f4d034da39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44" name="TTBMVN.ResultAudit.Part.d6a3ad07c1aa48b698abc4f4d034da39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45" name="TTBMVN.ResultAudit.Part.d6a3ad07c1aa48b698abc4f4d034da39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46" name="TTBMVN.ResultAudit.Part.d6a3ad07c1aa48b698abc4f4d034da39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47" name="TTBMVN.ResultAudit.Part.d6a3ad07c1aa48b698abc4f4d034da39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48" name="TTBMVN.ResultAudit.Part.d6a3ad07c1aa48b698abc4f4d034da39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49" name="TTBMVN.ResultAudit.Part.d6a3ad07c1aa48b698abc4f4d034da39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50" name="TTBMVN.ResultAudit.Part.d6a3ad07c1aa48b698abc4f4d034da39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51" name="TTBMVN.ResultAudit.Part.d6a3ad07c1aa48b698abc4f4d034da39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2" name="TTBMVN.ResultAudit.Part.d6a3ad07c1aa48b698abc4f4d034da39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3" name="TTBMVN.ResultAudit.Part.d6a3ad07c1aa48b698abc4f4d034da39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54" name="TTBMVN.ResultAudit.Part.d6a3ad07c1aa48b698abc4f4d034da39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55" name="TTBMVN.ResultAudit.Part.d6a3ad07c1aa48b698abc4f4d034da39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56" name="TTBMVN.ResultAudit.Part.d6a3ad07c1aa48b698abc4f4d034da39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57" name="TTBMVN.ResultAudit.Part.d6a3ad07c1aa48b698abc4f4d034da39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58" name="TTBMVN.ResultAudit.Part.d6a3ad07c1aa48b698abc4f4d034da39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59" name="TTBMVN.ResultAudit.Part.d6a3ad07c1aa48b698abc4f4d034da39.0090">
    <vt:lpwstr>XQyNCFGMjU6TjI1
source|RVNUfFNoZWV0MjR8QkxPQ0s=|6||0|0||VFRCTVZOX0JMT0NLfDI2fDI3fFkzVnljbVZ1ZEMxbmRDMHdMV3hsTFRBdU5RPT0=</vt:lpwstr>
  </property>
  <property fmtid="{D5CDD505-2E9C-101B-9397-08002B2CF9AE}" pid="160" name="TTBMVN.EstimateWorkspace.Part.5eb3ba02ff094b1bb29f16091457b81a.0000">
    <vt:lpwstr>TTBMVN_ESTIMATE_WORKSPACE
schema=1
updatedAt=2026-08-04T03:47:31.7236320Z
sheetCodeName=U2hlZXQyNA==
sheetName=R2lhIERUIFRD
address=JEEkOTokTCQyNw==
firstRow=10
lastRow=27
columns=2,3,4,5,6,7,8,9,10,11,12
rowCount=17
row.0.id=NDVkMDVlYzg3ZD</vt:lpwstr>
  </property>
  <property fmtid="{D5CDD505-2E9C-101B-9397-08002B2CF9AE}" pid="161" name="TTBMVN.EstimateWorkspace.Part.5eb3ba02ff094b1bb29f16091457b81a.0001">
    <vt:lpwstr>MzNDdmNWJhOWQ4ODg4NTgyZDlhODg=
row.0.binding=VFRCTVZOX1BMRFRfNDVkMDVlYzg3ZDMzNDdmNWJhOWQ4ODg4NTgyZDlhODg=
row.0.sourceRow=11
row.0.code=
row.0.description=RMOyIHTDrG0gdsOgIHjhu60gbMO9IGJvbSBtw6xuIHbhuq10IG7hu5UgdHLDqm4gY+G6oW4=
row.0.unit=
</vt:lpwstr>
  </property>
  <property fmtid="{D5CDD505-2E9C-101B-9397-08002B2CF9AE}" pid="162" name="TTBMVN.EstimateWorkspace.Part.5eb3ba02ff094b1bb29f16091457b81a.0002">
    <vt:lpwstr>row.0.quantityFormula=
row.0.quantity=0
row.0.acceptedFormula=
row.0.accepted=0
row.0.environment=1
row.0.audience=2
row.0.norm=
row.0.variant=
row.0.conditions=
row.0.bindingCount=0
row.1.id=N2NiNTMxNTM2ZThiNDEzMGE3MDVkM2E2NTRjODExNzE=
row</vt:lpwstr>
  </property>
  <property fmtid="{D5CDD505-2E9C-101B-9397-08002B2CF9AE}" pid="163" name="TTBMVN.EstimateWorkspace.Part.5eb3ba02ff094b1bb29f16091457b81a.0003">
    <vt:lpwstr>.1.binding=VFRCTVZOX1BMRFRfN2NiNTMxNTM2ZThiNDEzMGE3MDVkM2E2NTRjODExNzE=
row.1.sourceRow=12
row.1.code=
row.1.description=UGjDoXQgcXVhbmcgbeG6t3QgYuG6sW5nIHTGsMahbmcgxJHGsMahbmcgcuG7q25nIGxv4bqhaSAxLCBjaGnhur9tIDUwJSBkaeG7h24gdMOtY2ggY+G6oW4</vt:lpwstr>
  </property>
  <property fmtid="{D5CDD505-2E9C-101B-9397-08002B2CF9AE}" pid="164" name="TTBMVN.EstimateWorkspace.Part.5eb3ba02ff094b1bb29f16091457b81a.0004">
    <vt:lpwstr>sIGtow7RuZyBwaOG6o2kgYsOjaSBtw6xu
row.1.unit=aGE=
row.1.quantityFormula=PVJPVU5EKEUxMypRMTIlOzMp
row.1.quantity=1.905
row.1.acceptedFormula=
row.1.accepted=0
row.1.environment=1
row.1.audience=2
row.1.norm=Tk9STS0wMTAuMDIwMA==
row.1.variant</vt:lpwstr>
  </property>
  <property fmtid="{D5CDD505-2E9C-101B-9397-08002B2CF9AE}" pid="165" name="TTBMVN.EstimateWorkspace.Part.5eb3ba02ff094b1bb29f16091457b81a.0005">
    <vt:lpwstr>=Zm9yZXN0LTE=
row.1.conditions=c2xvcGUtZ3QtMjVkZWc=
row.1.bindingCount=0
row.2.id=YzM2ODE3ZDhjMmQ0NDFiNjg2MzE1OTkzMTJhMzQ1NzU=
row.2.binding=VFRCTVZOX1BMRFRfYzM2ODE3ZDhjMmQ0NDFiNjg2MzE1OTkzMTJhMzQ1NzU=
row.2.sourceRow=13
row.2.code=
row.2.d</vt:lpwstr>
  </property>
  <property fmtid="{D5CDD505-2E9C-101B-9397-08002B2CF9AE}" pid="166" name="TTBMVN.EstimateWorkspace.Part.5eb3ba02ff094b1bb29f16091457b81a.0006">
    <vt:lpwstr>escription=RMOyIHTDrG0gdHLDqm4gY+G6oW4gxJHhur9uIMSR4buZIHPDonUgMCwzbS4gTeG6rXQgxJHhu5kgMQ==
row.2.unit=aGE=
row.2.quantityFormula=PVRIS0whRjE4
row.2.quantity=3.81
row.2.acceptedFormula=
row.2.accepted=0
row.2.environment=1
row.2.audience=2
</vt:lpwstr>
  </property>
  <property fmtid="{D5CDD505-2E9C-101B-9397-08002B2CF9AE}" pid="167" name="TTBMVN.EstimateWorkspace.Part.5eb3ba02ff094b1bb29f16091457b81a.0007">
    <vt:lpwstr>row.2.norm=Tk9STS0wMjAuMDIwMA==
row.2.variant=ZGVuc2l0eS0x
row.2.conditions=
row.2.bindingCount=0
row.3.id=ZDdlM2JhNzNiY2QyNDc5OGJkNmRjOGRlODVmMDU5ZjY=
row.3.binding=VFRCTVZOX1BMRFRfZDdlM2JhNzNiY2QyNDc5OGJkNmRjOGRlODVmMDU5ZjY=
row.3.sourceR</vt:lpwstr>
  </property>
  <property fmtid="{D5CDD505-2E9C-101B-9397-08002B2CF9AE}" pid="168" name="TTBMVN.EstimateWorkspace.Part.5eb3ba02ff094b1bb29f16091457b81a.0008">
    <vt:lpwstr>ow=14
row.3.code=
row.3.description=xJDDoG8sIHjhu60gbMO9IMSR4bq/biDEkeG7mSBzw6J1IDAsM20gKDcwIFRIL2hhKS4gxJDhuqV0IEMx
row.3.unit=VC9oaeG7h3U=
row.3.quantityFormula=PVJPVU5EKEUxMypRMTQ7MCk=
row.3.quantity=267
row.3.acceptedFormula=
row.3.acce</vt:lpwstr>
  </property>
  <property fmtid="{D5CDD505-2E9C-101B-9397-08002B2CF9AE}" pid="169" name="TTBMVN.EstimateWorkspace.Part.5eb3ba02ff094b1bb29f16091457b81a.0009">
    <vt:lpwstr>pted=0
row.3.environment=1
row.3.audience=2
row.3.norm=Tk9STS0wMjAuMDMwMA==
row.3.variant=c29pbC0x
row.3.conditions=
row.3.bindingCount=0
row.4.id=NzAzNzg5MmRiNmNhNDcyMWI3ZTYzZTk1M2FjMmRkNjE=
row.4.binding=VFRCTVZOX1BMRFRfNzAzNzg5MmRiNmNhND</vt:lpwstr>
  </property>
  <property fmtid="{D5CDD505-2E9C-101B-9397-08002B2CF9AE}" pid="170" name="TTBMVN.EstimateWorkspace.Part.5eb3ba02ff094b1bb29f16091457b81a.0010">
    <vt:lpwstr>cyMWI3ZTYzZTk1M2FjMmRkNjE=
row.4.sourceRow=15
row.4.code=
row.4.description=RMOyIHTDrG0gdHLDqm4gY+G6oW4gdOG7qyDEkeG7mSBzw6J1IDAsM20tM20u
row.4.unit=aGE=
row.4.quantityFormula=PVRIS0whRjE5
row.4.quantity=2.47
row.4.acceptedFormula=
row.4.acc</vt:lpwstr>
  </property>
  <property fmtid="{D5CDD505-2E9C-101B-9397-08002B2CF9AE}" pid="171" name="TTBMVN.EstimateWorkspace.Part.5eb3ba02ff094b1bb29f16091457b81a.0011">
    <vt:lpwstr>epted=0
row.4.environment=1
row.4.audience=2
row.4.norm=
row.4.variant=
row.4.conditions=
row.4.bindingCount=0
row.5.id=ZWNhN2M4ZWQ3ZjRkNDI4MWI5ZjBkNjM2NTI1MTg1OWI=
row.5.binding=VFRCTVZOX1BMRFRfZWNhN2M4ZWQ3ZjRkNDI4MWI5ZjBkNjM2NTI1MTg1OWI=
</vt:lpwstr>
  </property>
  <property fmtid="{D5CDD505-2E9C-101B-9397-08002B2CF9AE}" pid="172" name="TTBMVN.EstimateWorkspace.Part.5eb3ba02ff094b1bb29f16091457b81a.0012">
    <vt:lpwstr>row.5.sourceRow=16
row.5.code=
row.5.description=RMOyIHTDrG0gdHLDqm4gY+G6oW4gdOG7qyDEkeG7mSBzw6J1IDAsM20tNW0u
row.5.unit=aGE=
row.5.quantityFormula=MA==
row.5.quantity=0
row.5.acceptedFormula=
row.5.accepted=0
row.5.environment=1
row.5.audi</vt:lpwstr>
  </property>
  <property fmtid="{D5CDD505-2E9C-101B-9397-08002B2CF9AE}" pid="173" name="TTBMVN.EstimateWorkspace.Part.5eb3ba02ff094b1bb29f16091457b81a.0013">
    <vt:lpwstr>ence=2
row.5.norm=
row.5.variant=
row.5.conditions=
row.5.bindingCount=0
row.6.id=YmVhZDA1OWQ1ZmVjNDkyOGIyMTMyMzY0NDUwYTM1NjY=
row.6.binding=VFRCTVZOX1BMRFRfYmVhZDA1OWQ1ZmVjNDkyOGIyMTMyMzY0NDUwYTM1NjY=
row.6.sourceRow=17
row.6.code=
row.6.d</vt:lpwstr>
  </property>
  <property fmtid="{D5CDD505-2E9C-101B-9397-08002B2CF9AE}" pid="174" name="TTBMVN.EstimateWorkspace.Part.5eb3ba02ff094b1bb29f16091457b81a.0014">
    <vt:lpwstr>escription=xJDDoG8gxJHhuqV0IHjhu60gbMO9IHTDrW4gaGnhu4d1IHThu6sgxJHhu5kgc8OidSAwLDNtIC0gM20gKDAzIFRIL2hhKS4gxJDhuqV0IEMy
row.6.unit=bTM=
row.6.quantityFormula=PVJPVU5EKChFMTUrRTE2KSpRMTc7MCkqMiw4Ng==
row.6.quantity=20.02
row.6.acceptedFormul</vt:lpwstr>
  </property>
  <property fmtid="{D5CDD505-2E9C-101B-9397-08002B2CF9AE}" pid="175" name="TTBMVN.EstimateWorkspace.Part.5eb3ba02ff094b1bb29f16091457b81a.0015">
    <vt:lpwstr>a=
row.6.accepted=0
row.6.environment=1
row.6.audience=2
row.6.norm=
row.6.variant=
row.6.conditions=
row.6.bindingCount=0
row.7.id=NDAxMDZhNWUwNjI0NDg4NTg1OTJjY2RjY2ZlN2NjNWU=
row.7.binding=VFRCTVZOX1BMRFRfNDAxMDZhNWUwNjI0NDg4NTg1OTJjY2RjY</vt:lpwstr>
  </property>
  <property fmtid="{D5CDD505-2E9C-101B-9397-08002B2CF9AE}" pid="176" name="TTBMVN.EstimateWorkspace.Part.5eb3ba02ff094b1bb29f16091457b81a.0016">
    <vt:lpwstr>2ZlN2NjNWU=
row.7.sourceRow=18
row.7.code=
row.7.description=xJDDoG8gxJHhuqV0IHjhu60gbMO9IHTDrW4gaGnhu4d1IHThu6sgxJHhu5kgc8OidSAzbSAtIDVtICgwLDMgVEgvaGEpLiDEkOG6pXQgQzI=
row.7.unit=bTM=
row.7.quantityFormula=PVJPVU5EKEUxNipRMTg7MCkqMTQsNjc=</vt:lpwstr>
  </property>
  <property fmtid="{D5CDD505-2E9C-101B-9397-08002B2CF9AE}" pid="177" name="TTBMVN.EstimateWorkspace.Part.5eb3ba02ff094b1bb29f16091457b81a.0017">
    <vt:lpwstr>
row.7.quantity=0
row.7.acceptedFormula=
row.7.accepted=0
row.7.environment=1
row.7.audience=2
row.7.norm=
row.7.variant=
row.7.conditions=
row.7.bindingCount=0
row.8.id=N2M2ZTUwMTI4NmM4NDgxNGJjM2ViNTEzMzMzMWEyYjA=
row.8.binding=VFRCTVZOX1B</vt:lpwstr>
  </property>
  <property fmtid="{D5CDD505-2E9C-101B-9397-08002B2CF9AE}" pid="178" name="TTBMVN.EstimateWorkspace.Part.5eb3ba02ff094b1bb29f16091457b81a.0018">
    <vt:lpwstr>MRFRfN2M2ZTUwMTI4NmM4NDgxNGJjM2ViNTEzMzMzMWEyYjA=
row.8.sourceRow=19
row.8.code=
row.8.description=RMOyIHTDrG0gdsOgIHjhu60gbMO9IGJvbSBtw6xuIHbhuq10IG7hu5UgZMaw4bubaSBuxrDhu5tjIChOxrDhu5tjIHPDonUgVEI8M20p
row.8.unit=
row.8.quantityFormula=
r</vt:lpwstr>
  </property>
  <property fmtid="{D5CDD505-2E9C-101B-9397-08002B2CF9AE}" pid="179" name="TTBMVN.EstimateWorkspace.Part.5eb3ba02ff094b1bb29f16091457b81a.0019">
    <vt:lpwstr>ow.8.quantity=0
row.8.acceptedFormula=
row.8.accepted=0
row.8.environment=1
row.8.audience=2
row.8.norm=
row.8.variant=
row.8.conditions=
row.8.bindingCount=0
row.9.id=MjU4ZGI0NTViZTkyNDZiODhlYjcyMzlkODFiMTUzNTQ=
row.9.binding=VFRCTVZOX1BMR</vt:lpwstr>
  </property>
  <property fmtid="{D5CDD505-2E9C-101B-9397-08002B2CF9AE}" pid="180" name="TTBMVN.EstimateWorkspace.Part.5eb3ba02ff094b1bb29f16091457b81a.0020">
    <vt:lpwstr>FRfMjU4ZGI0NTViZTkyNDZiODhlYjcyMzlkODFiMTUzNTQ=
row.9.sourceRow=20
row.9.code=
row.9.description=RMOyIHTDrG0gZMaw4bubaSBuxrDhu5tjIMSR4bq/biDEkeG7mSBzw6J1IDAsNW0uIE7GsOG7m2Mgc8OidSAwLDVtIC0gMTJt
row.9.unit=aGE=
row.9.quantityFormula=PVRIS0wh</vt:lpwstr>
  </property>
  <property fmtid="{D5CDD505-2E9C-101B-9397-08002B2CF9AE}" pid="181" name="TTBMVN.EstimateWorkspace.Part.5eb3ba02ff094b1bb29f16091457b81a.0021">
    <vt:lpwstr>RjIx
row.9.quantity=6.65
row.9.acceptedFormula=
row.9.accepted=0
row.9.environment=1
row.9.audience=2
row.9.norm=
row.9.variant=
row.9.conditions=
row.9.bindingCount=0
row.10.id=MTRlODU0ZmIwNzliNDJiODg0ZDUxNTFjM2FjNDdmNGE=
row.10.binding=VF</vt:lpwstr>
  </property>
  <property fmtid="{D5CDD505-2E9C-101B-9397-08002B2CF9AE}" pid="182" name="TTBMVN.EstimateWorkspace.Part.5eb3ba02ff094b1bb29f16091457b81a.0022">
    <vt:lpwstr>RCTVZOX1BMRFRfMTRlODU0ZmIwNzliNDJiODg0ZDUxNTFjM2FjNDdmNGE=
row.10.sourceRow=21
row.10.code=
row.10.description=RMOyIHTDrG0gZMaw4bubaSBuxrDhu5tjIHThu6sgxJHhu5kgc8OidSAwLDVtIC0gM20uIE7GsOG7m2Mgc8OidSAwLDVtIC0gMTJt
row.10.unit=aGE=
row.10.quan</vt:lpwstr>
  </property>
  <property fmtid="{D5CDD505-2E9C-101B-9397-08002B2CF9AE}" pid="183" name="TTBMVN.EstimateWorkspace.Part.5eb3ba02ff094b1bb29f16091457b81a.0023">
    <vt:lpwstr>tityFormula=PVRIS0whRjIy
row.10.quantity=6.58
row.10.acceptedFormula=
row.10.accepted=0
row.10.environment=1
row.10.audience=2
row.10.norm=
row.10.variant=
row.10.conditions=
row.10.bindingCount=0
row.11.id=YzYzNmExNWNjMjU2NGI4NmEzMzEzYTIyN</vt:lpwstr>
  </property>
  <property fmtid="{D5CDD505-2E9C-101B-9397-08002B2CF9AE}" pid="184" name="TTBMVN.EstimateWorkspace.Part.5eb3ba02ff094b1bb29f16091457b81a.0024">
    <vt:lpwstr>WRjMWQ1NzQ=
row.11.binding=VFRCTVZOX1BMRFRfYzYzNmExNWNjMjU2NGI4NmEzMzEzYTIyNWRjMWQ1NzQ=
row.11.sourceRow=22
row.11.code=
row.11.description=xJDDoW5oIGThuqV1IHTDrW4gaGnhu4d1IGNobyBjw6FjIGxv4bqhaSDEkeG7mSBzw6J1LiBOxrDhu5tjIHPDonUgM20gLSAxMm0=</vt:lpwstr>
  </property>
  <property fmtid="{D5CDD505-2E9C-101B-9397-08002B2CF9AE}" pid="185" name="TTBMVN.EstimateWorkspace.Part.5eb3ba02ff094b1bb29f16091457b81a.0025">
    <vt:lpwstr>
row.11.unit=VC9oaeG7h3U=
row.11.quantityFormula=PVNVTShFMjM6RjI1KQ==
row.11.quantity=141
row.11.acceptedFormula=
row.11.accepted=0
row.11.environment=1
row.11.audience=2
row.11.norm=
row.11.variant=
row.11.conditions=
row.11.bindingCount=0</vt:lpwstr>
  </property>
  <property fmtid="{D5CDD505-2E9C-101B-9397-08002B2CF9AE}" pid="186" name="TTBMVN.EstimateWorkspace.Part.5eb3ba02ff094b1bb29f16091457b81a.0026">
    <vt:lpwstr>
row.12.id=MTZhOGZjMDcyZmMxNGVjYmI1OGFjOTgxZDRmMjQyZTQ=
row.12.binding=VFRCTVZOX1BMRFRfMTZhOGZjMDcyZmMxNGVjYmI1OGFjOTgxZDRmMjQyZTQ=
row.12.sourceRow=23
row.12.code=
row.12.description=TOG6t24geOG7rSBsw70gdMOtbiBoaeG7h3UgxJHhur9uIMSR4buZIHPD</vt:lpwstr>
  </property>
  <property fmtid="{D5CDD505-2E9C-101B-9397-08002B2CF9AE}" pid="187" name="TTBMVN.EstimateWorkspace.Part.5eb3ba02ff094b1bb29f16091457b81a.0027">
    <vt:lpwstr>onUgMCw1bSAoMjAgVEgvaGEp
row.12.unit=VC9oaeG7h3U=
row.12.quantityFormula=PVJPVU5EKEUyMCpRMjM7MCk=
row.12.quantity=133
row.12.acceptedFormula=
row.12.accepted=0
row.12.environment=1
row.12.audience=2
row.12.norm=
row.12.variant=
row.12.condi</vt:lpwstr>
  </property>
  <property fmtid="{D5CDD505-2E9C-101B-9397-08002B2CF9AE}" pid="188" name="TTBMVN.EstimateWorkspace.Part.5eb3ba02ff094b1bb29f16091457b81a.0028">
    <vt:lpwstr>tions=
row.12.bindingCount=0
row.13.id=MWM4MDIyODFjMDY1NDIzYmI3YmU2MGNlOWFkMzQyMWQ=
row.13.binding=VFRCTVZOX1BMRFRfMWM4MDIyODFjMDY1NDIzYmI3YmU2MGNlOWFkMzQyMWQ=
row.13.sourceRow=24
row.13.code=
row.13.description=TOG6t24geOG7rSBsw70gdMOtbiBo</vt:lpwstr>
  </property>
  <property fmtid="{D5CDD505-2E9C-101B-9397-08002B2CF9AE}" pid="189" name="TTBMVN.EstimateWorkspace.Part.5eb3ba02ff094b1bb29f16091457b81a.0029">
    <vt:lpwstr>aeG7h3UgdOG7qyDEkeG7mSBzw6J1IDAsNW0gLSAxbSAoMDFUSC9oYSk=
row.13.unit=VC9oaeG7h3U=
row.13.quantityFormula=PUlGKFJPVU5EKCRFMjEqUTI0OzApPTA7MTtST1VORCgrJEUyMSpRMjQ7MCkp
row.13.quantity=7
row.13.acceptedFormula=
row.13.accepted=0
row.13.environ</vt:lpwstr>
  </property>
  <property fmtid="{D5CDD505-2E9C-101B-9397-08002B2CF9AE}" pid="190" name="TTBMVN.EstimateWorkspace.Part.5eb3ba02ff094b1bb29f16091457b81a.0030">
    <vt:lpwstr>ment=1
row.13.audience=2
row.13.norm=
row.13.variant=
row.13.conditions=
row.13.bindingCount=0
row.14.id=OGFjMjhiMmEzOTRmNGU3YTk0ZTMwMWNhY2ZhNzVmMTE=
row.14.binding=VFRCTVZOX1BMRFRfOGFjMjhiMmEzOTRmNGU3YTk0ZTMwMWNhY2ZhNzVmMTE=
row.14.sourceR</vt:lpwstr>
  </property>
  <property fmtid="{D5CDD505-2E9C-101B-9397-08002B2CF9AE}" pid="191" name="TTBMVN.EstimateWorkspace.Part.5eb3ba02ff094b1bb29f16091457b81a.0031">
    <vt:lpwstr>ow=25
row.14.code=
row.14.description=TOG6t24geOG7rSBsw70gdMOtbiBoaeG7h3UgdOG7qyDEkeG7mSBzw6J1IDFtIC0gM20gKCAwLDEgVEgvaGEp
row.14.unit=VC9oaeG7h3U=
row.14.quantityFormula=PUlGKFJPVU5EKCRFMjEqUTI1OzApPTA7MTtST1VORCgkRTIxKlEyNTswKSk=
row.14.q</vt:lpwstr>
  </property>
  <property fmtid="{D5CDD505-2E9C-101B-9397-08002B2CF9AE}" pid="192" name="TTBMVN.EstimateWorkspace.Part.5eb3ba02ff094b1bb29f16091457b81a.0032">
    <vt:lpwstr>uantity=1
row.14.acceptedFormula=
row.14.accepted=0
row.14.environment=1
row.14.audience=2
row.14.norm=
row.14.variant=
row.14.conditions=
row.14.bindingCount=0
row.15.id=NWVhNzgwNmEwZTM4NGQyNWExMzFhYjcyMzQ0NzAwNmQ=
row.15.binding=VFRCTVZOX</vt:lpwstr>
  </property>
  <property fmtid="{D5CDD505-2E9C-101B-9397-08002B2CF9AE}" pid="193" name="TTBMVN.EstimateWorkspace.Part.5eb3ba02ff094b1bb29f16091457b81a.0033">
    <vt:lpwstr>1BMRFRfNWVhNzgwNmEwZTM4NGQyNWExMzFhYjcyMzQ0NzAwNmQ=
row.15.sourceRow=26
row.15.code=
row.15.description=VGhpIGPDtG5nIHbDuW5nIG7GsOG7m2MgY2jhuqN5LCBjw7MgMG0vcyA8IFZuIDw9MCw1bS9zIGNoaSBwaMOtIG3DoXksIG5ow6JuIGPDtG5nIMSRxrDhu6NjIG5ow6JuIHbhu5tp</vt:lpwstr>
  </property>
  <property fmtid="{D5CDD505-2E9C-101B-9397-08002B2CF9AE}" pid="194" name="TTBMVN.EstimateWorkspace.Part.5eb3ba02ff094b1bb29f16091457b81a.0034">
    <vt:lpwstr>IGjhu4cgc+G7kSAxLDE=
row.15.unit=
row.15.quantityFormula=
row.15.quantity=0
row.15.acceptedFormula=
row.15.accepted=0
row.15.environment=1
row.15.audience=2
row.15.norm=
row.15.variant=
row.15.conditions=
row.15.bindingCount=0
row.16.id=MWV</vt:lpwstr>
  </property>
  <property fmtid="{D5CDD505-2E9C-101B-9397-08002B2CF9AE}" pid="195" name="TTBMVN.EstimateWorkspace.Part.5eb3ba02ff094b1bb29f16091457b81a.0035">
    <vt:lpwstr>lYjEyYWViODY0NDEyMmJiYjg1NjAyYmFlMWNkNTE=
row.16.binding=VFRCTVZOX1BMRFRfMWVlYjEyYWViODY0NDEyMmJiYjg1NjAyYmFlMWNkNTE=
row.16.sourceRow=27
row.16.code=
row.16.description=VOG7lW5nIGPhu5luZw==
row.16.unit=
row.16.quantityFormula=
row.16.quant</vt:lpwstr>
  </property>
  <property fmtid="{D5CDD505-2E9C-101B-9397-08002B2CF9AE}" pid="196" name="TTBMVN.EstimateWorkspace.Part.5eb3ba02ff094b1bb29f16091457b81a.0036">
    <vt:lpwstr>ity=0
row.16.acceptedFormula=
row.16.accepted=0
row.16.environment=1
row.16.audience=2
row.16.norm=
row.16.variant=
row.16.conditions=
row.16.bindingCount=0
checksum=6C0E3BBB428B45F03EAAD376C6D10E3FA53693D6D75D548A72A441675590206F</vt:lpwstr>
  </property>
  <property fmtid="{D5CDD505-2E9C-101B-9397-08002B2CF9AE}" pid="197" name="TTBMVN.EstimateWorkspace.Manifest">
    <vt:lpwstr>1|5eb3ba02ff094b1bb29f16091457b81a|37|7BDBE0441CDEEA1F691CE7B626B3BACBD335FF2B684B582531C42B8952612568</vt:lpwstr>
  </property>
</Properties>
</file>