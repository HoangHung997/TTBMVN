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1AC20E71-7793-4A62-9F74-CCB0F85DD405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B12" i="212"/>
  <c r="L12" i="212"/>
  <c r="L11" i="212" s="1"/>
  <c r="L27" i="212" s="1"/>
  <c r="M12" i="212"/>
  <c r="M11" i="212" s="1"/>
  <c r="M27" i="212" s="1"/>
  <c r="N12" i="212"/>
  <c r="N11" i="212" s="1"/>
  <c r="B13" i="212"/>
  <c r="D13" i="212"/>
  <c r="L13" i="212"/>
  <c r="M13" i="212"/>
  <c r="N13" i="212"/>
  <c r="B14" i="212"/>
  <c r="D14" i="212"/>
  <c r="L14" i="212"/>
  <c r="M14" i="212"/>
  <c r="N14" i="212"/>
  <c r="D15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B17" i="212"/>
  <c r="D17" i="212"/>
  <c r="L17" i="212"/>
  <c r="M17" i="212"/>
  <c r="N17" i="212"/>
  <c r="B18" i="212"/>
  <c r="D18" i="212"/>
  <c r="K18" i="212"/>
  <c r="L18" i="212"/>
  <c r="M18" i="212"/>
  <c r="N18" i="212"/>
  <c r="D20" i="212"/>
  <c r="K20" i="212"/>
  <c r="L20" i="212"/>
  <c r="L19" i="212" s="1"/>
  <c r="M20" i="212"/>
  <c r="M19" i="212" s="1"/>
  <c r="N20" i="212"/>
  <c r="N19" i="212" s="1"/>
  <c r="D21" i="212"/>
  <c r="I21" i="212" s="1"/>
  <c r="J21" i="212"/>
  <c r="K21" i="212"/>
  <c r="L21" i="212"/>
  <c r="M21" i="212"/>
  <c r="N21" i="212"/>
  <c r="L22" i="212"/>
  <c r="M22" i="212"/>
  <c r="N22" i="212"/>
  <c r="B23" i="212"/>
  <c r="D23" i="212"/>
  <c r="D22" i="212" s="1"/>
  <c r="I23" i="212"/>
  <c r="J23" i="212"/>
  <c r="K23" i="212"/>
  <c r="L23" i="212"/>
  <c r="M23" i="212"/>
  <c r="N23" i="212"/>
  <c r="B24" i="212"/>
  <c r="D24" i="212"/>
  <c r="I24" i="212"/>
  <c r="J24" i="212"/>
  <c r="K24" i="212"/>
  <c r="L24" i="212"/>
  <c r="M24" i="212"/>
  <c r="N24" i="212"/>
  <c r="B25" i="212"/>
  <c r="D25" i="212"/>
  <c r="I25" i="212"/>
  <c r="J25" i="212"/>
  <c r="K25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I13" i="212" l="1"/>
  <c r="J13" i="212"/>
  <c r="K13" i="212"/>
  <c r="D12" i="212"/>
  <c r="I14" i="212"/>
  <c r="J14" i="212"/>
  <c r="K14" i="212"/>
  <c r="I17" i="212"/>
  <c r="J17" i="212"/>
  <c r="K17" i="212"/>
  <c r="I18" i="212"/>
  <c r="J18" i="212"/>
  <c r="I20" i="212"/>
  <c r="I19" i="212" s="1"/>
  <c r="J20" i="212"/>
  <c r="K22" i="212"/>
  <c r="I22" i="212"/>
  <c r="J22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K12" i="212" l="1"/>
  <c r="K11" i="212" s="1"/>
  <c r="J12" i="212"/>
  <c r="J11" i="212" s="1"/>
  <c r="I12" i="212"/>
  <c r="I11" i="212" s="1"/>
  <c r="I27" i="212" s="1"/>
  <c r="E10" i="211" s="1"/>
  <c r="J26" i="212"/>
  <c r="J19" i="212" s="1"/>
  <c r="K26" i="212"/>
  <c r="K19" i="212" s="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K27" i="212" l="1"/>
  <c r="E12" i="211" s="1"/>
  <c r="J27" i="212"/>
  <c r="E11" i="211" s="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13" i="211" l="1"/>
  <c r="E14" i="21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E15" i="211" l="1"/>
  <c r="E16" i="211" s="1"/>
  <c r="E19" i="211"/>
  <c r="C17" i="230"/>
  <c r="C23" i="230" s="1"/>
  <c r="O18" i="230"/>
  <c r="R18" i="230" s="1"/>
  <c r="F18" i="230"/>
  <c r="D17" i="230"/>
  <c r="D23" i="230" s="1"/>
  <c r="F20" i="230"/>
  <c r="C15" i="232" a="1"/>
  <c r="E23" i="211" l="1"/>
  <c r="E22" i="211"/>
  <c r="E21" i="211"/>
  <c r="E20" i="211"/>
  <c r="E18" i="211"/>
  <c r="E17" i="211" s="1"/>
  <c r="E24" i="211" s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25" i="211" l="1"/>
  <c r="E26" i="211" s="1"/>
  <c r="E27" i="211" s="1"/>
  <c r="E3" i="210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<sst xmlns="http://schemas.openxmlformats.org/spreadsheetml/2006/main" count="1637" uniqueCount="555">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</sst>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SUM(L12:L18)</f>
        <v>0</v>
      </c>
      <c r="M11" s="66">
        <f>SUM(M12:M18)</f>
        <v>0</v>
      </c>
      <c r="N11" s="66">
        <f>SUM(N12:N18)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>D12*F12</f>
        <v>0</v>
      </c>
      <c r="J12" s="384">
        <f>D12*G12</f>
        <v>63179325</v>
      </c>
      <c r="K12" s="384">
        <f>D12*H12</f>
        <v>0</v>
      </c>
      <c r="L12" s="241">
        <f>E12*F12</f>
        <v>0</v>
      </c>
      <c r="M12" s="241">
        <f>E12*G12</f>
        <v>0</v>
      </c>
      <c r="N12" s="241">
        <f>E12*H12</f>
        <v>0</v>
      </c>
      <c r="O12" s="241"/>
      <c r="P12" s="501">
        <f t="shared" ref="P12:P14" si="0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>D13*F13</f>
        <v>3244405.5</v>
      </c>
      <c r="J13" s="385">
        <f>D13*G13</f>
        <v>32740092</v>
      </c>
      <c r="K13" s="385">
        <f>D13*H13</f>
        <v>33634160.773200005</v>
      </c>
      <c r="L13" s="241">
        <f>E13*F13</f>
        <v>0</v>
      </c>
      <c r="M13" s="241">
        <f>E13*G13</f>
        <v>0</v>
      </c>
      <c r="N13" s="241">
        <f>E13*H13</f>
        <v>0</v>
      </c>
      <c r="O13" s="241"/>
      <c r="P13" s="501" t="str">
        <f t="shared" si="0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>D14*F14</f>
        <v>0</v>
      </c>
      <c r="J14" s="385">
        <f>D14*G14</f>
        <v>8290350</v>
      </c>
      <c r="K14" s="385">
        <f>D14*H14</f>
        <v>2852079.048</v>
      </c>
      <c r="L14" s="241">
        <f>E14*F14</f>
        <v>0</v>
      </c>
      <c r="M14" s="241">
        <f>E14*G14</f>
        <v>0</v>
      </c>
      <c r="N14" s="241">
        <f>E14*H14</f>
        <v>0</v>
      </c>
      <c r="O14" s="241"/>
      <c r="P14" s="501">
        <f t="shared" si="0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>D15*F15</f>
        <v>1582034.9999999998</v>
      </c>
      <c r="J15" s="385">
        <f>D15*G15</f>
        <v>8619682.5</v>
      </c>
      <c r="K15" s="385">
        <f>D15*H15</f>
        <v>12425391.315999998</v>
      </c>
      <c r="L15" s="241">
        <f>E15*F15</f>
        <v>0</v>
      </c>
      <c r="M15" s="241">
        <f>E15*G15</f>
        <v>0</v>
      </c>
      <c r="N15" s="241">
        <f>E15*H15</f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>D16*F16</f>
        <v>0</v>
      </c>
      <c r="J16" s="385">
        <f>D16*G16</f>
        <v>0</v>
      </c>
      <c r="K16" s="385">
        <f>D16*H16</f>
        <v>0</v>
      </c>
      <c r="L16" s="241">
        <f>E16*F16</f>
        <v>0</v>
      </c>
      <c r="M16" s="241">
        <f>E16*G16</f>
        <v>0</v>
      </c>
      <c r="N16" s="241">
        <f>E16*H16</f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>D17*F17</f>
        <v>382556.96358879999</v>
      </c>
      <c r="J17" s="385">
        <f>D17*G17</f>
        <v>11810799</v>
      </c>
      <c r="K17" s="385">
        <f>D17*H17</f>
        <v>171423.09184000001</v>
      </c>
      <c r="L17" s="241">
        <f>E17*F17</f>
        <v>0</v>
      </c>
      <c r="M17" s="241">
        <f>E17*G17</f>
        <v>0</v>
      </c>
      <c r="N17" s="241">
        <f>E17*H17</f>
        <v>0</v>
      </c>
      <c r="O17" s="241"/>
      <c r="P17" s="501">
        <f t="shared" ref="P17:P18" si="1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>D18*F18</f>
        <v>0</v>
      </c>
      <c r="J18" s="385">
        <f>D18*G18</f>
        <v>0</v>
      </c>
      <c r="K18" s="385">
        <f>D18*H18</f>
        <v>0</v>
      </c>
      <c r="L18" s="241">
        <f>E18*F18</f>
        <v>0</v>
      </c>
      <c r="M18" s="241">
        <f>E18*G18</f>
        <v>0</v>
      </c>
      <c r="N18" s="241">
        <f>E18*H18</f>
        <v>0</v>
      </c>
      <c r="O18" s="241"/>
      <c r="P18" s="501">
        <f t="shared" si="1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509776991.89318007</v>
      </c>
      <c r="L19" s="66">
        <f>SUM(L20:L26)</f>
        <v>0</v>
      </c>
      <c r="M19" s="66">
        <f>SUM(M20:M26)</f>
        <v>0</v>
      </c>
      <c r="N19" s="66">
        <f>SUM(N20:N26)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>D20*F20</f>
        <v>3806374.88</v>
      </c>
      <c r="J20" s="385">
        <f>D20*G20</f>
        <v>78409485</v>
      </c>
      <c r="K20" s="385">
        <f>D20*H20</f>
        <v>263169948.06200004</v>
      </c>
      <c r="L20" s="241">
        <f>E20*F20</f>
        <v>0</v>
      </c>
      <c r="M20" s="241">
        <f>E20*G20</f>
        <v>0</v>
      </c>
      <c r="N20" s="241">
        <f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>D21*F21</f>
        <v>2370689.7760000001</v>
      </c>
      <c r="J21" s="385">
        <f>D21*G21</f>
        <v>31952151</v>
      </c>
      <c r="K21" s="385">
        <f>D21*H21</f>
        <v>130232616.18780001</v>
      </c>
      <c r="L21" s="241">
        <f>E21*F21</f>
        <v>0</v>
      </c>
      <c r="M21" s="241">
        <f>E21*G21</f>
        <v>0</v>
      </c>
      <c r="N21" s="241">
        <f>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>D22*F22</f>
        <v>619483.5</v>
      </c>
      <c r="J22" s="385">
        <f>D22*G22</f>
        <v>3908520</v>
      </c>
      <c r="K22" s="385">
        <f>D22*H22</f>
        <v>4832182.8000000007</v>
      </c>
      <c r="L22" s="241">
        <f>E22*F22</f>
        <v>0</v>
      </c>
      <c r="M22" s="241">
        <f>E22*G22</f>
        <v>0</v>
      </c>
      <c r="N22" s="241">
        <f>E22*H22</f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>D23*F23</f>
        <v>0</v>
      </c>
      <c r="J23" s="385">
        <f>D23*G23</f>
        <v>15142050</v>
      </c>
      <c r="K23" s="385">
        <f>D23*H23</f>
        <v>58738803.620000005</v>
      </c>
      <c r="L23" s="241">
        <f>E23*F23</f>
        <v>0</v>
      </c>
      <c r="M23" s="241">
        <f>E23*G23</f>
        <v>0</v>
      </c>
      <c r="N23" s="241">
        <f>E23*H23</f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>D24*F24</f>
        <v>0</v>
      </c>
      <c r="J24" s="385">
        <f>D24*G24</f>
        <v>796950</v>
      </c>
      <c r="K24" s="385">
        <f>D24*H24</f>
        <v>5352092.9910000004</v>
      </c>
      <c r="L24" s="241">
        <f>E24*F24</f>
        <v>0</v>
      </c>
      <c r="M24" s="241">
        <f>E24*G24</f>
        <v>0</v>
      </c>
      <c r="N24" s="241">
        <f>E24*H24</f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>D25*F25</f>
        <v>535040</v>
      </c>
      <c r="J25" s="385">
        <f>D25*G25</f>
        <v>495000</v>
      </c>
      <c r="K25" s="385">
        <f>D25*H25</f>
        <v>1107985.3330000001</v>
      </c>
      <c r="L25" s="241">
        <f>E25*F25</f>
        <v>0</v>
      </c>
      <c r="M25" s="241">
        <f>E25*G25</f>
        <v>0</v>
      </c>
      <c r="N25" s="241">
        <f>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>I11+I19</f>
        <v>12540585.6195888</v>
      </c>
      <c r="J27" s="512">
        <f>J11+J19</f>
        <v>268414820.09999999</v>
      </c>
      <c r="K27" s="512">
        <f>K11+K19</f>
        <v>558860046.12222004</v>
      </c>
      <c r="L27" s="512">
        <f>L11+L19</f>
        <v>0</v>
      </c>
      <c r="M27" s="512">
        <f>M11+M19</f>
        <v>0</v>
      </c>
      <c r="N27" s="512">
        <f>N11+N19</f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2026-08-03T14:51:01Z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1|7509ee0ce6db4d82afc8b311c6439a86|8|E03E66CB307F1CE6896FC32AEB142D40804F4423E76F0BD46C34DB2E72BB01C3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7509ee0ce6db4d82afc8b311c6439a86.0000">
    <vt:lpwstr>TTBMVN_PROJECT_PROFILE
schema=2
projectId=VEVTVC1EVC0xMDMtMDAtRFUtVE9BTi1UUDM=
preparedDate=2026-08-03
approvalDate=
priceDate=2026-08-03
regulationPackageId=QlFQLVJQQk0tMjAyMQ==
regulationPackageVersion=MS4wLjA=
regulationPackageChecksum=B</vt:lpwstr>
  </property>
  <property fmtid="{D5CDD505-2E9C-101B-9397-08002B2CF9AE}" pid="180" name="TTBMVN.ProjectProfile.Part.7509ee0ce6db4d82afc8b311c6439a86.0001">
    <vt:lpwstr>BE95EFDF3B2DA0780CAFEEF828C9418644452655C733C1BF2417F234C3E8008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7509ee0ce6db4d82afc8b311c6439a86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7509ee0ce6db4d82afc8b311c6439a86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7509ee0ce6db4d82afc8b311c6439a86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7509ee0ce6db4d82afc8b311c6439a86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7509ee0ce6db4d82afc8b311c6439a86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7509ee0ce6db4d82afc8b311c6439a86.0007">
    <vt:lpwstr>dmVycmlkZS4gRFQtMTAzIHBlcnNpc3RlbmNlIHByb2ZpbGUgb25seTsgbm8gYnVzaW5lc3Mgb3ZlcnJpZGUuIERULTEwMyBwZXJzaXN0ZW5jZSBwcm9maWxlIG9ubHk7IG5vIGJ1c2luZXNzIG92ZXJyaWRlLg==</vt:lpwstr>
  </property>
</Properties>
</file>