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D41D48BE-B3C8-49F5-B00A-FB29776F0C2D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<sst xmlns="http://schemas.openxmlformats.org/spreadsheetml/2006/main" count="1630" uniqueCount="553">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</sst>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4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22" fillId="0" borderId="0"/>
    <xf numFmtId="174" fontId="32" fillId="0" borderId="0" applyFont="0" applyFill="0" applyBorder="0" applyAlignment="0" applyProtection="0"/>
    <xf numFmtId="0" fontId="1" fillId="0" borderId="0"/>
  </cellStyleXfs>
  <cellXfs count="946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74" fontId="30" fillId="55" borderId="0" xfId="2083" applyNumberFormat="1" applyFont="1" applyFill="1" applyAlignment="1">
      <alignment horizontal="center" vertical="center"/>
    </xf>
    <xf numFmtId="174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13" fillId="0" borderId="1" xfId="1822" applyFont="1" applyBorder="1" applyAlignment="1">
      <alignment horizontal="center" vertical="center"/>
    </xf>
    <xf numFmtId="174" fontId="313" fillId="0" borderId="1" xfId="1822" applyFont="1" applyBorder="1" applyAlignment="1">
      <alignment horizontal="right" vertical="center"/>
    </xf>
    <xf numFmtId="174" fontId="311" fillId="0" borderId="1" xfId="1822" applyFont="1" applyBorder="1" applyAlignment="1">
      <alignment horizontal="center" vertical="center"/>
    </xf>
    <xf numFmtId="174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74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74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74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74" fontId="30" fillId="0" borderId="0" xfId="2675" applyNumberFormat="1" applyFont="1" applyAlignment="1">
      <alignment vertical="center"/>
    </xf>
    <xf numFmtId="174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74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74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43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74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74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10" hidden="1" customWidth="1"/>
    <col min="3" max="3" width="4.3984375" style="724" bestFit="1" customWidth="1"/>
    <col min="4" max="4" width="8.09765625" style="724" customWidth="1"/>
    <col min="5" max="5" width="12.69921875" style="710" customWidth="1"/>
    <col min="6" max="6" width="7.296875" style="725" customWidth="1"/>
    <col min="7" max="7" width="7.8984375" style="710" customWidth="1"/>
    <col min="8" max="8" width="7.8984375" style="721" customWidth="1"/>
    <col min="9" max="9" width="9.19921875" style="721" customWidth="1"/>
    <col min="10" max="11" width="7.8984375" style="721" customWidth="1"/>
    <col min="12" max="12" width="9.5" style="721" customWidth="1"/>
    <col min="13" max="14" width="13.09765625" style="710" bestFit="1" customWidth="1"/>
    <col min="15" max="15" width="14.296875" style="710" bestFit="1" customWidth="1"/>
    <col min="16" max="16" width="13.5" style="710" bestFit="1" customWidth="1"/>
    <col min="17" max="19" width="7.796875" style="721" customWidth="1"/>
    <col min="20" max="20" width="10.5" style="710" bestFit="1" customWidth="1"/>
    <col min="21" max="23" width="8.19921875" style="710"/>
    <col min="24" max="24" width="14.8984375" style="710" customWidth="1"/>
    <col min="25" max="25" width="9.59765625" style="710" customWidth="1"/>
    <col min="26" max="261" width="8.19921875" style="710"/>
    <col min="262" max="262" width="8.09765625" style="710" customWidth="1"/>
    <col min="263" max="263" width="12.69921875" style="710" customWidth="1"/>
    <col min="264" max="264" width="7.296875" style="710" customWidth="1"/>
    <col min="265" max="265" width="9.296875" style="710" customWidth="1"/>
    <col min="266" max="267" width="9" style="710" customWidth="1"/>
    <col min="268" max="268" width="8" style="710" bestFit="1" customWidth="1"/>
    <col min="269" max="269" width="8.3984375" style="710" bestFit="1" customWidth="1"/>
    <col min="270" max="270" width="8.3984375" style="710" customWidth="1"/>
    <col min="271" max="271" width="14.59765625" style="710" customWidth="1"/>
    <col min="272" max="272" width="14" style="710" customWidth="1"/>
    <col min="273" max="275" width="7.796875" style="710" customWidth="1"/>
    <col min="276" max="276" width="10.5" style="710" bestFit="1" customWidth="1"/>
    <col min="277" max="279" width="8.19921875" style="710"/>
    <col min="280" max="280" width="14.8984375" style="710" customWidth="1"/>
    <col min="281" max="281" width="9.59765625" style="710" customWidth="1"/>
    <col min="282" max="517" width="8.19921875" style="710"/>
    <col min="518" max="518" width="8.09765625" style="710" customWidth="1"/>
    <col min="519" max="519" width="12.69921875" style="710" customWidth="1"/>
    <col min="520" max="520" width="7.296875" style="710" customWidth="1"/>
    <col min="521" max="521" width="9.296875" style="710" customWidth="1"/>
    <col min="522" max="523" width="9" style="710" customWidth="1"/>
    <col min="524" max="524" width="8" style="710" bestFit="1" customWidth="1"/>
    <col min="525" max="525" width="8.3984375" style="710" bestFit="1" customWidth="1"/>
    <col min="526" max="526" width="8.3984375" style="710" customWidth="1"/>
    <col min="527" max="527" width="14.59765625" style="710" customWidth="1"/>
    <col min="528" max="528" width="14" style="710" customWidth="1"/>
    <col min="529" max="531" width="7.796875" style="710" customWidth="1"/>
    <col min="532" max="532" width="10.5" style="710" bestFit="1" customWidth="1"/>
    <col min="533" max="535" width="8.19921875" style="710"/>
    <col min="536" max="536" width="14.8984375" style="710" customWidth="1"/>
    <col min="537" max="537" width="9.59765625" style="710" customWidth="1"/>
    <col min="538" max="773" width="8.19921875" style="710"/>
    <col min="774" max="774" width="8.09765625" style="710" customWidth="1"/>
    <col min="775" max="775" width="12.69921875" style="710" customWidth="1"/>
    <col min="776" max="776" width="7.296875" style="710" customWidth="1"/>
    <col min="777" max="777" width="9.296875" style="710" customWidth="1"/>
    <col min="778" max="779" width="9" style="710" customWidth="1"/>
    <col min="780" max="780" width="8" style="710" bestFit="1" customWidth="1"/>
    <col min="781" max="781" width="8.3984375" style="710" bestFit="1" customWidth="1"/>
    <col min="782" max="782" width="8.3984375" style="710" customWidth="1"/>
    <col min="783" max="783" width="14.59765625" style="710" customWidth="1"/>
    <col min="784" max="784" width="14" style="710" customWidth="1"/>
    <col min="785" max="787" width="7.796875" style="710" customWidth="1"/>
    <col min="788" max="788" width="10.5" style="710" bestFit="1" customWidth="1"/>
    <col min="789" max="791" width="8.19921875" style="710"/>
    <col min="792" max="792" width="14.8984375" style="710" customWidth="1"/>
    <col min="793" max="793" width="9.59765625" style="710" customWidth="1"/>
    <col min="794" max="1029" width="8.19921875" style="710"/>
    <col min="1030" max="1030" width="8.09765625" style="710" customWidth="1"/>
    <col min="1031" max="1031" width="12.69921875" style="710" customWidth="1"/>
    <col min="1032" max="1032" width="7.296875" style="710" customWidth="1"/>
    <col min="1033" max="1033" width="9.296875" style="710" customWidth="1"/>
    <col min="1034" max="1035" width="9" style="710" customWidth="1"/>
    <col min="1036" max="1036" width="8" style="710" bestFit="1" customWidth="1"/>
    <col min="1037" max="1037" width="8.3984375" style="710" bestFit="1" customWidth="1"/>
    <col min="1038" max="1038" width="8.3984375" style="710" customWidth="1"/>
    <col min="1039" max="1039" width="14.59765625" style="710" customWidth="1"/>
    <col min="1040" max="1040" width="14" style="710" customWidth="1"/>
    <col min="1041" max="1043" width="7.796875" style="710" customWidth="1"/>
    <col min="1044" max="1044" width="10.5" style="710" bestFit="1" customWidth="1"/>
    <col min="1045" max="1047" width="8.19921875" style="710"/>
    <col min="1048" max="1048" width="14.8984375" style="710" customWidth="1"/>
    <col min="1049" max="1049" width="9.59765625" style="710" customWidth="1"/>
    <col min="1050" max="1285" width="8.19921875" style="710"/>
    <col min="1286" max="1286" width="8.09765625" style="710" customWidth="1"/>
    <col min="1287" max="1287" width="12.69921875" style="710" customWidth="1"/>
    <col min="1288" max="1288" width="7.296875" style="710" customWidth="1"/>
    <col min="1289" max="1289" width="9.296875" style="710" customWidth="1"/>
    <col min="1290" max="1291" width="9" style="710" customWidth="1"/>
    <col min="1292" max="1292" width="8" style="710" bestFit="1" customWidth="1"/>
    <col min="1293" max="1293" width="8.3984375" style="710" bestFit="1" customWidth="1"/>
    <col min="1294" max="1294" width="8.3984375" style="710" customWidth="1"/>
    <col min="1295" max="1295" width="14.59765625" style="710" customWidth="1"/>
    <col min="1296" max="1296" width="14" style="710" customWidth="1"/>
    <col min="1297" max="1299" width="7.796875" style="710" customWidth="1"/>
    <col min="1300" max="1300" width="10.5" style="710" bestFit="1" customWidth="1"/>
    <col min="1301" max="1303" width="8.19921875" style="710"/>
    <col min="1304" max="1304" width="14.8984375" style="710" customWidth="1"/>
    <col min="1305" max="1305" width="9.59765625" style="710" customWidth="1"/>
    <col min="1306" max="1541" width="8.19921875" style="710"/>
    <col min="1542" max="1542" width="8.09765625" style="710" customWidth="1"/>
    <col min="1543" max="1543" width="12.69921875" style="710" customWidth="1"/>
    <col min="1544" max="1544" width="7.296875" style="710" customWidth="1"/>
    <col min="1545" max="1545" width="9.296875" style="710" customWidth="1"/>
    <col min="1546" max="1547" width="9" style="710" customWidth="1"/>
    <col min="1548" max="1548" width="8" style="710" bestFit="1" customWidth="1"/>
    <col min="1549" max="1549" width="8.3984375" style="710" bestFit="1" customWidth="1"/>
    <col min="1550" max="1550" width="8.3984375" style="710" customWidth="1"/>
    <col min="1551" max="1551" width="14.59765625" style="710" customWidth="1"/>
    <col min="1552" max="1552" width="14" style="710" customWidth="1"/>
    <col min="1553" max="1555" width="7.796875" style="710" customWidth="1"/>
    <col min="1556" max="1556" width="10.5" style="710" bestFit="1" customWidth="1"/>
    <col min="1557" max="1559" width="8.19921875" style="710"/>
    <col min="1560" max="1560" width="14.8984375" style="710" customWidth="1"/>
    <col min="1561" max="1561" width="9.59765625" style="710" customWidth="1"/>
    <col min="1562" max="1797" width="8.19921875" style="710"/>
    <col min="1798" max="1798" width="8.09765625" style="710" customWidth="1"/>
    <col min="1799" max="1799" width="12.69921875" style="710" customWidth="1"/>
    <col min="1800" max="1800" width="7.296875" style="710" customWidth="1"/>
    <col min="1801" max="1801" width="9.296875" style="710" customWidth="1"/>
    <col min="1802" max="1803" width="9" style="710" customWidth="1"/>
    <col min="1804" max="1804" width="8" style="710" bestFit="1" customWidth="1"/>
    <col min="1805" max="1805" width="8.3984375" style="710" bestFit="1" customWidth="1"/>
    <col min="1806" max="1806" width="8.3984375" style="710" customWidth="1"/>
    <col min="1807" max="1807" width="14.59765625" style="710" customWidth="1"/>
    <col min="1808" max="1808" width="14" style="710" customWidth="1"/>
    <col min="1809" max="1811" width="7.796875" style="710" customWidth="1"/>
    <col min="1812" max="1812" width="10.5" style="710" bestFit="1" customWidth="1"/>
    <col min="1813" max="1815" width="8.19921875" style="710"/>
    <col min="1816" max="1816" width="14.8984375" style="710" customWidth="1"/>
    <col min="1817" max="1817" width="9.59765625" style="710" customWidth="1"/>
    <col min="1818" max="2053" width="8.19921875" style="710"/>
    <col min="2054" max="2054" width="8.09765625" style="710" customWidth="1"/>
    <col min="2055" max="2055" width="12.69921875" style="710" customWidth="1"/>
    <col min="2056" max="2056" width="7.296875" style="710" customWidth="1"/>
    <col min="2057" max="2057" width="9.296875" style="710" customWidth="1"/>
    <col min="2058" max="2059" width="9" style="710" customWidth="1"/>
    <col min="2060" max="2060" width="8" style="710" bestFit="1" customWidth="1"/>
    <col min="2061" max="2061" width="8.3984375" style="710" bestFit="1" customWidth="1"/>
    <col min="2062" max="2062" width="8.3984375" style="710" customWidth="1"/>
    <col min="2063" max="2063" width="14.59765625" style="710" customWidth="1"/>
    <col min="2064" max="2064" width="14" style="710" customWidth="1"/>
    <col min="2065" max="2067" width="7.796875" style="710" customWidth="1"/>
    <col min="2068" max="2068" width="10.5" style="710" bestFit="1" customWidth="1"/>
    <col min="2069" max="2071" width="8.19921875" style="710"/>
    <col min="2072" max="2072" width="14.8984375" style="710" customWidth="1"/>
    <col min="2073" max="2073" width="9.59765625" style="710" customWidth="1"/>
    <col min="2074" max="2309" width="8.19921875" style="710"/>
    <col min="2310" max="2310" width="8.09765625" style="710" customWidth="1"/>
    <col min="2311" max="2311" width="12.69921875" style="710" customWidth="1"/>
    <col min="2312" max="2312" width="7.296875" style="710" customWidth="1"/>
    <col min="2313" max="2313" width="9.296875" style="710" customWidth="1"/>
    <col min="2314" max="2315" width="9" style="710" customWidth="1"/>
    <col min="2316" max="2316" width="8" style="710" bestFit="1" customWidth="1"/>
    <col min="2317" max="2317" width="8.3984375" style="710" bestFit="1" customWidth="1"/>
    <col min="2318" max="2318" width="8.3984375" style="710" customWidth="1"/>
    <col min="2319" max="2319" width="14.59765625" style="710" customWidth="1"/>
    <col min="2320" max="2320" width="14" style="710" customWidth="1"/>
    <col min="2321" max="2323" width="7.796875" style="710" customWidth="1"/>
    <col min="2324" max="2324" width="10.5" style="710" bestFit="1" customWidth="1"/>
    <col min="2325" max="2327" width="8.19921875" style="710"/>
    <col min="2328" max="2328" width="14.8984375" style="710" customWidth="1"/>
    <col min="2329" max="2329" width="9.59765625" style="710" customWidth="1"/>
    <col min="2330" max="2565" width="8.19921875" style="710"/>
    <col min="2566" max="2566" width="8.09765625" style="710" customWidth="1"/>
    <col min="2567" max="2567" width="12.69921875" style="710" customWidth="1"/>
    <col min="2568" max="2568" width="7.296875" style="710" customWidth="1"/>
    <col min="2569" max="2569" width="9.296875" style="710" customWidth="1"/>
    <col min="2570" max="2571" width="9" style="710" customWidth="1"/>
    <col min="2572" max="2572" width="8" style="710" bestFit="1" customWidth="1"/>
    <col min="2573" max="2573" width="8.3984375" style="710" bestFit="1" customWidth="1"/>
    <col min="2574" max="2574" width="8.3984375" style="710" customWidth="1"/>
    <col min="2575" max="2575" width="14.59765625" style="710" customWidth="1"/>
    <col min="2576" max="2576" width="14" style="710" customWidth="1"/>
    <col min="2577" max="2579" width="7.796875" style="710" customWidth="1"/>
    <col min="2580" max="2580" width="10.5" style="710" bestFit="1" customWidth="1"/>
    <col min="2581" max="2583" width="8.19921875" style="710"/>
    <col min="2584" max="2584" width="14.8984375" style="710" customWidth="1"/>
    <col min="2585" max="2585" width="9.59765625" style="710" customWidth="1"/>
    <col min="2586" max="2821" width="8.19921875" style="710"/>
    <col min="2822" max="2822" width="8.09765625" style="710" customWidth="1"/>
    <col min="2823" max="2823" width="12.69921875" style="710" customWidth="1"/>
    <col min="2824" max="2824" width="7.296875" style="710" customWidth="1"/>
    <col min="2825" max="2825" width="9.296875" style="710" customWidth="1"/>
    <col min="2826" max="2827" width="9" style="710" customWidth="1"/>
    <col min="2828" max="2828" width="8" style="710" bestFit="1" customWidth="1"/>
    <col min="2829" max="2829" width="8.3984375" style="710" bestFit="1" customWidth="1"/>
    <col min="2830" max="2830" width="8.3984375" style="710" customWidth="1"/>
    <col min="2831" max="2831" width="14.59765625" style="710" customWidth="1"/>
    <col min="2832" max="2832" width="14" style="710" customWidth="1"/>
    <col min="2833" max="2835" width="7.796875" style="710" customWidth="1"/>
    <col min="2836" max="2836" width="10.5" style="710" bestFit="1" customWidth="1"/>
    <col min="2837" max="2839" width="8.19921875" style="710"/>
    <col min="2840" max="2840" width="14.8984375" style="710" customWidth="1"/>
    <col min="2841" max="2841" width="9.59765625" style="710" customWidth="1"/>
    <col min="2842" max="3077" width="8.19921875" style="710"/>
    <col min="3078" max="3078" width="8.09765625" style="710" customWidth="1"/>
    <col min="3079" max="3079" width="12.69921875" style="710" customWidth="1"/>
    <col min="3080" max="3080" width="7.296875" style="710" customWidth="1"/>
    <col min="3081" max="3081" width="9.296875" style="710" customWidth="1"/>
    <col min="3082" max="3083" width="9" style="710" customWidth="1"/>
    <col min="3084" max="3084" width="8" style="710" bestFit="1" customWidth="1"/>
    <col min="3085" max="3085" width="8.3984375" style="710" bestFit="1" customWidth="1"/>
    <col min="3086" max="3086" width="8.3984375" style="710" customWidth="1"/>
    <col min="3087" max="3087" width="14.59765625" style="710" customWidth="1"/>
    <col min="3088" max="3088" width="14" style="710" customWidth="1"/>
    <col min="3089" max="3091" width="7.796875" style="710" customWidth="1"/>
    <col min="3092" max="3092" width="10.5" style="710" bestFit="1" customWidth="1"/>
    <col min="3093" max="3095" width="8.19921875" style="710"/>
    <col min="3096" max="3096" width="14.8984375" style="710" customWidth="1"/>
    <col min="3097" max="3097" width="9.59765625" style="710" customWidth="1"/>
    <col min="3098" max="3333" width="8.19921875" style="710"/>
    <col min="3334" max="3334" width="8.09765625" style="710" customWidth="1"/>
    <col min="3335" max="3335" width="12.69921875" style="710" customWidth="1"/>
    <col min="3336" max="3336" width="7.296875" style="710" customWidth="1"/>
    <col min="3337" max="3337" width="9.296875" style="710" customWidth="1"/>
    <col min="3338" max="3339" width="9" style="710" customWidth="1"/>
    <col min="3340" max="3340" width="8" style="710" bestFit="1" customWidth="1"/>
    <col min="3341" max="3341" width="8.3984375" style="710" bestFit="1" customWidth="1"/>
    <col min="3342" max="3342" width="8.3984375" style="710" customWidth="1"/>
    <col min="3343" max="3343" width="14.59765625" style="710" customWidth="1"/>
    <col min="3344" max="3344" width="14" style="710" customWidth="1"/>
    <col min="3345" max="3347" width="7.796875" style="710" customWidth="1"/>
    <col min="3348" max="3348" width="10.5" style="710" bestFit="1" customWidth="1"/>
    <col min="3349" max="3351" width="8.19921875" style="710"/>
    <col min="3352" max="3352" width="14.8984375" style="710" customWidth="1"/>
    <col min="3353" max="3353" width="9.59765625" style="710" customWidth="1"/>
    <col min="3354" max="3589" width="8.19921875" style="710"/>
    <col min="3590" max="3590" width="8.09765625" style="710" customWidth="1"/>
    <col min="3591" max="3591" width="12.69921875" style="710" customWidth="1"/>
    <col min="3592" max="3592" width="7.296875" style="710" customWidth="1"/>
    <col min="3593" max="3593" width="9.296875" style="710" customWidth="1"/>
    <col min="3594" max="3595" width="9" style="710" customWidth="1"/>
    <col min="3596" max="3596" width="8" style="710" bestFit="1" customWidth="1"/>
    <col min="3597" max="3597" width="8.3984375" style="710" bestFit="1" customWidth="1"/>
    <col min="3598" max="3598" width="8.3984375" style="710" customWidth="1"/>
    <col min="3599" max="3599" width="14.59765625" style="710" customWidth="1"/>
    <col min="3600" max="3600" width="14" style="710" customWidth="1"/>
    <col min="3601" max="3603" width="7.796875" style="710" customWidth="1"/>
    <col min="3604" max="3604" width="10.5" style="710" bestFit="1" customWidth="1"/>
    <col min="3605" max="3607" width="8.19921875" style="710"/>
    <col min="3608" max="3608" width="14.8984375" style="710" customWidth="1"/>
    <col min="3609" max="3609" width="9.59765625" style="710" customWidth="1"/>
    <col min="3610" max="3845" width="8.19921875" style="710"/>
    <col min="3846" max="3846" width="8.09765625" style="710" customWidth="1"/>
    <col min="3847" max="3847" width="12.69921875" style="710" customWidth="1"/>
    <col min="3848" max="3848" width="7.296875" style="710" customWidth="1"/>
    <col min="3849" max="3849" width="9.296875" style="710" customWidth="1"/>
    <col min="3850" max="3851" width="9" style="710" customWidth="1"/>
    <col min="3852" max="3852" width="8" style="710" bestFit="1" customWidth="1"/>
    <col min="3853" max="3853" width="8.3984375" style="710" bestFit="1" customWidth="1"/>
    <col min="3854" max="3854" width="8.3984375" style="710" customWidth="1"/>
    <col min="3855" max="3855" width="14.59765625" style="710" customWidth="1"/>
    <col min="3856" max="3856" width="14" style="710" customWidth="1"/>
    <col min="3857" max="3859" width="7.796875" style="710" customWidth="1"/>
    <col min="3860" max="3860" width="10.5" style="710" bestFit="1" customWidth="1"/>
    <col min="3861" max="3863" width="8.19921875" style="710"/>
    <col min="3864" max="3864" width="14.8984375" style="710" customWidth="1"/>
    <col min="3865" max="3865" width="9.59765625" style="710" customWidth="1"/>
    <col min="3866" max="4101" width="8.19921875" style="710"/>
    <col min="4102" max="4102" width="8.09765625" style="710" customWidth="1"/>
    <col min="4103" max="4103" width="12.69921875" style="710" customWidth="1"/>
    <col min="4104" max="4104" width="7.296875" style="710" customWidth="1"/>
    <col min="4105" max="4105" width="9.296875" style="710" customWidth="1"/>
    <col min="4106" max="4107" width="9" style="710" customWidth="1"/>
    <col min="4108" max="4108" width="8" style="710" bestFit="1" customWidth="1"/>
    <col min="4109" max="4109" width="8.3984375" style="710" bestFit="1" customWidth="1"/>
    <col min="4110" max="4110" width="8.3984375" style="710" customWidth="1"/>
    <col min="4111" max="4111" width="14.59765625" style="710" customWidth="1"/>
    <col min="4112" max="4112" width="14" style="710" customWidth="1"/>
    <col min="4113" max="4115" width="7.796875" style="710" customWidth="1"/>
    <col min="4116" max="4116" width="10.5" style="710" bestFit="1" customWidth="1"/>
    <col min="4117" max="4119" width="8.19921875" style="710"/>
    <col min="4120" max="4120" width="14.8984375" style="710" customWidth="1"/>
    <col min="4121" max="4121" width="9.59765625" style="710" customWidth="1"/>
    <col min="4122" max="4357" width="8.19921875" style="710"/>
    <col min="4358" max="4358" width="8.09765625" style="710" customWidth="1"/>
    <col min="4359" max="4359" width="12.69921875" style="710" customWidth="1"/>
    <col min="4360" max="4360" width="7.296875" style="710" customWidth="1"/>
    <col min="4361" max="4361" width="9.296875" style="710" customWidth="1"/>
    <col min="4362" max="4363" width="9" style="710" customWidth="1"/>
    <col min="4364" max="4364" width="8" style="710" bestFit="1" customWidth="1"/>
    <col min="4365" max="4365" width="8.3984375" style="710" bestFit="1" customWidth="1"/>
    <col min="4366" max="4366" width="8.3984375" style="710" customWidth="1"/>
    <col min="4367" max="4367" width="14.59765625" style="710" customWidth="1"/>
    <col min="4368" max="4368" width="14" style="710" customWidth="1"/>
    <col min="4369" max="4371" width="7.796875" style="710" customWidth="1"/>
    <col min="4372" max="4372" width="10.5" style="710" bestFit="1" customWidth="1"/>
    <col min="4373" max="4375" width="8.19921875" style="710"/>
    <col min="4376" max="4376" width="14.8984375" style="710" customWidth="1"/>
    <col min="4377" max="4377" width="9.59765625" style="710" customWidth="1"/>
    <col min="4378" max="4613" width="8.19921875" style="710"/>
    <col min="4614" max="4614" width="8.09765625" style="710" customWidth="1"/>
    <col min="4615" max="4615" width="12.69921875" style="710" customWidth="1"/>
    <col min="4616" max="4616" width="7.296875" style="710" customWidth="1"/>
    <col min="4617" max="4617" width="9.296875" style="710" customWidth="1"/>
    <col min="4618" max="4619" width="9" style="710" customWidth="1"/>
    <col min="4620" max="4620" width="8" style="710" bestFit="1" customWidth="1"/>
    <col min="4621" max="4621" width="8.3984375" style="710" bestFit="1" customWidth="1"/>
    <col min="4622" max="4622" width="8.3984375" style="710" customWidth="1"/>
    <col min="4623" max="4623" width="14.59765625" style="710" customWidth="1"/>
    <col min="4624" max="4624" width="14" style="710" customWidth="1"/>
    <col min="4625" max="4627" width="7.796875" style="710" customWidth="1"/>
    <col min="4628" max="4628" width="10.5" style="710" bestFit="1" customWidth="1"/>
    <col min="4629" max="4631" width="8.19921875" style="710"/>
    <col min="4632" max="4632" width="14.8984375" style="710" customWidth="1"/>
    <col min="4633" max="4633" width="9.59765625" style="710" customWidth="1"/>
    <col min="4634" max="4869" width="8.19921875" style="710"/>
    <col min="4870" max="4870" width="8.09765625" style="710" customWidth="1"/>
    <col min="4871" max="4871" width="12.69921875" style="710" customWidth="1"/>
    <col min="4872" max="4872" width="7.296875" style="710" customWidth="1"/>
    <col min="4873" max="4873" width="9.296875" style="710" customWidth="1"/>
    <col min="4874" max="4875" width="9" style="710" customWidth="1"/>
    <col min="4876" max="4876" width="8" style="710" bestFit="1" customWidth="1"/>
    <col min="4877" max="4877" width="8.3984375" style="710" bestFit="1" customWidth="1"/>
    <col min="4878" max="4878" width="8.3984375" style="710" customWidth="1"/>
    <col min="4879" max="4879" width="14.59765625" style="710" customWidth="1"/>
    <col min="4880" max="4880" width="14" style="710" customWidth="1"/>
    <col min="4881" max="4883" width="7.796875" style="710" customWidth="1"/>
    <col min="4884" max="4884" width="10.5" style="710" bestFit="1" customWidth="1"/>
    <col min="4885" max="4887" width="8.19921875" style="710"/>
    <col min="4888" max="4888" width="14.8984375" style="710" customWidth="1"/>
    <col min="4889" max="4889" width="9.59765625" style="710" customWidth="1"/>
    <col min="4890" max="5125" width="8.19921875" style="710"/>
    <col min="5126" max="5126" width="8.09765625" style="710" customWidth="1"/>
    <col min="5127" max="5127" width="12.69921875" style="710" customWidth="1"/>
    <col min="5128" max="5128" width="7.296875" style="710" customWidth="1"/>
    <col min="5129" max="5129" width="9.296875" style="710" customWidth="1"/>
    <col min="5130" max="5131" width="9" style="710" customWidth="1"/>
    <col min="5132" max="5132" width="8" style="710" bestFit="1" customWidth="1"/>
    <col min="5133" max="5133" width="8.3984375" style="710" bestFit="1" customWidth="1"/>
    <col min="5134" max="5134" width="8.3984375" style="710" customWidth="1"/>
    <col min="5135" max="5135" width="14.59765625" style="710" customWidth="1"/>
    <col min="5136" max="5136" width="14" style="710" customWidth="1"/>
    <col min="5137" max="5139" width="7.796875" style="710" customWidth="1"/>
    <col min="5140" max="5140" width="10.5" style="710" bestFit="1" customWidth="1"/>
    <col min="5141" max="5143" width="8.19921875" style="710"/>
    <col min="5144" max="5144" width="14.8984375" style="710" customWidth="1"/>
    <col min="5145" max="5145" width="9.59765625" style="710" customWidth="1"/>
    <col min="5146" max="5381" width="8.19921875" style="710"/>
    <col min="5382" max="5382" width="8.09765625" style="710" customWidth="1"/>
    <col min="5383" max="5383" width="12.69921875" style="710" customWidth="1"/>
    <col min="5384" max="5384" width="7.296875" style="710" customWidth="1"/>
    <col min="5385" max="5385" width="9.296875" style="710" customWidth="1"/>
    <col min="5386" max="5387" width="9" style="710" customWidth="1"/>
    <col min="5388" max="5388" width="8" style="710" bestFit="1" customWidth="1"/>
    <col min="5389" max="5389" width="8.3984375" style="710" bestFit="1" customWidth="1"/>
    <col min="5390" max="5390" width="8.3984375" style="710" customWidth="1"/>
    <col min="5391" max="5391" width="14.59765625" style="710" customWidth="1"/>
    <col min="5392" max="5392" width="14" style="710" customWidth="1"/>
    <col min="5393" max="5395" width="7.796875" style="710" customWidth="1"/>
    <col min="5396" max="5396" width="10.5" style="710" bestFit="1" customWidth="1"/>
    <col min="5397" max="5399" width="8.19921875" style="710"/>
    <col min="5400" max="5400" width="14.8984375" style="710" customWidth="1"/>
    <col min="5401" max="5401" width="9.59765625" style="710" customWidth="1"/>
    <col min="5402" max="5637" width="8.19921875" style="710"/>
    <col min="5638" max="5638" width="8.09765625" style="710" customWidth="1"/>
    <col min="5639" max="5639" width="12.69921875" style="710" customWidth="1"/>
    <col min="5640" max="5640" width="7.296875" style="710" customWidth="1"/>
    <col min="5641" max="5641" width="9.296875" style="710" customWidth="1"/>
    <col min="5642" max="5643" width="9" style="710" customWidth="1"/>
    <col min="5644" max="5644" width="8" style="710" bestFit="1" customWidth="1"/>
    <col min="5645" max="5645" width="8.3984375" style="710" bestFit="1" customWidth="1"/>
    <col min="5646" max="5646" width="8.3984375" style="710" customWidth="1"/>
    <col min="5647" max="5647" width="14.59765625" style="710" customWidth="1"/>
    <col min="5648" max="5648" width="14" style="710" customWidth="1"/>
    <col min="5649" max="5651" width="7.796875" style="710" customWidth="1"/>
    <col min="5652" max="5652" width="10.5" style="710" bestFit="1" customWidth="1"/>
    <col min="5653" max="5655" width="8.19921875" style="710"/>
    <col min="5656" max="5656" width="14.8984375" style="710" customWidth="1"/>
    <col min="5657" max="5657" width="9.59765625" style="710" customWidth="1"/>
    <col min="5658" max="5893" width="8.19921875" style="710"/>
    <col min="5894" max="5894" width="8.09765625" style="710" customWidth="1"/>
    <col min="5895" max="5895" width="12.69921875" style="710" customWidth="1"/>
    <col min="5896" max="5896" width="7.296875" style="710" customWidth="1"/>
    <col min="5897" max="5897" width="9.296875" style="710" customWidth="1"/>
    <col min="5898" max="5899" width="9" style="710" customWidth="1"/>
    <col min="5900" max="5900" width="8" style="710" bestFit="1" customWidth="1"/>
    <col min="5901" max="5901" width="8.3984375" style="710" bestFit="1" customWidth="1"/>
    <col min="5902" max="5902" width="8.3984375" style="710" customWidth="1"/>
    <col min="5903" max="5903" width="14.59765625" style="710" customWidth="1"/>
    <col min="5904" max="5904" width="14" style="710" customWidth="1"/>
    <col min="5905" max="5907" width="7.796875" style="710" customWidth="1"/>
    <col min="5908" max="5908" width="10.5" style="710" bestFit="1" customWidth="1"/>
    <col min="5909" max="5911" width="8.19921875" style="710"/>
    <col min="5912" max="5912" width="14.8984375" style="710" customWidth="1"/>
    <col min="5913" max="5913" width="9.59765625" style="710" customWidth="1"/>
    <col min="5914" max="6149" width="8.19921875" style="710"/>
    <col min="6150" max="6150" width="8.09765625" style="710" customWidth="1"/>
    <col min="6151" max="6151" width="12.69921875" style="710" customWidth="1"/>
    <col min="6152" max="6152" width="7.296875" style="710" customWidth="1"/>
    <col min="6153" max="6153" width="9.296875" style="710" customWidth="1"/>
    <col min="6154" max="6155" width="9" style="710" customWidth="1"/>
    <col min="6156" max="6156" width="8" style="710" bestFit="1" customWidth="1"/>
    <col min="6157" max="6157" width="8.3984375" style="710" bestFit="1" customWidth="1"/>
    <col min="6158" max="6158" width="8.3984375" style="710" customWidth="1"/>
    <col min="6159" max="6159" width="14.59765625" style="710" customWidth="1"/>
    <col min="6160" max="6160" width="14" style="710" customWidth="1"/>
    <col min="6161" max="6163" width="7.796875" style="710" customWidth="1"/>
    <col min="6164" max="6164" width="10.5" style="710" bestFit="1" customWidth="1"/>
    <col min="6165" max="6167" width="8.19921875" style="710"/>
    <col min="6168" max="6168" width="14.8984375" style="710" customWidth="1"/>
    <col min="6169" max="6169" width="9.59765625" style="710" customWidth="1"/>
    <col min="6170" max="6405" width="8.19921875" style="710"/>
    <col min="6406" max="6406" width="8.09765625" style="710" customWidth="1"/>
    <col min="6407" max="6407" width="12.69921875" style="710" customWidth="1"/>
    <col min="6408" max="6408" width="7.296875" style="710" customWidth="1"/>
    <col min="6409" max="6409" width="9.296875" style="710" customWidth="1"/>
    <col min="6410" max="6411" width="9" style="710" customWidth="1"/>
    <col min="6412" max="6412" width="8" style="710" bestFit="1" customWidth="1"/>
    <col min="6413" max="6413" width="8.3984375" style="710" bestFit="1" customWidth="1"/>
    <col min="6414" max="6414" width="8.3984375" style="710" customWidth="1"/>
    <col min="6415" max="6415" width="14.59765625" style="710" customWidth="1"/>
    <col min="6416" max="6416" width="14" style="710" customWidth="1"/>
    <col min="6417" max="6419" width="7.796875" style="710" customWidth="1"/>
    <col min="6420" max="6420" width="10.5" style="710" bestFit="1" customWidth="1"/>
    <col min="6421" max="6423" width="8.19921875" style="710"/>
    <col min="6424" max="6424" width="14.8984375" style="710" customWidth="1"/>
    <col min="6425" max="6425" width="9.59765625" style="710" customWidth="1"/>
    <col min="6426" max="6661" width="8.19921875" style="710"/>
    <col min="6662" max="6662" width="8.09765625" style="710" customWidth="1"/>
    <col min="6663" max="6663" width="12.69921875" style="710" customWidth="1"/>
    <col min="6664" max="6664" width="7.296875" style="710" customWidth="1"/>
    <col min="6665" max="6665" width="9.296875" style="710" customWidth="1"/>
    <col min="6666" max="6667" width="9" style="710" customWidth="1"/>
    <col min="6668" max="6668" width="8" style="710" bestFit="1" customWidth="1"/>
    <col min="6669" max="6669" width="8.3984375" style="710" bestFit="1" customWidth="1"/>
    <col min="6670" max="6670" width="8.3984375" style="710" customWidth="1"/>
    <col min="6671" max="6671" width="14.59765625" style="710" customWidth="1"/>
    <col min="6672" max="6672" width="14" style="710" customWidth="1"/>
    <col min="6673" max="6675" width="7.796875" style="710" customWidth="1"/>
    <col min="6676" max="6676" width="10.5" style="710" bestFit="1" customWidth="1"/>
    <col min="6677" max="6679" width="8.19921875" style="710"/>
    <col min="6680" max="6680" width="14.8984375" style="710" customWidth="1"/>
    <col min="6681" max="6681" width="9.59765625" style="710" customWidth="1"/>
    <col min="6682" max="6917" width="8.19921875" style="710"/>
    <col min="6918" max="6918" width="8.09765625" style="710" customWidth="1"/>
    <col min="6919" max="6919" width="12.69921875" style="710" customWidth="1"/>
    <col min="6920" max="6920" width="7.296875" style="710" customWidth="1"/>
    <col min="6921" max="6921" width="9.296875" style="710" customWidth="1"/>
    <col min="6922" max="6923" width="9" style="710" customWidth="1"/>
    <col min="6924" max="6924" width="8" style="710" bestFit="1" customWidth="1"/>
    <col min="6925" max="6925" width="8.3984375" style="710" bestFit="1" customWidth="1"/>
    <col min="6926" max="6926" width="8.3984375" style="710" customWidth="1"/>
    <col min="6927" max="6927" width="14.59765625" style="710" customWidth="1"/>
    <col min="6928" max="6928" width="14" style="710" customWidth="1"/>
    <col min="6929" max="6931" width="7.796875" style="710" customWidth="1"/>
    <col min="6932" max="6932" width="10.5" style="710" bestFit="1" customWidth="1"/>
    <col min="6933" max="6935" width="8.19921875" style="710"/>
    <col min="6936" max="6936" width="14.8984375" style="710" customWidth="1"/>
    <col min="6937" max="6937" width="9.59765625" style="710" customWidth="1"/>
    <col min="6938" max="7173" width="8.19921875" style="710"/>
    <col min="7174" max="7174" width="8.09765625" style="710" customWidth="1"/>
    <col min="7175" max="7175" width="12.69921875" style="710" customWidth="1"/>
    <col min="7176" max="7176" width="7.296875" style="710" customWidth="1"/>
    <col min="7177" max="7177" width="9.296875" style="710" customWidth="1"/>
    <col min="7178" max="7179" width="9" style="710" customWidth="1"/>
    <col min="7180" max="7180" width="8" style="710" bestFit="1" customWidth="1"/>
    <col min="7181" max="7181" width="8.3984375" style="710" bestFit="1" customWidth="1"/>
    <col min="7182" max="7182" width="8.3984375" style="710" customWidth="1"/>
    <col min="7183" max="7183" width="14.59765625" style="710" customWidth="1"/>
    <col min="7184" max="7184" width="14" style="710" customWidth="1"/>
    <col min="7185" max="7187" width="7.796875" style="710" customWidth="1"/>
    <col min="7188" max="7188" width="10.5" style="710" bestFit="1" customWidth="1"/>
    <col min="7189" max="7191" width="8.19921875" style="710"/>
    <col min="7192" max="7192" width="14.8984375" style="710" customWidth="1"/>
    <col min="7193" max="7193" width="9.59765625" style="710" customWidth="1"/>
    <col min="7194" max="7429" width="8.19921875" style="710"/>
    <col min="7430" max="7430" width="8.09765625" style="710" customWidth="1"/>
    <col min="7431" max="7431" width="12.69921875" style="710" customWidth="1"/>
    <col min="7432" max="7432" width="7.296875" style="710" customWidth="1"/>
    <col min="7433" max="7433" width="9.296875" style="710" customWidth="1"/>
    <col min="7434" max="7435" width="9" style="710" customWidth="1"/>
    <col min="7436" max="7436" width="8" style="710" bestFit="1" customWidth="1"/>
    <col min="7437" max="7437" width="8.3984375" style="710" bestFit="1" customWidth="1"/>
    <col min="7438" max="7438" width="8.3984375" style="710" customWidth="1"/>
    <col min="7439" max="7439" width="14.59765625" style="710" customWidth="1"/>
    <col min="7440" max="7440" width="14" style="710" customWidth="1"/>
    <col min="7441" max="7443" width="7.796875" style="710" customWidth="1"/>
    <col min="7444" max="7444" width="10.5" style="710" bestFit="1" customWidth="1"/>
    <col min="7445" max="7447" width="8.19921875" style="710"/>
    <col min="7448" max="7448" width="14.8984375" style="710" customWidth="1"/>
    <col min="7449" max="7449" width="9.59765625" style="710" customWidth="1"/>
    <col min="7450" max="7685" width="8.19921875" style="710"/>
    <col min="7686" max="7686" width="8.09765625" style="710" customWidth="1"/>
    <col min="7687" max="7687" width="12.69921875" style="710" customWidth="1"/>
    <col min="7688" max="7688" width="7.296875" style="710" customWidth="1"/>
    <col min="7689" max="7689" width="9.296875" style="710" customWidth="1"/>
    <col min="7690" max="7691" width="9" style="710" customWidth="1"/>
    <col min="7692" max="7692" width="8" style="710" bestFit="1" customWidth="1"/>
    <col min="7693" max="7693" width="8.3984375" style="710" bestFit="1" customWidth="1"/>
    <col min="7694" max="7694" width="8.3984375" style="710" customWidth="1"/>
    <col min="7695" max="7695" width="14.59765625" style="710" customWidth="1"/>
    <col min="7696" max="7696" width="14" style="710" customWidth="1"/>
    <col min="7697" max="7699" width="7.796875" style="710" customWidth="1"/>
    <col min="7700" max="7700" width="10.5" style="710" bestFit="1" customWidth="1"/>
    <col min="7701" max="7703" width="8.19921875" style="710"/>
    <col min="7704" max="7704" width="14.8984375" style="710" customWidth="1"/>
    <col min="7705" max="7705" width="9.59765625" style="710" customWidth="1"/>
    <col min="7706" max="7941" width="8.19921875" style="710"/>
    <col min="7942" max="7942" width="8.09765625" style="710" customWidth="1"/>
    <col min="7943" max="7943" width="12.69921875" style="710" customWidth="1"/>
    <col min="7944" max="7944" width="7.296875" style="710" customWidth="1"/>
    <col min="7945" max="7945" width="9.296875" style="710" customWidth="1"/>
    <col min="7946" max="7947" width="9" style="710" customWidth="1"/>
    <col min="7948" max="7948" width="8" style="710" bestFit="1" customWidth="1"/>
    <col min="7949" max="7949" width="8.3984375" style="710" bestFit="1" customWidth="1"/>
    <col min="7950" max="7950" width="8.3984375" style="710" customWidth="1"/>
    <col min="7951" max="7951" width="14.59765625" style="710" customWidth="1"/>
    <col min="7952" max="7952" width="14" style="710" customWidth="1"/>
    <col min="7953" max="7955" width="7.796875" style="710" customWidth="1"/>
    <col min="7956" max="7956" width="10.5" style="710" bestFit="1" customWidth="1"/>
    <col min="7957" max="7959" width="8.19921875" style="710"/>
    <col min="7960" max="7960" width="14.8984375" style="710" customWidth="1"/>
    <col min="7961" max="7961" width="9.59765625" style="710" customWidth="1"/>
    <col min="7962" max="8197" width="8.19921875" style="710"/>
    <col min="8198" max="8198" width="8.09765625" style="710" customWidth="1"/>
    <col min="8199" max="8199" width="12.69921875" style="710" customWidth="1"/>
    <col min="8200" max="8200" width="7.296875" style="710" customWidth="1"/>
    <col min="8201" max="8201" width="9.296875" style="710" customWidth="1"/>
    <col min="8202" max="8203" width="9" style="710" customWidth="1"/>
    <col min="8204" max="8204" width="8" style="710" bestFit="1" customWidth="1"/>
    <col min="8205" max="8205" width="8.3984375" style="710" bestFit="1" customWidth="1"/>
    <col min="8206" max="8206" width="8.3984375" style="710" customWidth="1"/>
    <col min="8207" max="8207" width="14.59765625" style="710" customWidth="1"/>
    <col min="8208" max="8208" width="14" style="710" customWidth="1"/>
    <col min="8209" max="8211" width="7.796875" style="710" customWidth="1"/>
    <col min="8212" max="8212" width="10.5" style="710" bestFit="1" customWidth="1"/>
    <col min="8213" max="8215" width="8.19921875" style="710"/>
    <col min="8216" max="8216" width="14.8984375" style="710" customWidth="1"/>
    <col min="8217" max="8217" width="9.59765625" style="710" customWidth="1"/>
    <col min="8218" max="8453" width="8.19921875" style="710"/>
    <col min="8454" max="8454" width="8.09765625" style="710" customWidth="1"/>
    <col min="8455" max="8455" width="12.69921875" style="710" customWidth="1"/>
    <col min="8456" max="8456" width="7.296875" style="710" customWidth="1"/>
    <col min="8457" max="8457" width="9.296875" style="710" customWidth="1"/>
    <col min="8458" max="8459" width="9" style="710" customWidth="1"/>
    <col min="8460" max="8460" width="8" style="710" bestFit="1" customWidth="1"/>
    <col min="8461" max="8461" width="8.3984375" style="710" bestFit="1" customWidth="1"/>
    <col min="8462" max="8462" width="8.3984375" style="710" customWidth="1"/>
    <col min="8463" max="8463" width="14.59765625" style="710" customWidth="1"/>
    <col min="8464" max="8464" width="14" style="710" customWidth="1"/>
    <col min="8465" max="8467" width="7.796875" style="710" customWidth="1"/>
    <col min="8468" max="8468" width="10.5" style="710" bestFit="1" customWidth="1"/>
    <col min="8469" max="8471" width="8.19921875" style="710"/>
    <col min="8472" max="8472" width="14.8984375" style="710" customWidth="1"/>
    <col min="8473" max="8473" width="9.59765625" style="710" customWidth="1"/>
    <col min="8474" max="8709" width="8.19921875" style="710"/>
    <col min="8710" max="8710" width="8.09765625" style="710" customWidth="1"/>
    <col min="8711" max="8711" width="12.69921875" style="710" customWidth="1"/>
    <col min="8712" max="8712" width="7.296875" style="710" customWidth="1"/>
    <col min="8713" max="8713" width="9.296875" style="710" customWidth="1"/>
    <col min="8714" max="8715" width="9" style="710" customWidth="1"/>
    <col min="8716" max="8716" width="8" style="710" bestFit="1" customWidth="1"/>
    <col min="8717" max="8717" width="8.3984375" style="710" bestFit="1" customWidth="1"/>
    <col min="8718" max="8718" width="8.3984375" style="710" customWidth="1"/>
    <col min="8719" max="8719" width="14.59765625" style="710" customWidth="1"/>
    <col min="8720" max="8720" width="14" style="710" customWidth="1"/>
    <col min="8721" max="8723" width="7.796875" style="710" customWidth="1"/>
    <col min="8724" max="8724" width="10.5" style="710" bestFit="1" customWidth="1"/>
    <col min="8725" max="8727" width="8.19921875" style="710"/>
    <col min="8728" max="8728" width="14.8984375" style="710" customWidth="1"/>
    <col min="8729" max="8729" width="9.59765625" style="710" customWidth="1"/>
    <col min="8730" max="8965" width="8.19921875" style="710"/>
    <col min="8966" max="8966" width="8.09765625" style="710" customWidth="1"/>
    <col min="8967" max="8967" width="12.69921875" style="710" customWidth="1"/>
    <col min="8968" max="8968" width="7.296875" style="710" customWidth="1"/>
    <col min="8969" max="8969" width="9.296875" style="710" customWidth="1"/>
    <col min="8970" max="8971" width="9" style="710" customWidth="1"/>
    <col min="8972" max="8972" width="8" style="710" bestFit="1" customWidth="1"/>
    <col min="8973" max="8973" width="8.3984375" style="710" bestFit="1" customWidth="1"/>
    <col min="8974" max="8974" width="8.3984375" style="710" customWidth="1"/>
    <col min="8975" max="8975" width="14.59765625" style="710" customWidth="1"/>
    <col min="8976" max="8976" width="14" style="710" customWidth="1"/>
    <col min="8977" max="8979" width="7.796875" style="710" customWidth="1"/>
    <col min="8980" max="8980" width="10.5" style="710" bestFit="1" customWidth="1"/>
    <col min="8981" max="8983" width="8.19921875" style="710"/>
    <col min="8984" max="8984" width="14.8984375" style="710" customWidth="1"/>
    <col min="8985" max="8985" width="9.59765625" style="710" customWidth="1"/>
    <col min="8986" max="9221" width="8.19921875" style="710"/>
    <col min="9222" max="9222" width="8.09765625" style="710" customWidth="1"/>
    <col min="9223" max="9223" width="12.69921875" style="710" customWidth="1"/>
    <col min="9224" max="9224" width="7.296875" style="710" customWidth="1"/>
    <col min="9225" max="9225" width="9.296875" style="710" customWidth="1"/>
    <col min="9226" max="9227" width="9" style="710" customWidth="1"/>
    <col min="9228" max="9228" width="8" style="710" bestFit="1" customWidth="1"/>
    <col min="9229" max="9229" width="8.3984375" style="710" bestFit="1" customWidth="1"/>
    <col min="9230" max="9230" width="8.3984375" style="710" customWidth="1"/>
    <col min="9231" max="9231" width="14.59765625" style="710" customWidth="1"/>
    <col min="9232" max="9232" width="14" style="710" customWidth="1"/>
    <col min="9233" max="9235" width="7.796875" style="710" customWidth="1"/>
    <col min="9236" max="9236" width="10.5" style="710" bestFit="1" customWidth="1"/>
    <col min="9237" max="9239" width="8.19921875" style="710"/>
    <col min="9240" max="9240" width="14.8984375" style="710" customWidth="1"/>
    <col min="9241" max="9241" width="9.59765625" style="710" customWidth="1"/>
    <col min="9242" max="9477" width="8.19921875" style="710"/>
    <col min="9478" max="9478" width="8.09765625" style="710" customWidth="1"/>
    <col min="9479" max="9479" width="12.69921875" style="710" customWidth="1"/>
    <col min="9480" max="9480" width="7.296875" style="710" customWidth="1"/>
    <col min="9481" max="9481" width="9.296875" style="710" customWidth="1"/>
    <col min="9482" max="9483" width="9" style="710" customWidth="1"/>
    <col min="9484" max="9484" width="8" style="710" bestFit="1" customWidth="1"/>
    <col min="9485" max="9485" width="8.3984375" style="710" bestFit="1" customWidth="1"/>
    <col min="9486" max="9486" width="8.3984375" style="710" customWidth="1"/>
    <col min="9487" max="9487" width="14.59765625" style="710" customWidth="1"/>
    <col min="9488" max="9488" width="14" style="710" customWidth="1"/>
    <col min="9489" max="9491" width="7.796875" style="710" customWidth="1"/>
    <col min="9492" max="9492" width="10.5" style="710" bestFit="1" customWidth="1"/>
    <col min="9493" max="9495" width="8.19921875" style="710"/>
    <col min="9496" max="9496" width="14.8984375" style="710" customWidth="1"/>
    <col min="9497" max="9497" width="9.59765625" style="710" customWidth="1"/>
    <col min="9498" max="9733" width="8.19921875" style="710"/>
    <col min="9734" max="9734" width="8.09765625" style="710" customWidth="1"/>
    <col min="9735" max="9735" width="12.69921875" style="710" customWidth="1"/>
    <col min="9736" max="9736" width="7.296875" style="710" customWidth="1"/>
    <col min="9737" max="9737" width="9.296875" style="710" customWidth="1"/>
    <col min="9738" max="9739" width="9" style="710" customWidth="1"/>
    <col min="9740" max="9740" width="8" style="710" bestFit="1" customWidth="1"/>
    <col min="9741" max="9741" width="8.3984375" style="710" bestFit="1" customWidth="1"/>
    <col min="9742" max="9742" width="8.3984375" style="710" customWidth="1"/>
    <col min="9743" max="9743" width="14.59765625" style="710" customWidth="1"/>
    <col min="9744" max="9744" width="14" style="710" customWidth="1"/>
    <col min="9745" max="9747" width="7.796875" style="710" customWidth="1"/>
    <col min="9748" max="9748" width="10.5" style="710" bestFit="1" customWidth="1"/>
    <col min="9749" max="9751" width="8.19921875" style="710"/>
    <col min="9752" max="9752" width="14.8984375" style="710" customWidth="1"/>
    <col min="9753" max="9753" width="9.59765625" style="710" customWidth="1"/>
    <col min="9754" max="9989" width="8.19921875" style="710"/>
    <col min="9990" max="9990" width="8.09765625" style="710" customWidth="1"/>
    <col min="9991" max="9991" width="12.69921875" style="710" customWidth="1"/>
    <col min="9992" max="9992" width="7.296875" style="710" customWidth="1"/>
    <col min="9993" max="9993" width="9.296875" style="710" customWidth="1"/>
    <col min="9994" max="9995" width="9" style="710" customWidth="1"/>
    <col min="9996" max="9996" width="8" style="710" bestFit="1" customWidth="1"/>
    <col min="9997" max="9997" width="8.3984375" style="710" bestFit="1" customWidth="1"/>
    <col min="9998" max="9998" width="8.3984375" style="710" customWidth="1"/>
    <col min="9999" max="9999" width="14.59765625" style="710" customWidth="1"/>
    <col min="10000" max="10000" width="14" style="710" customWidth="1"/>
    <col min="10001" max="10003" width="7.796875" style="710" customWidth="1"/>
    <col min="10004" max="10004" width="10.5" style="710" bestFit="1" customWidth="1"/>
    <col min="10005" max="10007" width="8.19921875" style="710"/>
    <col min="10008" max="10008" width="14.8984375" style="710" customWidth="1"/>
    <col min="10009" max="10009" width="9.59765625" style="710" customWidth="1"/>
    <col min="10010" max="10245" width="8.19921875" style="710"/>
    <col min="10246" max="10246" width="8.09765625" style="710" customWidth="1"/>
    <col min="10247" max="10247" width="12.69921875" style="710" customWidth="1"/>
    <col min="10248" max="10248" width="7.296875" style="710" customWidth="1"/>
    <col min="10249" max="10249" width="9.296875" style="710" customWidth="1"/>
    <col min="10250" max="10251" width="9" style="710" customWidth="1"/>
    <col min="10252" max="10252" width="8" style="710" bestFit="1" customWidth="1"/>
    <col min="10253" max="10253" width="8.3984375" style="710" bestFit="1" customWidth="1"/>
    <col min="10254" max="10254" width="8.3984375" style="710" customWidth="1"/>
    <col min="10255" max="10255" width="14.59765625" style="710" customWidth="1"/>
    <col min="10256" max="10256" width="14" style="710" customWidth="1"/>
    <col min="10257" max="10259" width="7.796875" style="710" customWidth="1"/>
    <col min="10260" max="10260" width="10.5" style="710" bestFit="1" customWidth="1"/>
    <col min="10261" max="10263" width="8.19921875" style="710"/>
    <col min="10264" max="10264" width="14.8984375" style="710" customWidth="1"/>
    <col min="10265" max="10265" width="9.59765625" style="710" customWidth="1"/>
    <col min="10266" max="10501" width="8.19921875" style="710"/>
    <col min="10502" max="10502" width="8.09765625" style="710" customWidth="1"/>
    <col min="10503" max="10503" width="12.69921875" style="710" customWidth="1"/>
    <col min="10504" max="10504" width="7.296875" style="710" customWidth="1"/>
    <col min="10505" max="10505" width="9.296875" style="710" customWidth="1"/>
    <col min="10506" max="10507" width="9" style="710" customWidth="1"/>
    <col min="10508" max="10508" width="8" style="710" bestFit="1" customWidth="1"/>
    <col min="10509" max="10509" width="8.3984375" style="710" bestFit="1" customWidth="1"/>
    <col min="10510" max="10510" width="8.3984375" style="710" customWidth="1"/>
    <col min="10511" max="10511" width="14.59765625" style="710" customWidth="1"/>
    <col min="10512" max="10512" width="14" style="710" customWidth="1"/>
    <col min="10513" max="10515" width="7.796875" style="710" customWidth="1"/>
    <col min="10516" max="10516" width="10.5" style="710" bestFit="1" customWidth="1"/>
    <col min="10517" max="10519" width="8.19921875" style="710"/>
    <col min="10520" max="10520" width="14.8984375" style="710" customWidth="1"/>
    <col min="10521" max="10521" width="9.59765625" style="710" customWidth="1"/>
    <col min="10522" max="10757" width="8.19921875" style="710"/>
    <col min="10758" max="10758" width="8.09765625" style="710" customWidth="1"/>
    <col min="10759" max="10759" width="12.69921875" style="710" customWidth="1"/>
    <col min="10760" max="10760" width="7.296875" style="710" customWidth="1"/>
    <col min="10761" max="10761" width="9.296875" style="710" customWidth="1"/>
    <col min="10762" max="10763" width="9" style="710" customWidth="1"/>
    <col min="10764" max="10764" width="8" style="710" bestFit="1" customWidth="1"/>
    <col min="10765" max="10765" width="8.3984375" style="710" bestFit="1" customWidth="1"/>
    <col min="10766" max="10766" width="8.3984375" style="710" customWidth="1"/>
    <col min="10767" max="10767" width="14.59765625" style="710" customWidth="1"/>
    <col min="10768" max="10768" width="14" style="710" customWidth="1"/>
    <col min="10769" max="10771" width="7.796875" style="710" customWidth="1"/>
    <col min="10772" max="10772" width="10.5" style="710" bestFit="1" customWidth="1"/>
    <col min="10773" max="10775" width="8.19921875" style="710"/>
    <col min="10776" max="10776" width="14.8984375" style="710" customWidth="1"/>
    <col min="10777" max="10777" width="9.59765625" style="710" customWidth="1"/>
    <col min="10778" max="11013" width="8.19921875" style="710"/>
    <col min="11014" max="11014" width="8.09765625" style="710" customWidth="1"/>
    <col min="11015" max="11015" width="12.69921875" style="710" customWidth="1"/>
    <col min="11016" max="11016" width="7.296875" style="710" customWidth="1"/>
    <col min="11017" max="11017" width="9.296875" style="710" customWidth="1"/>
    <col min="11018" max="11019" width="9" style="710" customWidth="1"/>
    <col min="11020" max="11020" width="8" style="710" bestFit="1" customWidth="1"/>
    <col min="11021" max="11021" width="8.3984375" style="710" bestFit="1" customWidth="1"/>
    <col min="11022" max="11022" width="8.3984375" style="710" customWidth="1"/>
    <col min="11023" max="11023" width="14.59765625" style="710" customWidth="1"/>
    <col min="11024" max="11024" width="14" style="710" customWidth="1"/>
    <col min="11025" max="11027" width="7.796875" style="710" customWidth="1"/>
    <col min="11028" max="11028" width="10.5" style="710" bestFit="1" customWidth="1"/>
    <col min="11029" max="11031" width="8.19921875" style="710"/>
    <col min="11032" max="11032" width="14.8984375" style="710" customWidth="1"/>
    <col min="11033" max="11033" width="9.59765625" style="710" customWidth="1"/>
    <col min="11034" max="11269" width="8.19921875" style="710"/>
    <col min="11270" max="11270" width="8.09765625" style="710" customWidth="1"/>
    <col min="11271" max="11271" width="12.69921875" style="710" customWidth="1"/>
    <col min="11272" max="11272" width="7.296875" style="710" customWidth="1"/>
    <col min="11273" max="11273" width="9.296875" style="710" customWidth="1"/>
    <col min="11274" max="11275" width="9" style="710" customWidth="1"/>
    <col min="11276" max="11276" width="8" style="710" bestFit="1" customWidth="1"/>
    <col min="11277" max="11277" width="8.3984375" style="710" bestFit="1" customWidth="1"/>
    <col min="11278" max="11278" width="8.3984375" style="710" customWidth="1"/>
    <col min="11279" max="11279" width="14.59765625" style="710" customWidth="1"/>
    <col min="11280" max="11280" width="14" style="710" customWidth="1"/>
    <col min="11281" max="11283" width="7.796875" style="710" customWidth="1"/>
    <col min="11284" max="11284" width="10.5" style="710" bestFit="1" customWidth="1"/>
    <col min="11285" max="11287" width="8.19921875" style="710"/>
    <col min="11288" max="11288" width="14.8984375" style="710" customWidth="1"/>
    <col min="11289" max="11289" width="9.59765625" style="710" customWidth="1"/>
    <col min="11290" max="11525" width="8.19921875" style="710"/>
    <col min="11526" max="11526" width="8.09765625" style="710" customWidth="1"/>
    <col min="11527" max="11527" width="12.69921875" style="710" customWidth="1"/>
    <col min="11528" max="11528" width="7.296875" style="710" customWidth="1"/>
    <col min="11529" max="11529" width="9.296875" style="710" customWidth="1"/>
    <col min="11530" max="11531" width="9" style="710" customWidth="1"/>
    <col min="11532" max="11532" width="8" style="710" bestFit="1" customWidth="1"/>
    <col min="11533" max="11533" width="8.3984375" style="710" bestFit="1" customWidth="1"/>
    <col min="11534" max="11534" width="8.3984375" style="710" customWidth="1"/>
    <col min="11535" max="11535" width="14.59765625" style="710" customWidth="1"/>
    <col min="11536" max="11536" width="14" style="710" customWidth="1"/>
    <col min="11537" max="11539" width="7.796875" style="710" customWidth="1"/>
    <col min="11540" max="11540" width="10.5" style="710" bestFit="1" customWidth="1"/>
    <col min="11541" max="11543" width="8.19921875" style="710"/>
    <col min="11544" max="11544" width="14.8984375" style="710" customWidth="1"/>
    <col min="11545" max="11545" width="9.59765625" style="710" customWidth="1"/>
    <col min="11546" max="11781" width="8.19921875" style="710"/>
    <col min="11782" max="11782" width="8.09765625" style="710" customWidth="1"/>
    <col min="11783" max="11783" width="12.69921875" style="710" customWidth="1"/>
    <col min="11784" max="11784" width="7.296875" style="710" customWidth="1"/>
    <col min="11785" max="11785" width="9.296875" style="710" customWidth="1"/>
    <col min="11786" max="11787" width="9" style="710" customWidth="1"/>
    <col min="11788" max="11788" width="8" style="710" bestFit="1" customWidth="1"/>
    <col min="11789" max="11789" width="8.3984375" style="710" bestFit="1" customWidth="1"/>
    <col min="11790" max="11790" width="8.3984375" style="710" customWidth="1"/>
    <col min="11791" max="11791" width="14.59765625" style="710" customWidth="1"/>
    <col min="11792" max="11792" width="14" style="710" customWidth="1"/>
    <col min="11793" max="11795" width="7.796875" style="710" customWidth="1"/>
    <col min="11796" max="11796" width="10.5" style="710" bestFit="1" customWidth="1"/>
    <col min="11797" max="11799" width="8.19921875" style="710"/>
    <col min="11800" max="11800" width="14.8984375" style="710" customWidth="1"/>
    <col min="11801" max="11801" width="9.59765625" style="710" customWidth="1"/>
    <col min="11802" max="12037" width="8.19921875" style="710"/>
    <col min="12038" max="12038" width="8.09765625" style="710" customWidth="1"/>
    <col min="12039" max="12039" width="12.69921875" style="710" customWidth="1"/>
    <col min="12040" max="12040" width="7.296875" style="710" customWidth="1"/>
    <col min="12041" max="12041" width="9.296875" style="710" customWidth="1"/>
    <col min="12042" max="12043" width="9" style="710" customWidth="1"/>
    <col min="12044" max="12044" width="8" style="710" bestFit="1" customWidth="1"/>
    <col min="12045" max="12045" width="8.3984375" style="710" bestFit="1" customWidth="1"/>
    <col min="12046" max="12046" width="8.3984375" style="710" customWidth="1"/>
    <col min="12047" max="12047" width="14.59765625" style="710" customWidth="1"/>
    <col min="12048" max="12048" width="14" style="710" customWidth="1"/>
    <col min="12049" max="12051" width="7.796875" style="710" customWidth="1"/>
    <col min="12052" max="12052" width="10.5" style="710" bestFit="1" customWidth="1"/>
    <col min="12053" max="12055" width="8.19921875" style="710"/>
    <col min="12056" max="12056" width="14.8984375" style="710" customWidth="1"/>
    <col min="12057" max="12057" width="9.59765625" style="710" customWidth="1"/>
    <col min="12058" max="12293" width="8.19921875" style="710"/>
    <col min="12294" max="12294" width="8.09765625" style="710" customWidth="1"/>
    <col min="12295" max="12295" width="12.69921875" style="710" customWidth="1"/>
    <col min="12296" max="12296" width="7.296875" style="710" customWidth="1"/>
    <col min="12297" max="12297" width="9.296875" style="710" customWidth="1"/>
    <col min="12298" max="12299" width="9" style="710" customWidth="1"/>
    <col min="12300" max="12300" width="8" style="710" bestFit="1" customWidth="1"/>
    <col min="12301" max="12301" width="8.3984375" style="710" bestFit="1" customWidth="1"/>
    <col min="12302" max="12302" width="8.3984375" style="710" customWidth="1"/>
    <col min="12303" max="12303" width="14.59765625" style="710" customWidth="1"/>
    <col min="12304" max="12304" width="14" style="710" customWidth="1"/>
    <col min="12305" max="12307" width="7.796875" style="710" customWidth="1"/>
    <col min="12308" max="12308" width="10.5" style="710" bestFit="1" customWidth="1"/>
    <col min="12309" max="12311" width="8.19921875" style="710"/>
    <col min="12312" max="12312" width="14.8984375" style="710" customWidth="1"/>
    <col min="12313" max="12313" width="9.59765625" style="710" customWidth="1"/>
    <col min="12314" max="12549" width="8.19921875" style="710"/>
    <col min="12550" max="12550" width="8.09765625" style="710" customWidth="1"/>
    <col min="12551" max="12551" width="12.69921875" style="710" customWidth="1"/>
    <col min="12552" max="12552" width="7.296875" style="710" customWidth="1"/>
    <col min="12553" max="12553" width="9.296875" style="710" customWidth="1"/>
    <col min="12554" max="12555" width="9" style="710" customWidth="1"/>
    <col min="12556" max="12556" width="8" style="710" bestFit="1" customWidth="1"/>
    <col min="12557" max="12557" width="8.3984375" style="710" bestFit="1" customWidth="1"/>
    <col min="12558" max="12558" width="8.3984375" style="710" customWidth="1"/>
    <col min="12559" max="12559" width="14.59765625" style="710" customWidth="1"/>
    <col min="12560" max="12560" width="14" style="710" customWidth="1"/>
    <col min="12561" max="12563" width="7.796875" style="710" customWidth="1"/>
    <col min="12564" max="12564" width="10.5" style="710" bestFit="1" customWidth="1"/>
    <col min="12565" max="12567" width="8.19921875" style="710"/>
    <col min="12568" max="12568" width="14.8984375" style="710" customWidth="1"/>
    <col min="12569" max="12569" width="9.59765625" style="710" customWidth="1"/>
    <col min="12570" max="12805" width="8.19921875" style="710"/>
    <col min="12806" max="12806" width="8.09765625" style="710" customWidth="1"/>
    <col min="12807" max="12807" width="12.69921875" style="710" customWidth="1"/>
    <col min="12808" max="12808" width="7.296875" style="710" customWidth="1"/>
    <col min="12809" max="12809" width="9.296875" style="710" customWidth="1"/>
    <col min="12810" max="12811" width="9" style="710" customWidth="1"/>
    <col min="12812" max="12812" width="8" style="710" bestFit="1" customWidth="1"/>
    <col min="12813" max="12813" width="8.3984375" style="710" bestFit="1" customWidth="1"/>
    <col min="12814" max="12814" width="8.3984375" style="710" customWidth="1"/>
    <col min="12815" max="12815" width="14.59765625" style="710" customWidth="1"/>
    <col min="12816" max="12816" width="14" style="710" customWidth="1"/>
    <col min="12817" max="12819" width="7.796875" style="710" customWidth="1"/>
    <col min="12820" max="12820" width="10.5" style="710" bestFit="1" customWidth="1"/>
    <col min="12821" max="12823" width="8.19921875" style="710"/>
    <col min="12824" max="12824" width="14.8984375" style="710" customWidth="1"/>
    <col min="12825" max="12825" width="9.59765625" style="710" customWidth="1"/>
    <col min="12826" max="13061" width="8.19921875" style="710"/>
    <col min="13062" max="13062" width="8.09765625" style="710" customWidth="1"/>
    <col min="13063" max="13063" width="12.69921875" style="710" customWidth="1"/>
    <col min="13064" max="13064" width="7.296875" style="710" customWidth="1"/>
    <col min="13065" max="13065" width="9.296875" style="710" customWidth="1"/>
    <col min="13066" max="13067" width="9" style="710" customWidth="1"/>
    <col min="13068" max="13068" width="8" style="710" bestFit="1" customWidth="1"/>
    <col min="13069" max="13069" width="8.3984375" style="710" bestFit="1" customWidth="1"/>
    <col min="13070" max="13070" width="8.3984375" style="710" customWidth="1"/>
    <col min="13071" max="13071" width="14.59765625" style="710" customWidth="1"/>
    <col min="13072" max="13072" width="14" style="710" customWidth="1"/>
    <col min="13073" max="13075" width="7.796875" style="710" customWidth="1"/>
    <col min="13076" max="13076" width="10.5" style="710" bestFit="1" customWidth="1"/>
    <col min="13077" max="13079" width="8.19921875" style="710"/>
    <col min="13080" max="13080" width="14.8984375" style="710" customWidth="1"/>
    <col min="13081" max="13081" width="9.59765625" style="710" customWidth="1"/>
    <col min="13082" max="13317" width="8.19921875" style="710"/>
    <col min="13318" max="13318" width="8.09765625" style="710" customWidth="1"/>
    <col min="13319" max="13319" width="12.69921875" style="710" customWidth="1"/>
    <col min="13320" max="13320" width="7.296875" style="710" customWidth="1"/>
    <col min="13321" max="13321" width="9.296875" style="710" customWidth="1"/>
    <col min="13322" max="13323" width="9" style="710" customWidth="1"/>
    <col min="13324" max="13324" width="8" style="710" bestFit="1" customWidth="1"/>
    <col min="13325" max="13325" width="8.3984375" style="710" bestFit="1" customWidth="1"/>
    <col min="13326" max="13326" width="8.3984375" style="710" customWidth="1"/>
    <col min="13327" max="13327" width="14.59765625" style="710" customWidth="1"/>
    <col min="13328" max="13328" width="14" style="710" customWidth="1"/>
    <col min="13329" max="13331" width="7.796875" style="710" customWidth="1"/>
    <col min="13332" max="13332" width="10.5" style="710" bestFit="1" customWidth="1"/>
    <col min="13333" max="13335" width="8.19921875" style="710"/>
    <col min="13336" max="13336" width="14.8984375" style="710" customWidth="1"/>
    <col min="13337" max="13337" width="9.59765625" style="710" customWidth="1"/>
    <col min="13338" max="13573" width="8.19921875" style="710"/>
    <col min="13574" max="13574" width="8.09765625" style="710" customWidth="1"/>
    <col min="13575" max="13575" width="12.69921875" style="710" customWidth="1"/>
    <col min="13576" max="13576" width="7.296875" style="710" customWidth="1"/>
    <col min="13577" max="13577" width="9.296875" style="710" customWidth="1"/>
    <col min="13578" max="13579" width="9" style="710" customWidth="1"/>
    <col min="13580" max="13580" width="8" style="710" bestFit="1" customWidth="1"/>
    <col min="13581" max="13581" width="8.3984375" style="710" bestFit="1" customWidth="1"/>
    <col min="13582" max="13582" width="8.3984375" style="710" customWidth="1"/>
    <col min="13583" max="13583" width="14.59765625" style="710" customWidth="1"/>
    <col min="13584" max="13584" width="14" style="710" customWidth="1"/>
    <col min="13585" max="13587" width="7.796875" style="710" customWidth="1"/>
    <col min="13588" max="13588" width="10.5" style="710" bestFit="1" customWidth="1"/>
    <col min="13589" max="13591" width="8.19921875" style="710"/>
    <col min="13592" max="13592" width="14.8984375" style="710" customWidth="1"/>
    <col min="13593" max="13593" width="9.59765625" style="710" customWidth="1"/>
    <col min="13594" max="13829" width="8.19921875" style="710"/>
    <col min="13830" max="13830" width="8.09765625" style="710" customWidth="1"/>
    <col min="13831" max="13831" width="12.69921875" style="710" customWidth="1"/>
    <col min="13832" max="13832" width="7.296875" style="710" customWidth="1"/>
    <col min="13833" max="13833" width="9.296875" style="710" customWidth="1"/>
    <col min="13834" max="13835" width="9" style="710" customWidth="1"/>
    <col min="13836" max="13836" width="8" style="710" bestFit="1" customWidth="1"/>
    <col min="13837" max="13837" width="8.3984375" style="710" bestFit="1" customWidth="1"/>
    <col min="13838" max="13838" width="8.3984375" style="710" customWidth="1"/>
    <col min="13839" max="13839" width="14.59765625" style="710" customWidth="1"/>
    <col min="13840" max="13840" width="14" style="710" customWidth="1"/>
    <col min="13841" max="13843" width="7.796875" style="710" customWidth="1"/>
    <col min="13844" max="13844" width="10.5" style="710" bestFit="1" customWidth="1"/>
    <col min="13845" max="13847" width="8.19921875" style="710"/>
    <col min="13848" max="13848" width="14.8984375" style="710" customWidth="1"/>
    <col min="13849" max="13849" width="9.59765625" style="710" customWidth="1"/>
    <col min="13850" max="14085" width="8.19921875" style="710"/>
    <col min="14086" max="14086" width="8.09765625" style="710" customWidth="1"/>
    <col min="14087" max="14087" width="12.69921875" style="710" customWidth="1"/>
    <col min="14088" max="14088" width="7.296875" style="710" customWidth="1"/>
    <col min="14089" max="14089" width="9.296875" style="710" customWidth="1"/>
    <col min="14090" max="14091" width="9" style="710" customWidth="1"/>
    <col min="14092" max="14092" width="8" style="710" bestFit="1" customWidth="1"/>
    <col min="14093" max="14093" width="8.3984375" style="710" bestFit="1" customWidth="1"/>
    <col min="14094" max="14094" width="8.3984375" style="710" customWidth="1"/>
    <col min="14095" max="14095" width="14.59765625" style="710" customWidth="1"/>
    <col min="14096" max="14096" width="14" style="710" customWidth="1"/>
    <col min="14097" max="14099" width="7.796875" style="710" customWidth="1"/>
    <col min="14100" max="14100" width="10.5" style="710" bestFit="1" customWidth="1"/>
    <col min="14101" max="14103" width="8.19921875" style="710"/>
    <col min="14104" max="14104" width="14.8984375" style="710" customWidth="1"/>
    <col min="14105" max="14105" width="9.59765625" style="710" customWidth="1"/>
    <col min="14106" max="14341" width="8.19921875" style="710"/>
    <col min="14342" max="14342" width="8.09765625" style="710" customWidth="1"/>
    <col min="14343" max="14343" width="12.69921875" style="710" customWidth="1"/>
    <col min="14344" max="14344" width="7.296875" style="710" customWidth="1"/>
    <col min="14345" max="14345" width="9.296875" style="710" customWidth="1"/>
    <col min="14346" max="14347" width="9" style="710" customWidth="1"/>
    <col min="14348" max="14348" width="8" style="710" bestFit="1" customWidth="1"/>
    <col min="14349" max="14349" width="8.3984375" style="710" bestFit="1" customWidth="1"/>
    <col min="14350" max="14350" width="8.3984375" style="710" customWidth="1"/>
    <col min="14351" max="14351" width="14.59765625" style="710" customWidth="1"/>
    <col min="14352" max="14352" width="14" style="710" customWidth="1"/>
    <col min="14353" max="14355" width="7.796875" style="710" customWidth="1"/>
    <col min="14356" max="14356" width="10.5" style="710" bestFit="1" customWidth="1"/>
    <col min="14357" max="14359" width="8.19921875" style="710"/>
    <col min="14360" max="14360" width="14.8984375" style="710" customWidth="1"/>
    <col min="14361" max="14361" width="9.59765625" style="710" customWidth="1"/>
    <col min="14362" max="14597" width="8.19921875" style="710"/>
    <col min="14598" max="14598" width="8.09765625" style="710" customWidth="1"/>
    <col min="14599" max="14599" width="12.69921875" style="710" customWidth="1"/>
    <col min="14600" max="14600" width="7.296875" style="710" customWidth="1"/>
    <col min="14601" max="14601" width="9.296875" style="710" customWidth="1"/>
    <col min="14602" max="14603" width="9" style="710" customWidth="1"/>
    <col min="14604" max="14604" width="8" style="710" bestFit="1" customWidth="1"/>
    <col min="14605" max="14605" width="8.3984375" style="710" bestFit="1" customWidth="1"/>
    <col min="14606" max="14606" width="8.3984375" style="710" customWidth="1"/>
    <col min="14607" max="14607" width="14.59765625" style="710" customWidth="1"/>
    <col min="14608" max="14608" width="14" style="710" customWidth="1"/>
    <col min="14609" max="14611" width="7.796875" style="710" customWidth="1"/>
    <col min="14612" max="14612" width="10.5" style="710" bestFit="1" customWidth="1"/>
    <col min="14613" max="14615" width="8.19921875" style="710"/>
    <col min="14616" max="14616" width="14.8984375" style="710" customWidth="1"/>
    <col min="14617" max="14617" width="9.59765625" style="710" customWidth="1"/>
    <col min="14618" max="14853" width="8.19921875" style="710"/>
    <col min="14854" max="14854" width="8.09765625" style="710" customWidth="1"/>
    <col min="14855" max="14855" width="12.69921875" style="710" customWidth="1"/>
    <col min="14856" max="14856" width="7.296875" style="710" customWidth="1"/>
    <col min="14857" max="14857" width="9.296875" style="710" customWidth="1"/>
    <col min="14858" max="14859" width="9" style="710" customWidth="1"/>
    <col min="14860" max="14860" width="8" style="710" bestFit="1" customWidth="1"/>
    <col min="14861" max="14861" width="8.3984375" style="710" bestFit="1" customWidth="1"/>
    <col min="14862" max="14862" width="8.3984375" style="710" customWidth="1"/>
    <col min="14863" max="14863" width="14.59765625" style="710" customWidth="1"/>
    <col min="14864" max="14864" width="14" style="710" customWidth="1"/>
    <col min="14865" max="14867" width="7.796875" style="710" customWidth="1"/>
    <col min="14868" max="14868" width="10.5" style="710" bestFit="1" customWidth="1"/>
    <col min="14869" max="14871" width="8.19921875" style="710"/>
    <col min="14872" max="14872" width="14.8984375" style="710" customWidth="1"/>
    <col min="14873" max="14873" width="9.59765625" style="710" customWidth="1"/>
    <col min="14874" max="15109" width="8.19921875" style="710"/>
    <col min="15110" max="15110" width="8.09765625" style="710" customWidth="1"/>
    <col min="15111" max="15111" width="12.69921875" style="710" customWidth="1"/>
    <col min="15112" max="15112" width="7.296875" style="710" customWidth="1"/>
    <col min="15113" max="15113" width="9.296875" style="710" customWidth="1"/>
    <col min="15114" max="15115" width="9" style="710" customWidth="1"/>
    <col min="15116" max="15116" width="8" style="710" bestFit="1" customWidth="1"/>
    <col min="15117" max="15117" width="8.3984375" style="710" bestFit="1" customWidth="1"/>
    <col min="15118" max="15118" width="8.3984375" style="710" customWidth="1"/>
    <col min="15119" max="15119" width="14.59765625" style="710" customWidth="1"/>
    <col min="15120" max="15120" width="14" style="710" customWidth="1"/>
    <col min="15121" max="15123" width="7.796875" style="710" customWidth="1"/>
    <col min="15124" max="15124" width="10.5" style="710" bestFit="1" customWidth="1"/>
    <col min="15125" max="15127" width="8.19921875" style="710"/>
    <col min="15128" max="15128" width="14.8984375" style="710" customWidth="1"/>
    <col min="15129" max="15129" width="9.59765625" style="710" customWidth="1"/>
    <col min="15130" max="15365" width="8.19921875" style="710"/>
    <col min="15366" max="15366" width="8.09765625" style="710" customWidth="1"/>
    <col min="15367" max="15367" width="12.69921875" style="710" customWidth="1"/>
    <col min="15368" max="15368" width="7.296875" style="710" customWidth="1"/>
    <col min="15369" max="15369" width="9.296875" style="710" customWidth="1"/>
    <col min="15370" max="15371" width="9" style="710" customWidth="1"/>
    <col min="15372" max="15372" width="8" style="710" bestFit="1" customWidth="1"/>
    <col min="15373" max="15373" width="8.3984375" style="710" bestFit="1" customWidth="1"/>
    <col min="15374" max="15374" width="8.3984375" style="710" customWidth="1"/>
    <col min="15375" max="15375" width="14.59765625" style="710" customWidth="1"/>
    <col min="15376" max="15376" width="14" style="710" customWidth="1"/>
    <col min="15377" max="15379" width="7.796875" style="710" customWidth="1"/>
    <col min="15380" max="15380" width="10.5" style="710" bestFit="1" customWidth="1"/>
    <col min="15381" max="15383" width="8.19921875" style="710"/>
    <col min="15384" max="15384" width="14.8984375" style="710" customWidth="1"/>
    <col min="15385" max="15385" width="9.59765625" style="710" customWidth="1"/>
    <col min="15386" max="15621" width="8.19921875" style="710"/>
    <col min="15622" max="15622" width="8.09765625" style="710" customWidth="1"/>
    <col min="15623" max="15623" width="12.69921875" style="710" customWidth="1"/>
    <col min="15624" max="15624" width="7.296875" style="710" customWidth="1"/>
    <col min="15625" max="15625" width="9.296875" style="710" customWidth="1"/>
    <col min="15626" max="15627" width="9" style="710" customWidth="1"/>
    <col min="15628" max="15628" width="8" style="710" bestFit="1" customWidth="1"/>
    <col min="15629" max="15629" width="8.3984375" style="710" bestFit="1" customWidth="1"/>
    <col min="15630" max="15630" width="8.3984375" style="710" customWidth="1"/>
    <col min="15631" max="15631" width="14.59765625" style="710" customWidth="1"/>
    <col min="15632" max="15632" width="14" style="710" customWidth="1"/>
    <col min="15633" max="15635" width="7.796875" style="710" customWidth="1"/>
    <col min="15636" max="15636" width="10.5" style="710" bestFit="1" customWidth="1"/>
    <col min="15637" max="15639" width="8.19921875" style="710"/>
    <col min="15640" max="15640" width="14.8984375" style="710" customWidth="1"/>
    <col min="15641" max="15641" width="9.59765625" style="710" customWidth="1"/>
    <col min="15642" max="15877" width="8.19921875" style="710"/>
    <col min="15878" max="15878" width="8.09765625" style="710" customWidth="1"/>
    <col min="15879" max="15879" width="12.69921875" style="710" customWidth="1"/>
    <col min="15880" max="15880" width="7.296875" style="710" customWidth="1"/>
    <col min="15881" max="15881" width="9.296875" style="710" customWidth="1"/>
    <col min="15882" max="15883" width="9" style="710" customWidth="1"/>
    <col min="15884" max="15884" width="8" style="710" bestFit="1" customWidth="1"/>
    <col min="15885" max="15885" width="8.3984375" style="710" bestFit="1" customWidth="1"/>
    <col min="15886" max="15886" width="8.3984375" style="710" customWidth="1"/>
    <col min="15887" max="15887" width="14.59765625" style="710" customWidth="1"/>
    <col min="15888" max="15888" width="14" style="710" customWidth="1"/>
    <col min="15889" max="15891" width="7.796875" style="710" customWidth="1"/>
    <col min="15892" max="15892" width="10.5" style="710" bestFit="1" customWidth="1"/>
    <col min="15893" max="15895" width="8.19921875" style="710"/>
    <col min="15896" max="15896" width="14.8984375" style="710" customWidth="1"/>
    <col min="15897" max="15897" width="9.59765625" style="710" customWidth="1"/>
    <col min="15898" max="16133" width="8.19921875" style="710"/>
    <col min="16134" max="16134" width="8.09765625" style="710" customWidth="1"/>
    <col min="16135" max="16135" width="12.69921875" style="710" customWidth="1"/>
    <col min="16136" max="16136" width="7.296875" style="710" customWidth="1"/>
    <col min="16137" max="16137" width="9.296875" style="710" customWidth="1"/>
    <col min="16138" max="16139" width="9" style="710" customWidth="1"/>
    <col min="16140" max="16140" width="8" style="710" bestFit="1" customWidth="1"/>
    <col min="16141" max="16141" width="8.3984375" style="710" bestFit="1" customWidth="1"/>
    <col min="16142" max="16142" width="8.3984375" style="710" customWidth="1"/>
    <col min="16143" max="16143" width="14.59765625" style="710" customWidth="1"/>
    <col min="16144" max="16144" width="14" style="710" customWidth="1"/>
    <col min="16145" max="16147" width="7.796875" style="710" customWidth="1"/>
    <col min="16148" max="16148" width="10.5" style="710" bestFit="1" customWidth="1"/>
    <col min="16149" max="16151" width="8.19921875" style="710"/>
    <col min="16152" max="16152" width="14.8984375" style="710" customWidth="1"/>
    <col min="16153" max="16153" width="9.59765625" style="710" customWidth="1"/>
    <col min="16154" max="16384" width="8.19921875" style="710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1"/>
      <c r="S1" s="711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2"/>
      <c r="S2" s="712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2"/>
      <c r="S3" s="712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2"/>
      <c r="S4" s="712"/>
    </row>
    <row r="5" spans="1:31" ht="12" customHeight="1">
      <c r="C5" s="712"/>
      <c r="D5" s="712"/>
      <c r="E5" s="712"/>
      <c r="F5" s="713"/>
      <c r="G5" s="712"/>
      <c r="H5" s="712"/>
      <c r="I5" s="712"/>
      <c r="J5" s="712"/>
      <c r="K5" s="712"/>
      <c r="L5" s="712"/>
      <c r="M5" s="712"/>
      <c r="N5" s="712"/>
      <c r="O5" s="712"/>
      <c r="P5" s="712"/>
      <c r="Q5" s="712"/>
      <c r="R5" s="712"/>
      <c r="S5" s="712"/>
    </row>
    <row r="6" spans="1:31" ht="45" customHeight="1">
      <c r="A6" s="826" t="s">
        <v>452</v>
      </c>
      <c r="B6" s="714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2"/>
      <c r="S6" s="712"/>
      <c r="U6" s="710">
        <v>3</v>
      </c>
    </row>
    <row r="7" spans="1:31" ht="57.6" customHeight="1">
      <c r="A7" s="826"/>
      <c r="B7" s="714"/>
      <c r="C7" s="827"/>
      <c r="D7" s="827"/>
      <c r="E7" s="828"/>
      <c r="F7" s="828"/>
      <c r="G7" s="715" t="s">
        <v>79</v>
      </c>
      <c r="H7" s="715" t="s">
        <v>77</v>
      </c>
      <c r="I7" s="715" t="s">
        <v>78</v>
      </c>
      <c r="J7" s="715" t="s">
        <v>79</v>
      </c>
      <c r="K7" s="715" t="s">
        <v>77</v>
      </c>
      <c r="L7" s="715" t="s">
        <v>78</v>
      </c>
      <c r="M7" s="795" t="s">
        <v>457</v>
      </c>
      <c r="N7" s="795" t="s">
        <v>458</v>
      </c>
      <c r="O7" s="795" t="s">
        <v>517</v>
      </c>
      <c r="P7" s="795" t="s">
        <v>518</v>
      </c>
      <c r="Q7" s="820"/>
      <c r="R7" s="712"/>
      <c r="S7" s="712"/>
      <c r="U7" s="710" t="s">
        <v>459</v>
      </c>
    </row>
    <row r="8" spans="1:31">
      <c r="C8" s="716">
        <v>1</v>
      </c>
      <c r="D8" s="717">
        <f t="shared" ref="D8" si="0">+C8+1</f>
        <v>2</v>
      </c>
      <c r="E8" s="717">
        <f t="shared" ref="E8" si="1">+D8+1</f>
        <v>3</v>
      </c>
      <c r="F8" s="717">
        <f t="shared" ref="F8" si="2">+E8+1</f>
        <v>4</v>
      </c>
      <c r="G8" s="717">
        <f t="shared" ref="G8" si="3">+F8+1</f>
        <v>5</v>
      </c>
      <c r="H8" s="717">
        <f t="shared" ref="H8" si="4">+G8+1</f>
        <v>6</v>
      </c>
      <c r="I8" s="717">
        <f t="shared" ref="I8" si="5">+H8+1</f>
        <v>7</v>
      </c>
      <c r="J8" s="717">
        <f t="shared" ref="J8" si="6">+I8+1</f>
        <v>8</v>
      </c>
      <c r="K8" s="717">
        <f t="shared" ref="K8" si="7">+J8+1</f>
        <v>9</v>
      </c>
      <c r="L8" s="717">
        <f t="shared" ref="L8" si="8">+K8+1</f>
        <v>10</v>
      </c>
      <c r="M8" s="717">
        <f t="shared" ref="M8" si="9">+L8+1</f>
        <v>11</v>
      </c>
      <c r="N8" s="717">
        <f t="shared" ref="N8" si="10">+M8+1</f>
        <v>12</v>
      </c>
      <c r="O8" s="717">
        <f t="shared" ref="O8" si="11">+N8+1</f>
        <v>13</v>
      </c>
      <c r="P8" s="717">
        <f t="shared" ref="P8" si="12">+O8+1</f>
        <v>14</v>
      </c>
      <c r="Q8" s="717">
        <f t="shared" ref="Q8" si="13">+P8+1</f>
        <v>15</v>
      </c>
      <c r="R8" s="718"/>
      <c r="S8" s="718"/>
    </row>
    <row r="9" spans="1:31" ht="19.95" customHeight="1">
      <c r="C9" s="763" t="s">
        <v>1</v>
      </c>
      <c r="D9" s="764" t="s">
        <v>543</v>
      </c>
      <c r="E9" s="765"/>
      <c r="F9" s="766"/>
      <c r="G9" s="767"/>
      <c r="H9" s="767"/>
      <c r="I9" s="794"/>
      <c r="J9" s="768"/>
      <c r="K9" s="768"/>
      <c r="L9" s="768"/>
      <c r="M9" s="769">
        <f>SUBTOTAL(9,M10:M21)</f>
        <v>7747.6429500000004</v>
      </c>
      <c r="N9" s="769">
        <f t="shared" ref="N9:P9" si="14">SUBTOTAL(9,N10:N21)</f>
        <v>4882.7629500000012</v>
      </c>
      <c r="O9" s="769">
        <f t="shared" si="14"/>
        <v>20379.80025</v>
      </c>
      <c r="P9" s="769">
        <f t="shared" si="14"/>
        <v>20022.740249999999</v>
      </c>
      <c r="Q9" s="770"/>
      <c r="R9" s="719"/>
      <c r="S9" s="719"/>
      <c r="T9" s="710" t="s">
        <v>460</v>
      </c>
      <c r="U9" s="710">
        <v>0</v>
      </c>
      <c r="V9" s="710" t="s">
        <v>461</v>
      </c>
    </row>
    <row r="10" spans="1:31" ht="19.95" customHeight="1">
      <c r="A10" s="710">
        <f>_xlfn.AGGREGATE(2,5,$B$10:B10)</f>
        <v>1</v>
      </c>
      <c r="B10" s="720">
        <v>1</v>
      </c>
      <c r="C10" s="771">
        <v>1</v>
      </c>
      <c r="D10" s="772" t="s">
        <v>496</v>
      </c>
      <c r="E10" s="773">
        <v>0</v>
      </c>
      <c r="F10" s="774"/>
      <c r="G10" s="775">
        <v>56.01</v>
      </c>
      <c r="H10" s="775">
        <f>G10-I10</f>
        <v>10.93</v>
      </c>
      <c r="I10" s="775">
        <v>45.08</v>
      </c>
      <c r="J10" s="775">
        <v>6</v>
      </c>
      <c r="K10" s="775">
        <f>J10-L10</f>
        <v>6</v>
      </c>
      <c r="L10" s="775"/>
      <c r="M10" s="776">
        <f>(H9+J9+H10+J10)/2*F10</f>
        <v>0</v>
      </c>
      <c r="N10" s="776">
        <f>(H9+H10)/2*F10</f>
        <v>0</v>
      </c>
      <c r="O10" s="776">
        <f>(I9+L9+I10+L10)/2*F10</f>
        <v>0</v>
      </c>
      <c r="P10" s="776">
        <f>(I9+I10)/2*F10</f>
        <v>0</v>
      </c>
      <c r="Q10" s="772"/>
      <c r="U10" s="710">
        <v>1</v>
      </c>
      <c r="V10" s="710" t="s">
        <v>259</v>
      </c>
      <c r="W10" s="710" t="s">
        <v>462</v>
      </c>
      <c r="X10" s="710">
        <v>0</v>
      </c>
      <c r="Y10" s="710">
        <v>0</v>
      </c>
      <c r="Z10" s="710">
        <v>0</v>
      </c>
      <c r="AA10" s="710">
        <v>0</v>
      </c>
      <c r="AB10" s="710">
        <f>IF(OR(AA10=10,AA10=11),1,0)</f>
        <v>0</v>
      </c>
      <c r="AC10" s="710">
        <f>IF(OR(AA10=1,AA10=11),1,0)</f>
        <v>0</v>
      </c>
      <c r="AE10" s="710" t="s">
        <v>463</v>
      </c>
    </row>
    <row r="11" spans="1:31" ht="19.95" customHeight="1">
      <c r="A11" s="710">
        <f>_xlfn.AGGREGATE(2,5,$B$10:B11)</f>
        <v>1</v>
      </c>
      <c r="C11" s="771" cm="1">
        <f t="array" aca="1" ref="C11" ca="1">IF(ISTEXT(INDIRECT(ADDRESS(ROW()-1,COLUMN(),1,1))),INDIRECT(ADDRESS(ROW()-2,COLUMN(),1,1))+1,INDIRECT(ADDRESS(ROW()-1,COLUMN(),1,1))+1)</f>
        <v>2</v>
      </c>
      <c r="D11" s="772" t="s">
        <v>497</v>
      </c>
      <c r="E11" s="773">
        <v>1.74</v>
      </c>
      <c r="F11" s="777">
        <f t="shared" ref="F11:F44" si="15">E11-E10</f>
        <v>1.74</v>
      </c>
      <c r="G11" s="775">
        <v>56.01</v>
      </c>
      <c r="H11" s="775">
        <f t="shared" ref="H11:H44" si="16">G11-I11</f>
        <v>10.93</v>
      </c>
      <c r="I11" s="775">
        <v>45.08</v>
      </c>
      <c r="J11" s="775">
        <v>6</v>
      </c>
      <c r="K11" s="775">
        <f t="shared" ref="K11:K44" si="17">J11-L11</f>
        <v>6</v>
      </c>
      <c r="L11" s="775"/>
      <c r="M11" s="776">
        <f t="shared" ref="M11:M44" si="18">(H10+J10+H11+J11)/2*F11</f>
        <v>29.458199999999998</v>
      </c>
      <c r="N11" s="776">
        <f t="shared" ref="N11:N44" si="19">(H10+H11)/2*F11</f>
        <v>19.0182</v>
      </c>
      <c r="O11" s="776">
        <f t="shared" ref="O11:O44" si="20">(I10+L10+I11+L11)/2*F11</f>
        <v>78.4392</v>
      </c>
      <c r="P11" s="776">
        <f t="shared" ref="P11:P44" si="21">(I10+I11)/2*F11</f>
        <v>78.4392</v>
      </c>
      <c r="Q11" s="772"/>
      <c r="W11" s="710" t="s">
        <v>464</v>
      </c>
      <c r="X11" s="710">
        <v>3.66</v>
      </c>
      <c r="Y11" s="710">
        <v>0</v>
      </c>
      <c r="Z11" s="710">
        <v>7.59</v>
      </c>
      <c r="AA11" s="710">
        <v>1</v>
      </c>
      <c r="AB11" s="710">
        <f t="shared" ref="AB11:AB45" si="22">IF(OR(AA11=10,AA11=11),1,0)</f>
        <v>0</v>
      </c>
      <c r="AC11" s="710">
        <f t="shared" ref="AC11:AC45" si="23">IF(OR(AA11=1,AA11=11),1,0)</f>
        <v>1</v>
      </c>
      <c r="AE11" s="710" t="s">
        <v>465</v>
      </c>
    </row>
    <row r="12" spans="1:31" ht="19.95" customHeight="1">
      <c r="A12" s="710">
        <f>_xlfn.AGGREGATE(2,5,$B$10:B12)</f>
        <v>1</v>
      </c>
      <c r="C12" s="771" cm="1">
        <f t="array" aca="1" ref="C12" ca="1">IF(ISTEXT(INDIRECT(ADDRESS(ROW()-1,COLUMN(),1,1))),INDIRECT(ADDRESS(ROW()-2,COLUMN(),1,1))+1,INDIRECT(ADDRESS(ROW()-1,COLUMN(),1,1))+1)</f>
        <v>3</v>
      </c>
      <c r="D12" s="772" t="s">
        <v>498</v>
      </c>
      <c r="E12" s="778">
        <v>54.7</v>
      </c>
      <c r="F12" s="777">
        <f t="shared" si="15"/>
        <v>52.96</v>
      </c>
      <c r="G12" s="775">
        <v>60.46</v>
      </c>
      <c r="H12" s="775">
        <f t="shared" si="16"/>
        <v>5.7199999999999989</v>
      </c>
      <c r="I12" s="775">
        <v>54.74</v>
      </c>
      <c r="J12" s="775">
        <v>6</v>
      </c>
      <c r="K12" s="775">
        <f t="shared" si="17"/>
        <v>6</v>
      </c>
      <c r="L12" s="775"/>
      <c r="M12" s="776">
        <f t="shared" si="18"/>
        <v>758.65199999999993</v>
      </c>
      <c r="N12" s="776">
        <f t="shared" si="19"/>
        <v>440.892</v>
      </c>
      <c r="O12" s="776">
        <f t="shared" si="20"/>
        <v>2643.2336</v>
      </c>
      <c r="P12" s="776">
        <f t="shared" si="21"/>
        <v>2643.2336</v>
      </c>
      <c r="Q12" s="772"/>
      <c r="W12" s="710" t="s">
        <v>466</v>
      </c>
      <c r="X12" s="710">
        <v>9.52</v>
      </c>
      <c r="Y12" s="710">
        <v>0</v>
      </c>
      <c r="Z12" s="710">
        <v>21.48</v>
      </c>
      <c r="AA12" s="710">
        <v>1</v>
      </c>
      <c r="AB12" s="710">
        <f t="shared" si="22"/>
        <v>0</v>
      </c>
      <c r="AC12" s="710">
        <f t="shared" si="23"/>
        <v>1</v>
      </c>
      <c r="AE12" s="710" t="s">
        <v>467</v>
      </c>
    </row>
    <row r="13" spans="1:31" ht="19.95" customHeight="1">
      <c r="A13" s="710">
        <f>_xlfn.AGGREGATE(2,5,$B$10:B13)</f>
        <v>1</v>
      </c>
      <c r="C13" s="771" cm="1">
        <f t="array" aca="1" ref="C13" ca="1">IF(ISTEXT(INDIRECT(ADDRESS(ROW()-1,COLUMN(),1,1))),INDIRECT(ADDRESS(ROW()-2,COLUMN(),1,1))+1,INDIRECT(ADDRESS(ROW()-1,COLUMN(),1,1))+1)</f>
        <v>4</v>
      </c>
      <c r="D13" s="772" t="s">
        <v>499</v>
      </c>
      <c r="E13" s="778">
        <v>103.35</v>
      </c>
      <c r="F13" s="777">
        <f t="shared" si="15"/>
        <v>48.649999999999991</v>
      </c>
      <c r="G13" s="775">
        <v>49.65</v>
      </c>
      <c r="H13" s="775">
        <f t="shared" si="16"/>
        <v>13.799999999999997</v>
      </c>
      <c r="I13" s="775">
        <v>35.85</v>
      </c>
      <c r="J13" s="775">
        <v>6</v>
      </c>
      <c r="K13" s="775">
        <f t="shared" si="17"/>
        <v>6</v>
      </c>
      <c r="L13" s="775"/>
      <c r="M13" s="776">
        <f t="shared" si="18"/>
        <v>766.72399999999982</v>
      </c>
      <c r="N13" s="776">
        <f t="shared" si="19"/>
        <v>474.82399999999984</v>
      </c>
      <c r="O13" s="776">
        <f t="shared" si="20"/>
        <v>2203.6017499999998</v>
      </c>
      <c r="P13" s="776">
        <f t="shared" si="21"/>
        <v>2203.6017499999998</v>
      </c>
      <c r="Q13" s="772"/>
      <c r="W13" s="710" t="s">
        <v>468</v>
      </c>
      <c r="X13" s="710">
        <v>22.57</v>
      </c>
      <c r="Y13" s="710">
        <v>5.1100000000000003</v>
      </c>
      <c r="Z13" s="710">
        <v>10.02</v>
      </c>
      <c r="AA13" s="710">
        <v>1</v>
      </c>
      <c r="AB13" s="710">
        <f t="shared" si="22"/>
        <v>0</v>
      </c>
      <c r="AC13" s="710">
        <f t="shared" si="23"/>
        <v>1</v>
      </c>
      <c r="AE13" s="710" t="s">
        <v>469</v>
      </c>
    </row>
    <row r="14" spans="1:31" ht="19.95" customHeight="1">
      <c r="A14" s="710">
        <f>_xlfn.AGGREGATE(2,5,$B$10:B14)</f>
        <v>1</v>
      </c>
      <c r="C14" s="771" cm="1">
        <f t="array" aca="1" ref="C14" ca="1">IF(ISTEXT(INDIRECT(ADDRESS(ROW()-1,COLUMN(),1,1))),INDIRECT(ADDRESS(ROW()-2,COLUMN(),1,1))+1,INDIRECT(ADDRESS(ROW()-1,COLUMN(),1,1))+1)</f>
        <v>5</v>
      </c>
      <c r="D14" s="772" t="s">
        <v>500</v>
      </c>
      <c r="E14" s="778">
        <v>157.19999999999999</v>
      </c>
      <c r="F14" s="777">
        <f t="shared" si="15"/>
        <v>53.849999999999994</v>
      </c>
      <c r="G14" s="775">
        <v>61.03</v>
      </c>
      <c r="H14" s="775">
        <f t="shared" si="16"/>
        <v>5.1899999999999977</v>
      </c>
      <c r="I14" s="775">
        <v>55.84</v>
      </c>
      <c r="J14" s="775">
        <v>6</v>
      </c>
      <c r="K14" s="775">
        <f t="shared" si="17"/>
        <v>0</v>
      </c>
      <c r="L14" s="775">
        <v>6</v>
      </c>
      <c r="M14" s="776">
        <f t="shared" si="18"/>
        <v>834.40574999999978</v>
      </c>
      <c r="N14" s="776">
        <f t="shared" si="19"/>
        <v>511.30574999999982</v>
      </c>
      <c r="O14" s="776">
        <f t="shared" si="20"/>
        <v>2630.3032499999995</v>
      </c>
      <c r="P14" s="776">
        <f t="shared" si="21"/>
        <v>2468.7532499999998</v>
      </c>
      <c r="Q14" s="772"/>
      <c r="W14" s="710" t="s">
        <v>470</v>
      </c>
      <c r="X14" s="710">
        <v>33.4</v>
      </c>
      <c r="Y14" s="710">
        <v>5.8</v>
      </c>
      <c r="Z14" s="710">
        <v>8.0399999999999991</v>
      </c>
      <c r="AA14" s="710">
        <v>1</v>
      </c>
      <c r="AB14" s="710">
        <f t="shared" si="22"/>
        <v>0</v>
      </c>
      <c r="AC14" s="710">
        <f t="shared" si="23"/>
        <v>1</v>
      </c>
    </row>
    <row r="15" spans="1:31" ht="19.95" customHeight="1">
      <c r="A15" s="710">
        <f>_xlfn.AGGREGATE(2,5,$B$10:B15)</f>
        <v>1</v>
      </c>
      <c r="C15" s="771" cm="1">
        <f t="array" aca="1" ref="C15" ca="1">IF(ISTEXT(INDIRECT(ADDRESS(ROW()-1,COLUMN(),1,1))),INDIRECT(ADDRESS(ROW()-2,COLUMN(),1,1))+1,INDIRECT(ADDRESS(ROW()-1,COLUMN(),1,1))+1)</f>
        <v>6</v>
      </c>
      <c r="D15" s="772" t="s">
        <v>501</v>
      </c>
      <c r="E15" s="778">
        <v>222.37</v>
      </c>
      <c r="F15" s="777">
        <f t="shared" si="15"/>
        <v>65.170000000000016</v>
      </c>
      <c r="G15" s="775">
        <v>64.84</v>
      </c>
      <c r="H15" s="775">
        <f t="shared" si="16"/>
        <v>16.010000000000005</v>
      </c>
      <c r="I15" s="775">
        <v>48.83</v>
      </c>
      <c r="J15" s="775">
        <v>6</v>
      </c>
      <c r="K15" s="775">
        <f t="shared" si="17"/>
        <v>6</v>
      </c>
      <c r="L15" s="775"/>
      <c r="M15" s="776">
        <f t="shared" si="18"/>
        <v>1081.8220000000003</v>
      </c>
      <c r="N15" s="776">
        <f t="shared" si="19"/>
        <v>690.80200000000025</v>
      </c>
      <c r="O15" s="776">
        <f t="shared" si="20"/>
        <v>3606.1819500000011</v>
      </c>
      <c r="P15" s="776">
        <f t="shared" si="21"/>
        <v>3410.6719500000008</v>
      </c>
      <c r="Q15" s="772"/>
      <c r="W15" s="710" t="s">
        <v>471</v>
      </c>
      <c r="X15" s="710">
        <v>45.59</v>
      </c>
      <c r="Y15" s="710">
        <v>6.27</v>
      </c>
      <c r="Z15" s="710">
        <v>8.2100000000000009</v>
      </c>
      <c r="AA15" s="710">
        <v>11</v>
      </c>
      <c r="AB15" s="710">
        <f t="shared" si="22"/>
        <v>1</v>
      </c>
      <c r="AC15" s="710">
        <f t="shared" si="23"/>
        <v>1</v>
      </c>
    </row>
    <row r="16" spans="1:31" ht="19.95" customHeight="1">
      <c r="A16" s="710">
        <f>_xlfn.AGGREGATE(2,5,$B$10:B16)</f>
        <v>1</v>
      </c>
      <c r="C16" s="771" cm="1">
        <f t="array" aca="1" ref="C16" ca="1">IF(ISTEXT(INDIRECT(ADDRESS(ROW()-1,COLUMN(),1,1))),INDIRECT(ADDRESS(ROW()-2,COLUMN(),1,1))+1,INDIRECT(ADDRESS(ROW()-1,COLUMN(),1,1))+1)</f>
        <v>7</v>
      </c>
      <c r="D16" s="772" t="s">
        <v>502</v>
      </c>
      <c r="E16" s="778">
        <v>263.26</v>
      </c>
      <c r="F16" s="777">
        <f t="shared" si="15"/>
        <v>40.889999999999986</v>
      </c>
      <c r="G16" s="775">
        <v>70.59</v>
      </c>
      <c r="H16" s="775">
        <f t="shared" si="16"/>
        <v>3.6400000000000006</v>
      </c>
      <c r="I16" s="775">
        <v>66.95</v>
      </c>
      <c r="J16" s="775">
        <v>6</v>
      </c>
      <c r="K16" s="775">
        <f t="shared" si="17"/>
        <v>6</v>
      </c>
      <c r="L16" s="775"/>
      <c r="M16" s="776">
        <f t="shared" si="18"/>
        <v>647.08424999999988</v>
      </c>
      <c r="N16" s="776">
        <f t="shared" si="19"/>
        <v>401.74424999999997</v>
      </c>
      <c r="O16" s="776">
        <f t="shared" si="20"/>
        <v>2367.1220999999991</v>
      </c>
      <c r="P16" s="776">
        <f t="shared" si="21"/>
        <v>2367.1220999999991</v>
      </c>
      <c r="Q16" s="772"/>
      <c r="W16" s="710" t="s">
        <v>472</v>
      </c>
      <c r="X16" s="710">
        <v>62.71</v>
      </c>
      <c r="Y16" s="710">
        <v>7.13</v>
      </c>
      <c r="Z16" s="710">
        <v>7.92</v>
      </c>
      <c r="AA16" s="710">
        <v>11</v>
      </c>
      <c r="AB16" s="710">
        <f t="shared" si="22"/>
        <v>1</v>
      </c>
      <c r="AC16" s="710">
        <f t="shared" si="23"/>
        <v>1</v>
      </c>
    </row>
    <row r="17" spans="1:29" ht="19.95" customHeight="1">
      <c r="A17" s="710">
        <f>_xlfn.AGGREGATE(2,5,$B$10:B17)</f>
        <v>1</v>
      </c>
      <c r="C17" s="771" cm="1">
        <f t="array" aca="1" ref="C17" ca="1">IF(ISTEXT(INDIRECT(ADDRESS(ROW()-1,COLUMN(),1,1))),INDIRECT(ADDRESS(ROW()-2,COLUMN(),1,1))+1,INDIRECT(ADDRESS(ROW()-1,COLUMN(),1,1))+1)</f>
        <v>8</v>
      </c>
      <c r="D17" s="772" t="s">
        <v>503</v>
      </c>
      <c r="E17" s="778">
        <v>304.7</v>
      </c>
      <c r="F17" s="777">
        <f t="shared" si="15"/>
        <v>41.44</v>
      </c>
      <c r="G17" s="775">
        <v>47.6</v>
      </c>
      <c r="H17" s="775">
        <f t="shared" si="16"/>
        <v>15.050000000000004</v>
      </c>
      <c r="I17" s="775">
        <v>32.549999999999997</v>
      </c>
      <c r="J17" s="775">
        <v>6</v>
      </c>
      <c r="K17" s="775">
        <f t="shared" si="17"/>
        <v>6</v>
      </c>
      <c r="L17" s="775"/>
      <c r="M17" s="776">
        <f t="shared" si="18"/>
        <v>635.8968000000001</v>
      </c>
      <c r="N17" s="776">
        <f t="shared" si="19"/>
        <v>387.25680000000006</v>
      </c>
      <c r="O17" s="776">
        <f t="shared" si="20"/>
        <v>2061.64</v>
      </c>
      <c r="P17" s="776">
        <f t="shared" si="21"/>
        <v>2061.64</v>
      </c>
      <c r="Q17" s="772"/>
      <c r="W17" s="710" t="s">
        <v>473</v>
      </c>
      <c r="X17" s="710">
        <v>81.650000000000006</v>
      </c>
      <c r="Y17" s="710">
        <v>5.91</v>
      </c>
      <c r="Z17" s="710">
        <v>6.86</v>
      </c>
      <c r="AA17" s="710">
        <v>11</v>
      </c>
      <c r="AB17" s="710">
        <f t="shared" si="22"/>
        <v>1</v>
      </c>
      <c r="AC17" s="710">
        <f t="shared" si="23"/>
        <v>1</v>
      </c>
    </row>
    <row r="18" spans="1:29" ht="19.95" customHeight="1">
      <c r="A18" s="710">
        <f>_xlfn.AGGREGATE(2,5,$B$10:B18)</f>
        <v>1</v>
      </c>
      <c r="C18" s="771" cm="1">
        <f t="array" aca="1" ref="C18" ca="1">IF(ISTEXT(INDIRECT(ADDRESS(ROW()-1,COLUMN(),1,1))),INDIRECT(ADDRESS(ROW()-2,COLUMN(),1,1))+1,INDIRECT(ADDRESS(ROW()-1,COLUMN(),1,1))+1)</f>
        <v>9</v>
      </c>
      <c r="D18" s="772" t="s">
        <v>504</v>
      </c>
      <c r="E18" s="778">
        <v>349.76</v>
      </c>
      <c r="F18" s="777">
        <f t="shared" si="15"/>
        <v>45.06</v>
      </c>
      <c r="G18" s="775">
        <v>38.200000000000003</v>
      </c>
      <c r="H18" s="775">
        <f t="shared" si="16"/>
        <v>10.290000000000003</v>
      </c>
      <c r="I18" s="775">
        <v>27.91</v>
      </c>
      <c r="J18" s="775">
        <v>6</v>
      </c>
      <c r="K18" s="775">
        <f t="shared" si="17"/>
        <v>6</v>
      </c>
      <c r="L18" s="775"/>
      <c r="M18" s="776">
        <f t="shared" si="18"/>
        <v>841.27020000000016</v>
      </c>
      <c r="N18" s="776">
        <f t="shared" si="19"/>
        <v>570.91020000000015</v>
      </c>
      <c r="O18" s="776">
        <f t="shared" si="20"/>
        <v>1362.1638</v>
      </c>
      <c r="P18" s="776">
        <f t="shared" si="21"/>
        <v>1362.1638</v>
      </c>
      <c r="Q18" s="772"/>
      <c r="W18" s="710" t="s">
        <v>474</v>
      </c>
      <c r="X18" s="710">
        <v>98.69</v>
      </c>
      <c r="Y18" s="710">
        <v>5.97</v>
      </c>
      <c r="Z18" s="710">
        <v>5.62</v>
      </c>
      <c r="AA18" s="710">
        <v>11</v>
      </c>
      <c r="AB18" s="710">
        <f t="shared" si="22"/>
        <v>1</v>
      </c>
      <c r="AC18" s="710">
        <f t="shared" si="23"/>
        <v>1</v>
      </c>
    </row>
    <row r="19" spans="1:29" ht="19.95" customHeight="1">
      <c r="A19" s="710">
        <f>_xlfn.AGGREGATE(2,5,$B$10:B19)</f>
        <v>1</v>
      </c>
      <c r="C19" s="771" cm="1">
        <f t="array" aca="1" ref="C19" ca="1">IF(ISTEXT(INDIRECT(ADDRESS(ROW()-1,COLUMN(),1,1))),INDIRECT(ADDRESS(ROW()-2,COLUMN(),1,1))+1,INDIRECT(ADDRESS(ROW()-1,COLUMN(),1,1))+1)</f>
        <v>10</v>
      </c>
      <c r="D19" s="772" t="s">
        <v>505</v>
      </c>
      <c r="E19" s="778">
        <v>404.68</v>
      </c>
      <c r="F19" s="777">
        <f t="shared" si="15"/>
        <v>54.920000000000016</v>
      </c>
      <c r="G19" s="775">
        <v>38.130000000000003</v>
      </c>
      <c r="H19" s="775">
        <f t="shared" si="16"/>
        <v>10.550000000000004</v>
      </c>
      <c r="I19" s="775">
        <v>27.58</v>
      </c>
      <c r="J19" s="775">
        <v>6</v>
      </c>
      <c r="K19" s="775">
        <f t="shared" si="17"/>
        <v>6</v>
      </c>
      <c r="L19" s="775"/>
      <c r="M19" s="776">
        <f t="shared" si="18"/>
        <v>901.7864000000003</v>
      </c>
      <c r="N19" s="776">
        <f t="shared" si="19"/>
        <v>572.26640000000032</v>
      </c>
      <c r="O19" s="776">
        <f t="shared" si="20"/>
        <v>1523.7554000000002</v>
      </c>
      <c r="P19" s="776">
        <f t="shared" si="21"/>
        <v>1523.7554000000002</v>
      </c>
      <c r="Q19" s="772"/>
      <c r="W19" s="710" t="s">
        <v>475</v>
      </c>
      <c r="X19" s="710">
        <v>100</v>
      </c>
      <c r="Y19" s="710">
        <v>6</v>
      </c>
      <c r="Z19" s="710">
        <v>5.67</v>
      </c>
      <c r="AA19" s="710">
        <v>11</v>
      </c>
      <c r="AB19" s="710">
        <f t="shared" si="22"/>
        <v>1</v>
      </c>
      <c r="AC19" s="710">
        <f t="shared" si="23"/>
        <v>1</v>
      </c>
    </row>
    <row r="20" spans="1:29" ht="19.95" customHeight="1">
      <c r="A20" s="710">
        <f>_xlfn.AGGREGATE(2,5,$B$10:B20)</f>
        <v>1</v>
      </c>
      <c r="C20" s="771" cm="1">
        <f t="array" aca="1" ref="C20" ca="1">IF(ISTEXT(INDIRECT(ADDRESS(ROW()-1,COLUMN(),1,1))),INDIRECT(ADDRESS(ROW()-2,COLUMN(),1,1))+1,INDIRECT(ADDRESS(ROW()-1,COLUMN(),1,1))+1)</f>
        <v>11</v>
      </c>
      <c r="D20" s="772" t="s">
        <v>506</v>
      </c>
      <c r="E20" s="778">
        <v>431.57</v>
      </c>
      <c r="F20" s="777">
        <f t="shared" si="15"/>
        <v>26.889999999999986</v>
      </c>
      <c r="G20" s="775">
        <v>37.14</v>
      </c>
      <c r="H20" s="775">
        <f t="shared" si="16"/>
        <v>11.32</v>
      </c>
      <c r="I20" s="775">
        <v>25.82</v>
      </c>
      <c r="J20" s="775">
        <v>6</v>
      </c>
      <c r="K20" s="775">
        <f t="shared" si="17"/>
        <v>6</v>
      </c>
      <c r="L20" s="775"/>
      <c r="M20" s="776">
        <f t="shared" si="18"/>
        <v>455.38214999999985</v>
      </c>
      <c r="N20" s="776">
        <f t="shared" si="19"/>
        <v>294.04214999999994</v>
      </c>
      <c r="O20" s="776">
        <f t="shared" si="20"/>
        <v>717.96299999999962</v>
      </c>
      <c r="P20" s="776">
        <f t="shared" si="21"/>
        <v>717.96299999999962</v>
      </c>
      <c r="Q20" s="772"/>
      <c r="W20" s="710" t="s">
        <v>476</v>
      </c>
      <c r="X20" s="710">
        <v>116.79</v>
      </c>
      <c r="Y20" s="710">
        <v>6.38</v>
      </c>
      <c r="Z20" s="710">
        <v>9.11</v>
      </c>
      <c r="AA20" s="710">
        <v>11</v>
      </c>
      <c r="AB20" s="710">
        <f t="shared" si="22"/>
        <v>1</v>
      </c>
      <c r="AC20" s="710">
        <f t="shared" si="23"/>
        <v>1</v>
      </c>
    </row>
    <row r="21" spans="1:29" ht="19.95" customHeight="1">
      <c r="A21" s="710">
        <f>_xlfn.AGGREGATE(2,5,$B$10:B21)</f>
        <v>2</v>
      </c>
      <c r="B21" s="710">
        <v>1</v>
      </c>
      <c r="C21" s="771" cm="1">
        <f t="array" aca="1" ref="C21" ca="1">IF(ISTEXT(INDIRECT(ADDRESS(ROW()-1,COLUMN(),1,1))),INDIRECT(ADDRESS(ROW()-2,COLUMN(),1,1))+1,INDIRECT(ADDRESS(ROW()-1,COLUMN(),1,1))+1)</f>
        <v>12</v>
      </c>
      <c r="D21" s="772" t="s">
        <v>507</v>
      </c>
      <c r="E21" s="778">
        <v>477.48</v>
      </c>
      <c r="F21" s="777">
        <f t="shared" si="15"/>
        <v>45.910000000000025</v>
      </c>
      <c r="G21" s="775">
        <v>37.14</v>
      </c>
      <c r="H21" s="775">
        <f t="shared" si="16"/>
        <v>11.32</v>
      </c>
      <c r="I21" s="775">
        <v>25.82</v>
      </c>
      <c r="J21" s="775">
        <v>6</v>
      </c>
      <c r="K21" s="775">
        <f t="shared" si="17"/>
        <v>6</v>
      </c>
      <c r="L21" s="775"/>
      <c r="M21" s="776">
        <f t="shared" si="18"/>
        <v>795.16120000000046</v>
      </c>
      <c r="N21" s="776">
        <f t="shared" si="19"/>
        <v>519.70120000000031</v>
      </c>
      <c r="O21" s="776">
        <f t="shared" si="20"/>
        <v>1185.3962000000006</v>
      </c>
      <c r="P21" s="776">
        <f t="shared" si="21"/>
        <v>1185.3962000000006</v>
      </c>
      <c r="Q21" s="772"/>
      <c r="W21" s="710" t="s">
        <v>477</v>
      </c>
      <c r="X21" s="710">
        <v>122.57</v>
      </c>
      <c r="Y21" s="710">
        <v>6.8</v>
      </c>
      <c r="Z21" s="710">
        <v>7.11</v>
      </c>
      <c r="AA21" s="710">
        <v>1</v>
      </c>
      <c r="AB21" s="710">
        <f t="shared" si="22"/>
        <v>0</v>
      </c>
      <c r="AC21" s="710">
        <f t="shared" si="23"/>
        <v>1</v>
      </c>
    </row>
    <row r="22" spans="1:29" ht="19.95" customHeight="1">
      <c r="C22" s="763" t="s">
        <v>2</v>
      </c>
      <c r="D22" s="764" t="s">
        <v>519</v>
      </c>
      <c r="E22" s="765"/>
      <c r="F22" s="766"/>
      <c r="G22" s="767"/>
      <c r="H22" s="767"/>
      <c r="I22" s="794"/>
      <c r="J22" s="768"/>
      <c r="K22" s="768"/>
      <c r="L22" s="768"/>
      <c r="M22" s="769">
        <f>SUBTOTAL(9,M23:M44)</f>
        <v>29516.201000000001</v>
      </c>
      <c r="N22" s="769">
        <f t="shared" ref="N22:P22" si="24">SUBTOTAL(9,N23:N44)</f>
        <v>19536.100999999999</v>
      </c>
      <c r="O22" s="769">
        <f t="shared" si="24"/>
        <v>38772.148999999998</v>
      </c>
      <c r="P22" s="769">
        <f t="shared" si="24"/>
        <v>38772.148999999998</v>
      </c>
      <c r="Q22" s="770"/>
      <c r="R22" s="719"/>
      <c r="S22" s="719"/>
    </row>
    <row r="23" spans="1:29" ht="19.95" customHeight="1">
      <c r="C23" s="771" cm="1">
        <f t="array" aca="1" ref="C23" ca="1">IF(ISTEXT(INDIRECT(ADDRESS(ROW()-1,COLUMN(),1,1))),INDIRECT(ADDRESS(ROW()-2,COLUMN(),1,1))+1,INDIRECT(ADDRESS(ROW()-1,COLUMN(),1,1))+1)</f>
        <v>13</v>
      </c>
      <c r="D23" s="772" t="s">
        <v>496</v>
      </c>
      <c r="E23" s="778">
        <v>0</v>
      </c>
      <c r="F23" s="777">
        <f t="shared" si="15"/>
        <v>0</v>
      </c>
      <c r="G23" s="775">
        <v>39.69</v>
      </c>
      <c r="H23" s="775">
        <f t="shared" si="16"/>
        <v>7.3399999999999963</v>
      </c>
      <c r="I23" s="775">
        <v>32.35</v>
      </c>
      <c r="J23" s="775">
        <v>6</v>
      </c>
      <c r="K23" s="775">
        <f t="shared" si="17"/>
        <v>6</v>
      </c>
      <c r="L23" s="775"/>
      <c r="M23" s="776">
        <f t="shared" si="18"/>
        <v>0</v>
      </c>
      <c r="N23" s="776">
        <f t="shared" si="19"/>
        <v>0</v>
      </c>
      <c r="O23" s="776">
        <f t="shared" si="20"/>
        <v>0</v>
      </c>
      <c r="P23" s="776">
        <f t="shared" si="21"/>
        <v>0</v>
      </c>
      <c r="Q23" s="772"/>
    </row>
    <row r="24" spans="1:29" ht="19.95" customHeight="1">
      <c r="C24" s="771" cm="1">
        <f t="array" aca="1" ref="C24" ca="1">IF(ISTEXT(INDIRECT(ADDRESS(ROW()-1,COLUMN(),1,1))),INDIRECT(ADDRESS(ROW()-2,COLUMN(),1,1))+1,INDIRECT(ADDRESS(ROW()-1,COLUMN(),1,1))+1)</f>
        <v>14</v>
      </c>
      <c r="D24" s="772">
        <v>1</v>
      </c>
      <c r="E24" s="778">
        <v>8.75</v>
      </c>
      <c r="F24" s="777">
        <f t="shared" si="15"/>
        <v>8.75</v>
      </c>
      <c r="G24" s="775">
        <v>39.69</v>
      </c>
      <c r="H24" s="775">
        <f t="shared" si="16"/>
        <v>7.3399999999999963</v>
      </c>
      <c r="I24" s="775">
        <v>32.35</v>
      </c>
      <c r="J24" s="775">
        <v>6</v>
      </c>
      <c r="K24" s="775">
        <f t="shared" si="17"/>
        <v>6</v>
      </c>
      <c r="L24" s="775"/>
      <c r="M24" s="776">
        <f t="shared" si="18"/>
        <v>116.72499999999997</v>
      </c>
      <c r="N24" s="776">
        <f t="shared" si="19"/>
        <v>64.224999999999966</v>
      </c>
      <c r="O24" s="776">
        <f t="shared" si="20"/>
        <v>283.0625</v>
      </c>
      <c r="P24" s="776">
        <f t="shared" si="21"/>
        <v>283.0625</v>
      </c>
      <c r="Q24" s="772"/>
    </row>
    <row r="25" spans="1:29" ht="19.95" customHeight="1">
      <c r="C25" s="771" cm="1">
        <f t="array" aca="1" ref="C25" ca="1">IF(ISTEXT(INDIRECT(ADDRESS(ROW()-1,COLUMN(),1,1))),INDIRECT(ADDRESS(ROW()-2,COLUMN(),1,1))+1,INDIRECT(ADDRESS(ROW()-1,COLUMN(),1,1))+1)</f>
        <v>15</v>
      </c>
      <c r="D25" s="772">
        <v>2</v>
      </c>
      <c r="E25" s="778">
        <v>104.15</v>
      </c>
      <c r="F25" s="777">
        <f t="shared" si="15"/>
        <v>95.4</v>
      </c>
      <c r="G25" s="775">
        <v>36.96</v>
      </c>
      <c r="H25" s="775">
        <f t="shared" si="16"/>
        <v>5.57</v>
      </c>
      <c r="I25" s="775">
        <v>31.39</v>
      </c>
      <c r="J25" s="775">
        <v>6</v>
      </c>
      <c r="K25" s="775">
        <f t="shared" si="17"/>
        <v>6</v>
      </c>
      <c r="L25" s="775"/>
      <c r="M25" s="776">
        <f t="shared" si="18"/>
        <v>1188.2069999999999</v>
      </c>
      <c r="N25" s="776">
        <f t="shared" si="19"/>
        <v>615.8069999999999</v>
      </c>
      <c r="O25" s="776">
        <f t="shared" si="20"/>
        <v>3040.3980000000001</v>
      </c>
      <c r="P25" s="776">
        <f t="shared" si="21"/>
        <v>3040.3980000000001</v>
      </c>
      <c r="Q25" s="772"/>
    </row>
    <row r="26" spans="1:29" ht="19.95" customHeight="1">
      <c r="C26" s="771" cm="1">
        <f t="array" aca="1" ref="C26" ca="1">IF(ISTEXT(INDIRECT(ADDRESS(ROW()-1,COLUMN(),1,1))),INDIRECT(ADDRESS(ROW()-2,COLUMN(),1,1))+1,INDIRECT(ADDRESS(ROW()-1,COLUMN(),1,1))+1)</f>
        <v>16</v>
      </c>
      <c r="D26" s="772">
        <v>3</v>
      </c>
      <c r="E26" s="778">
        <v>197.89</v>
      </c>
      <c r="F26" s="777">
        <f t="shared" si="15"/>
        <v>93.739999999999981</v>
      </c>
      <c r="G26" s="775">
        <v>34.36</v>
      </c>
      <c r="H26" s="775">
        <f t="shared" si="16"/>
        <v>8.39</v>
      </c>
      <c r="I26" s="775">
        <v>25.97</v>
      </c>
      <c r="J26" s="775">
        <v>6</v>
      </c>
      <c r="K26" s="775">
        <f t="shared" si="17"/>
        <v>6</v>
      </c>
      <c r="L26" s="775"/>
      <c r="M26" s="776">
        <f t="shared" si="18"/>
        <v>1216.7451999999998</v>
      </c>
      <c r="N26" s="776">
        <f t="shared" si="19"/>
        <v>654.3051999999999</v>
      </c>
      <c r="O26" s="776">
        <f t="shared" si="20"/>
        <v>2688.4631999999992</v>
      </c>
      <c r="P26" s="776">
        <f t="shared" si="21"/>
        <v>2688.4631999999992</v>
      </c>
      <c r="Q26" s="772"/>
    </row>
    <row r="27" spans="1:29" ht="19.95" customHeight="1">
      <c r="C27" s="771" cm="1">
        <f t="array" aca="1" ref="C27" ca="1">IF(ISTEXT(INDIRECT(ADDRESS(ROW()-1,COLUMN(),1,1))),INDIRECT(ADDRESS(ROW()-2,COLUMN(),1,1))+1,INDIRECT(ADDRESS(ROW()-1,COLUMN(),1,1))+1)</f>
        <v>17</v>
      </c>
      <c r="D27" s="772">
        <v>4</v>
      </c>
      <c r="E27" s="778">
        <v>283</v>
      </c>
      <c r="F27" s="777">
        <f t="shared" si="15"/>
        <v>85.110000000000014</v>
      </c>
      <c r="G27" s="775">
        <v>31.39</v>
      </c>
      <c r="H27" s="775">
        <f t="shared" si="16"/>
        <v>16.37</v>
      </c>
      <c r="I27" s="775">
        <v>15.02</v>
      </c>
      <c r="J27" s="775">
        <v>6</v>
      </c>
      <c r="K27" s="775">
        <f t="shared" si="17"/>
        <v>6</v>
      </c>
      <c r="L27" s="775"/>
      <c r="M27" s="776">
        <f t="shared" si="18"/>
        <v>1564.3218000000004</v>
      </c>
      <c r="N27" s="776">
        <f t="shared" si="19"/>
        <v>1053.6618000000003</v>
      </c>
      <c r="O27" s="776">
        <f t="shared" si="20"/>
        <v>1744.32945</v>
      </c>
      <c r="P27" s="776">
        <f t="shared" si="21"/>
        <v>1744.32945</v>
      </c>
      <c r="Q27" s="772"/>
    </row>
    <row r="28" spans="1:29" ht="19.95" customHeight="1">
      <c r="A28" s="710">
        <f>_xlfn.AGGREGATE(2,5,$B$10:B28)</f>
        <v>2</v>
      </c>
      <c r="C28" s="771" cm="1">
        <f t="array" aca="1" ref="C28" ca="1">IF(ISTEXT(INDIRECT(ADDRESS(ROW()-1,COLUMN(),1,1))),INDIRECT(ADDRESS(ROW()-2,COLUMN(),1,1))+1,INDIRECT(ADDRESS(ROW()-1,COLUMN(),1,1))+1)</f>
        <v>18</v>
      </c>
      <c r="D28" s="772">
        <v>5</v>
      </c>
      <c r="E28" s="778">
        <v>382.45</v>
      </c>
      <c r="F28" s="777">
        <f t="shared" si="15"/>
        <v>99.449999999999989</v>
      </c>
      <c r="G28" s="775">
        <v>32.9</v>
      </c>
      <c r="H28" s="775">
        <f t="shared" si="16"/>
        <v>18.13</v>
      </c>
      <c r="I28" s="775">
        <v>14.77</v>
      </c>
      <c r="J28" s="775">
        <v>6</v>
      </c>
      <c r="K28" s="775">
        <f t="shared" si="17"/>
        <v>6</v>
      </c>
      <c r="L28" s="775"/>
      <c r="M28" s="776">
        <f t="shared" si="18"/>
        <v>2312.2124999999996</v>
      </c>
      <c r="N28" s="776">
        <f t="shared" si="19"/>
        <v>1715.5124999999998</v>
      </c>
      <c r="O28" s="776">
        <f t="shared" si="20"/>
        <v>1481.3077499999997</v>
      </c>
      <c r="P28" s="776">
        <f t="shared" si="21"/>
        <v>1481.3077499999997</v>
      </c>
      <c r="Q28" s="772"/>
      <c r="W28" s="710" t="s">
        <v>478</v>
      </c>
      <c r="X28" s="710">
        <v>200</v>
      </c>
      <c r="Y28" s="710">
        <v>5.04</v>
      </c>
      <c r="Z28" s="710">
        <v>0</v>
      </c>
      <c r="AA28" s="710">
        <v>10</v>
      </c>
      <c r="AB28" s="710">
        <f t="shared" si="22"/>
        <v>1</v>
      </c>
      <c r="AC28" s="710">
        <f t="shared" si="23"/>
        <v>0</v>
      </c>
    </row>
    <row r="29" spans="1:29" ht="19.95" customHeight="1">
      <c r="A29" s="710">
        <f>_xlfn.AGGREGATE(2,5,$B$10:B29)</f>
        <v>2</v>
      </c>
      <c r="C29" s="771" cm="1">
        <f t="array" aca="1" ref="C29" ca="1">IF(ISTEXT(INDIRECT(ADDRESS(ROW()-1,COLUMN(),1,1))),INDIRECT(ADDRESS(ROW()-2,COLUMN(),1,1))+1,INDIRECT(ADDRESS(ROW()-1,COLUMN(),1,1))+1)</f>
        <v>19</v>
      </c>
      <c r="D29" s="772">
        <v>6</v>
      </c>
      <c r="E29" s="778">
        <v>416.24</v>
      </c>
      <c r="F29" s="777">
        <f t="shared" si="15"/>
        <v>33.79000000000002</v>
      </c>
      <c r="G29" s="775">
        <v>32.590000000000003</v>
      </c>
      <c r="H29" s="775">
        <f t="shared" si="16"/>
        <v>14.570000000000004</v>
      </c>
      <c r="I29" s="775">
        <v>18.02</v>
      </c>
      <c r="J29" s="775">
        <v>6</v>
      </c>
      <c r="K29" s="775">
        <f t="shared" si="17"/>
        <v>6</v>
      </c>
      <c r="L29" s="775"/>
      <c r="M29" s="776">
        <f t="shared" si="18"/>
        <v>755.20650000000046</v>
      </c>
      <c r="N29" s="776">
        <f t="shared" si="19"/>
        <v>552.46650000000034</v>
      </c>
      <c r="O29" s="776">
        <f t="shared" si="20"/>
        <v>553.98705000000029</v>
      </c>
      <c r="P29" s="776">
        <f t="shared" si="21"/>
        <v>553.98705000000029</v>
      </c>
      <c r="Q29" s="772"/>
      <c r="W29" s="710" t="s">
        <v>479</v>
      </c>
      <c r="X29" s="710">
        <v>202.28</v>
      </c>
      <c r="Y29" s="710">
        <v>5.29</v>
      </c>
      <c r="Z29" s="710">
        <v>0</v>
      </c>
      <c r="AA29" s="710">
        <v>10</v>
      </c>
      <c r="AB29" s="710">
        <f t="shared" si="22"/>
        <v>1</v>
      </c>
      <c r="AC29" s="710">
        <f t="shared" si="23"/>
        <v>0</v>
      </c>
    </row>
    <row r="30" spans="1:29" ht="19.95" customHeight="1">
      <c r="A30" s="710">
        <f>_xlfn.AGGREGATE(2,5,$B$10:B30)</f>
        <v>2</v>
      </c>
      <c r="C30" s="771" cm="1">
        <f t="array" aca="1" ref="C30" ca="1">IF(ISTEXT(INDIRECT(ADDRESS(ROW()-1,COLUMN(),1,1))),INDIRECT(ADDRESS(ROW()-2,COLUMN(),1,1))+1,INDIRECT(ADDRESS(ROW()-1,COLUMN(),1,1))+1)</f>
        <v>20</v>
      </c>
      <c r="D30" s="772">
        <v>7</v>
      </c>
      <c r="E30" s="778">
        <v>504.99</v>
      </c>
      <c r="F30" s="777">
        <f t="shared" si="15"/>
        <v>88.75</v>
      </c>
      <c r="G30" s="775">
        <v>33.56</v>
      </c>
      <c r="H30" s="775">
        <f t="shared" si="16"/>
        <v>12.870000000000001</v>
      </c>
      <c r="I30" s="775">
        <v>20.69</v>
      </c>
      <c r="J30" s="775">
        <v>6</v>
      </c>
      <c r="K30" s="775">
        <f t="shared" si="17"/>
        <v>6</v>
      </c>
      <c r="L30" s="775"/>
      <c r="M30" s="776">
        <f t="shared" si="18"/>
        <v>1750.1500000000003</v>
      </c>
      <c r="N30" s="776">
        <f t="shared" si="19"/>
        <v>1217.6500000000003</v>
      </c>
      <c r="O30" s="776">
        <f t="shared" si="20"/>
        <v>1717.7562500000001</v>
      </c>
      <c r="P30" s="776">
        <f t="shared" si="21"/>
        <v>1717.7562500000001</v>
      </c>
      <c r="Q30" s="772"/>
      <c r="W30" s="710" t="s">
        <v>480</v>
      </c>
      <c r="X30" s="710">
        <v>220.9</v>
      </c>
      <c r="Y30" s="710">
        <v>3.45</v>
      </c>
      <c r="Z30" s="710">
        <v>1.18</v>
      </c>
      <c r="AA30" s="710">
        <v>11</v>
      </c>
      <c r="AB30" s="710">
        <f t="shared" si="22"/>
        <v>1</v>
      </c>
      <c r="AC30" s="710">
        <f t="shared" si="23"/>
        <v>1</v>
      </c>
    </row>
    <row r="31" spans="1:29" ht="19.95" customHeight="1">
      <c r="A31" s="710">
        <f>_xlfn.AGGREGATE(2,5,$B$10:B31)</f>
        <v>2</v>
      </c>
      <c r="C31" s="771" cm="1">
        <f t="array" aca="1" ref="C31" ca="1">IF(ISTEXT(INDIRECT(ADDRESS(ROW()-1,COLUMN(),1,1))),INDIRECT(ADDRESS(ROW()-2,COLUMN(),1,1))+1,INDIRECT(ADDRESS(ROW()-1,COLUMN(),1,1))+1)</f>
        <v>21</v>
      </c>
      <c r="D31" s="771">
        <v>8</v>
      </c>
      <c r="E31" s="778">
        <v>604.08000000000004</v>
      </c>
      <c r="F31" s="777">
        <f t="shared" si="15"/>
        <v>99.090000000000032</v>
      </c>
      <c r="G31" s="775">
        <v>32.31</v>
      </c>
      <c r="H31" s="775">
        <f t="shared" si="16"/>
        <v>14.290000000000003</v>
      </c>
      <c r="I31" s="775">
        <v>18.02</v>
      </c>
      <c r="J31" s="775">
        <v>6</v>
      </c>
      <c r="K31" s="775">
        <f t="shared" si="17"/>
        <v>6</v>
      </c>
      <c r="L31" s="775"/>
      <c r="M31" s="776">
        <f t="shared" si="18"/>
        <v>1940.1822000000009</v>
      </c>
      <c r="N31" s="776">
        <f t="shared" si="19"/>
        <v>1345.6422000000007</v>
      </c>
      <c r="O31" s="776">
        <f t="shared" si="20"/>
        <v>1917.8869500000008</v>
      </c>
      <c r="P31" s="776">
        <f t="shared" si="21"/>
        <v>1917.8869500000008</v>
      </c>
      <c r="Q31" s="772"/>
      <c r="W31" s="710" t="s">
        <v>481</v>
      </c>
      <c r="X31" s="710">
        <v>230.28</v>
      </c>
      <c r="Y31" s="710">
        <v>6.03</v>
      </c>
      <c r="Z31" s="710">
        <v>0</v>
      </c>
      <c r="AA31" s="710">
        <v>10</v>
      </c>
      <c r="AB31" s="710">
        <f t="shared" si="22"/>
        <v>1</v>
      </c>
      <c r="AC31" s="710">
        <f t="shared" si="23"/>
        <v>0</v>
      </c>
    </row>
    <row r="32" spans="1:29" ht="19.95" customHeight="1">
      <c r="A32" s="710">
        <f>_xlfn.AGGREGATE(2,5,$B$10:B32)</f>
        <v>2</v>
      </c>
      <c r="C32" s="771" cm="1">
        <f t="array" aca="1" ref="C32" ca="1">IF(ISTEXT(INDIRECT(ADDRESS(ROW()-1,COLUMN(),1,1))),INDIRECT(ADDRESS(ROW()-2,COLUMN(),1,1))+1,INDIRECT(ADDRESS(ROW()-1,COLUMN(),1,1))+1)</f>
        <v>22</v>
      </c>
      <c r="D32" s="771">
        <v>9</v>
      </c>
      <c r="E32" s="778">
        <v>700.22</v>
      </c>
      <c r="F32" s="777">
        <f t="shared" si="15"/>
        <v>96.139999999999986</v>
      </c>
      <c r="G32" s="775">
        <v>32.69</v>
      </c>
      <c r="H32" s="775">
        <f t="shared" si="16"/>
        <v>14.389999999999997</v>
      </c>
      <c r="I32" s="775">
        <v>18.3</v>
      </c>
      <c r="J32" s="775">
        <v>6</v>
      </c>
      <c r="K32" s="775">
        <f t="shared" si="17"/>
        <v>6</v>
      </c>
      <c r="L32" s="775"/>
      <c r="M32" s="776">
        <f t="shared" si="18"/>
        <v>1955.4875999999997</v>
      </c>
      <c r="N32" s="776">
        <f t="shared" si="19"/>
        <v>1378.6475999999998</v>
      </c>
      <c r="O32" s="776">
        <f t="shared" si="20"/>
        <v>1745.9023999999997</v>
      </c>
      <c r="P32" s="776">
        <f t="shared" si="21"/>
        <v>1745.9023999999997</v>
      </c>
      <c r="Q32" s="772"/>
      <c r="W32" s="710" t="s">
        <v>482</v>
      </c>
      <c r="X32" s="710">
        <v>238.76</v>
      </c>
      <c r="Y32" s="710">
        <v>7.64</v>
      </c>
      <c r="Z32" s="710">
        <v>0</v>
      </c>
      <c r="AA32" s="710">
        <v>10</v>
      </c>
      <c r="AB32" s="710">
        <f t="shared" si="22"/>
        <v>1</v>
      </c>
      <c r="AC32" s="710">
        <f t="shared" si="23"/>
        <v>0</v>
      </c>
    </row>
    <row r="33" spans="1:29" ht="19.95" customHeight="1">
      <c r="A33" s="710">
        <f>_xlfn.AGGREGATE(2,5,$B$10:B33)</f>
        <v>2</v>
      </c>
      <c r="C33" s="771" cm="1">
        <f t="array" aca="1" ref="C33" ca="1">IF(ISTEXT(INDIRECT(ADDRESS(ROW()-1,COLUMN(),1,1))),INDIRECT(ADDRESS(ROW()-2,COLUMN(),1,1))+1,INDIRECT(ADDRESS(ROW()-1,COLUMN(),1,1))+1)</f>
        <v>23</v>
      </c>
      <c r="D33" s="771">
        <v>10</v>
      </c>
      <c r="E33" s="778">
        <v>799.15</v>
      </c>
      <c r="F33" s="777">
        <f t="shared" si="15"/>
        <v>98.92999999999995</v>
      </c>
      <c r="G33" s="775">
        <v>32.630000000000003</v>
      </c>
      <c r="H33" s="775">
        <f t="shared" si="16"/>
        <v>15.530000000000001</v>
      </c>
      <c r="I33" s="775">
        <v>17.100000000000001</v>
      </c>
      <c r="J33" s="775">
        <v>6</v>
      </c>
      <c r="K33" s="775">
        <f t="shared" si="17"/>
        <v>6</v>
      </c>
      <c r="L33" s="775"/>
      <c r="M33" s="776">
        <f t="shared" si="18"/>
        <v>2073.572799999999</v>
      </c>
      <c r="N33" s="776">
        <f t="shared" si="19"/>
        <v>1479.9927999999991</v>
      </c>
      <c r="O33" s="776">
        <f t="shared" si="20"/>
        <v>1751.0609999999995</v>
      </c>
      <c r="P33" s="776">
        <f t="shared" si="21"/>
        <v>1751.0609999999995</v>
      </c>
      <c r="Q33" s="772"/>
      <c r="W33" s="710" t="s">
        <v>483</v>
      </c>
      <c r="X33" s="710">
        <v>255.47</v>
      </c>
      <c r="Y33" s="710">
        <v>11.73</v>
      </c>
      <c r="Z33" s="710">
        <v>5</v>
      </c>
      <c r="AA33" s="710">
        <v>11</v>
      </c>
      <c r="AB33" s="710">
        <f t="shared" si="22"/>
        <v>1</v>
      </c>
      <c r="AC33" s="710">
        <f t="shared" si="23"/>
        <v>1</v>
      </c>
    </row>
    <row r="34" spans="1:29" ht="19.95" customHeight="1">
      <c r="A34" s="710">
        <f>_xlfn.AGGREGATE(2,5,$B$10:B34)</f>
        <v>2</v>
      </c>
      <c r="C34" s="771" cm="1">
        <f t="array" aca="1" ref="C34" ca="1">IF(ISTEXT(INDIRECT(ADDRESS(ROW()-1,COLUMN(),1,1))),INDIRECT(ADDRESS(ROW()-2,COLUMN(),1,1))+1,INDIRECT(ADDRESS(ROW()-1,COLUMN(),1,1))+1)</f>
        <v>24</v>
      </c>
      <c r="D34" s="771">
        <v>11</v>
      </c>
      <c r="E34" s="778">
        <v>900.4</v>
      </c>
      <c r="F34" s="777">
        <f t="shared" si="15"/>
        <v>101.25</v>
      </c>
      <c r="G34" s="775">
        <v>33.39</v>
      </c>
      <c r="H34" s="775">
        <f t="shared" si="16"/>
        <v>13.96</v>
      </c>
      <c r="I34" s="775">
        <v>19.43</v>
      </c>
      <c r="J34" s="775">
        <v>6</v>
      </c>
      <c r="K34" s="775">
        <f t="shared" si="17"/>
        <v>6</v>
      </c>
      <c r="L34" s="775"/>
      <c r="M34" s="776">
        <f t="shared" si="18"/>
        <v>2100.4312500000001</v>
      </c>
      <c r="N34" s="776">
        <f t="shared" si="19"/>
        <v>1492.9312500000001</v>
      </c>
      <c r="O34" s="776">
        <f t="shared" si="20"/>
        <v>1849.33125</v>
      </c>
      <c r="P34" s="776">
        <f t="shared" si="21"/>
        <v>1849.33125</v>
      </c>
      <c r="Q34" s="772"/>
      <c r="W34" s="710" t="s">
        <v>484</v>
      </c>
      <c r="X34" s="710">
        <v>265.57</v>
      </c>
      <c r="Y34" s="710">
        <v>8.3699999999999992</v>
      </c>
      <c r="Z34" s="710">
        <v>0</v>
      </c>
      <c r="AA34" s="710">
        <v>10</v>
      </c>
      <c r="AB34" s="710">
        <f t="shared" si="22"/>
        <v>1</v>
      </c>
      <c r="AC34" s="710">
        <f t="shared" si="23"/>
        <v>0</v>
      </c>
    </row>
    <row r="35" spans="1:29" ht="19.95" customHeight="1">
      <c r="A35" s="710">
        <f>_xlfn.AGGREGATE(2,5,$B$10:B35)</f>
        <v>2</v>
      </c>
      <c r="C35" s="771" cm="1">
        <f t="array" aca="1" ref="C35" ca="1">IF(ISTEXT(INDIRECT(ADDRESS(ROW()-1,COLUMN(),1,1))),INDIRECT(ADDRESS(ROW()-2,COLUMN(),1,1))+1,INDIRECT(ADDRESS(ROW()-1,COLUMN(),1,1))+1)</f>
        <v>25</v>
      </c>
      <c r="D35" s="771">
        <v>12</v>
      </c>
      <c r="E35" s="778">
        <v>992.87</v>
      </c>
      <c r="F35" s="777">
        <f t="shared" si="15"/>
        <v>92.470000000000027</v>
      </c>
      <c r="G35" s="775">
        <v>33.61</v>
      </c>
      <c r="H35" s="775">
        <f t="shared" si="16"/>
        <v>15.129999999999999</v>
      </c>
      <c r="I35" s="775">
        <v>18.48</v>
      </c>
      <c r="J35" s="775">
        <v>6</v>
      </c>
      <c r="K35" s="775">
        <f t="shared" si="17"/>
        <v>6</v>
      </c>
      <c r="L35" s="775"/>
      <c r="M35" s="776">
        <f t="shared" si="18"/>
        <v>1899.7961500000008</v>
      </c>
      <c r="N35" s="776">
        <f t="shared" si="19"/>
        <v>1344.9761500000004</v>
      </c>
      <c r="O35" s="776">
        <f t="shared" si="20"/>
        <v>1752.7688500000004</v>
      </c>
      <c r="P35" s="776">
        <f t="shared" si="21"/>
        <v>1752.7688500000004</v>
      </c>
      <c r="Q35" s="772"/>
      <c r="W35" s="710" t="s">
        <v>485</v>
      </c>
      <c r="X35" s="710">
        <v>271.33</v>
      </c>
      <c r="Y35" s="710">
        <v>8.9600000000000009</v>
      </c>
      <c r="Z35" s="710">
        <v>0</v>
      </c>
      <c r="AA35" s="710">
        <v>10</v>
      </c>
      <c r="AB35" s="710">
        <f t="shared" si="22"/>
        <v>1</v>
      </c>
      <c r="AC35" s="710">
        <f t="shared" si="23"/>
        <v>0</v>
      </c>
    </row>
    <row r="36" spans="1:29" ht="19.95" customHeight="1">
      <c r="A36" s="710">
        <f>_xlfn.AGGREGATE(2,5,$B$10:B36)</f>
        <v>2</v>
      </c>
      <c r="C36" s="771" cm="1">
        <f t="array" aca="1" ref="C36" ca="1">IF(ISTEXT(INDIRECT(ADDRESS(ROW()-1,COLUMN(),1,1))),INDIRECT(ADDRESS(ROW()-2,COLUMN(),1,1))+1,INDIRECT(ADDRESS(ROW()-1,COLUMN(),1,1))+1)</f>
        <v>26</v>
      </c>
      <c r="D36" s="771">
        <v>13</v>
      </c>
      <c r="E36" s="778">
        <v>1083.76</v>
      </c>
      <c r="F36" s="777">
        <f t="shared" si="15"/>
        <v>90.889999999999986</v>
      </c>
      <c r="G36" s="775">
        <v>32.880000000000003</v>
      </c>
      <c r="H36" s="775">
        <f t="shared" si="16"/>
        <v>13.530000000000001</v>
      </c>
      <c r="I36" s="775">
        <v>19.350000000000001</v>
      </c>
      <c r="J36" s="775">
        <v>6</v>
      </c>
      <c r="K36" s="775">
        <f t="shared" si="17"/>
        <v>6</v>
      </c>
      <c r="L36" s="775"/>
      <c r="M36" s="776">
        <f t="shared" si="18"/>
        <v>1847.7936999999995</v>
      </c>
      <c r="N36" s="776">
        <f t="shared" si="19"/>
        <v>1302.4536999999998</v>
      </c>
      <c r="O36" s="776">
        <f t="shared" si="20"/>
        <v>1719.1843499999998</v>
      </c>
      <c r="P36" s="776">
        <f t="shared" si="21"/>
        <v>1719.1843499999998</v>
      </c>
      <c r="Q36" s="772"/>
      <c r="W36" s="710" t="s">
        <v>486</v>
      </c>
      <c r="X36" s="710">
        <v>286.32</v>
      </c>
      <c r="Y36" s="710">
        <v>3.71</v>
      </c>
      <c r="Z36" s="710">
        <v>5.46</v>
      </c>
      <c r="AA36" s="710">
        <v>11</v>
      </c>
      <c r="AB36" s="710">
        <f t="shared" si="22"/>
        <v>1</v>
      </c>
      <c r="AC36" s="710">
        <f t="shared" si="23"/>
        <v>1</v>
      </c>
    </row>
    <row r="37" spans="1:29" ht="19.95" customHeight="1">
      <c r="A37" s="710">
        <f>_xlfn.AGGREGATE(2,5,$B$10:B37)</f>
        <v>2</v>
      </c>
      <c r="C37" s="771" cm="1">
        <f t="array" aca="1" ref="C37" ca="1">IF(ISTEXT(INDIRECT(ADDRESS(ROW()-1,COLUMN(),1,1))),INDIRECT(ADDRESS(ROW()-2,COLUMN(),1,1))+1,INDIRECT(ADDRESS(ROW()-1,COLUMN(),1,1))+1)</f>
        <v>27</v>
      </c>
      <c r="D37" s="771">
        <v>14</v>
      </c>
      <c r="E37" s="778">
        <v>1169.27</v>
      </c>
      <c r="F37" s="777">
        <f t="shared" si="15"/>
        <v>85.509999999999991</v>
      </c>
      <c r="G37" s="775">
        <v>34.659999999999997</v>
      </c>
      <c r="H37" s="775">
        <f t="shared" si="16"/>
        <v>18.619999999999997</v>
      </c>
      <c r="I37" s="775">
        <v>16.04</v>
      </c>
      <c r="J37" s="775">
        <v>6</v>
      </c>
      <c r="K37" s="775">
        <f t="shared" si="17"/>
        <v>6</v>
      </c>
      <c r="L37" s="775"/>
      <c r="M37" s="776">
        <f t="shared" si="18"/>
        <v>1887.6332499999996</v>
      </c>
      <c r="N37" s="776">
        <f t="shared" si="19"/>
        <v>1374.5732499999997</v>
      </c>
      <c r="O37" s="776">
        <f t="shared" si="20"/>
        <v>1513.0994499999999</v>
      </c>
      <c r="P37" s="776">
        <f t="shared" si="21"/>
        <v>1513.0994499999999</v>
      </c>
      <c r="Q37" s="772"/>
      <c r="W37" s="710" t="s">
        <v>487</v>
      </c>
      <c r="X37" s="710">
        <v>287.43</v>
      </c>
      <c r="Y37" s="710">
        <v>3.71</v>
      </c>
      <c r="Z37" s="710">
        <v>5.47</v>
      </c>
      <c r="AA37" s="710">
        <v>11</v>
      </c>
      <c r="AB37" s="710">
        <f t="shared" si="22"/>
        <v>1</v>
      </c>
      <c r="AC37" s="710">
        <f t="shared" si="23"/>
        <v>1</v>
      </c>
    </row>
    <row r="38" spans="1:29" ht="19.95" customHeight="1">
      <c r="A38" s="710">
        <f>_xlfn.AGGREGATE(2,5,$B$10:B38)</f>
        <v>2</v>
      </c>
      <c r="C38" s="771" cm="1">
        <f t="array" aca="1" ref="C38" ca="1">IF(ISTEXT(INDIRECT(ADDRESS(ROW()-1,COLUMN(),1,1))),INDIRECT(ADDRESS(ROW()-2,COLUMN(),1,1))+1,INDIRECT(ADDRESS(ROW()-1,COLUMN(),1,1))+1)</f>
        <v>28</v>
      </c>
      <c r="D38" s="771">
        <v>15</v>
      </c>
      <c r="E38" s="778">
        <v>1209.07</v>
      </c>
      <c r="F38" s="777">
        <f t="shared" si="15"/>
        <v>39.799999999999955</v>
      </c>
      <c r="G38" s="775">
        <v>36.299999999999997</v>
      </c>
      <c r="H38" s="775">
        <f t="shared" si="16"/>
        <v>19.399999999999999</v>
      </c>
      <c r="I38" s="775">
        <v>16.899999999999999</v>
      </c>
      <c r="J38" s="775">
        <v>6</v>
      </c>
      <c r="K38" s="775">
        <f t="shared" si="17"/>
        <v>6</v>
      </c>
      <c r="L38" s="775"/>
      <c r="M38" s="776">
        <f t="shared" si="18"/>
        <v>995.39799999999877</v>
      </c>
      <c r="N38" s="776">
        <f t="shared" si="19"/>
        <v>756.59799999999905</v>
      </c>
      <c r="O38" s="776">
        <f t="shared" si="20"/>
        <v>655.50599999999918</v>
      </c>
      <c r="P38" s="776">
        <f t="shared" si="21"/>
        <v>655.50599999999918</v>
      </c>
      <c r="Q38" s="772"/>
      <c r="W38" s="710" t="s">
        <v>488</v>
      </c>
      <c r="X38" s="710">
        <v>300</v>
      </c>
      <c r="Y38" s="710">
        <v>1.36</v>
      </c>
      <c r="Z38" s="710">
        <v>5.21</v>
      </c>
      <c r="AA38" s="710">
        <v>11</v>
      </c>
      <c r="AB38" s="710">
        <f t="shared" si="22"/>
        <v>1</v>
      </c>
      <c r="AC38" s="710">
        <f t="shared" si="23"/>
        <v>1</v>
      </c>
    </row>
    <row r="39" spans="1:29" ht="19.95" customHeight="1">
      <c r="A39" s="710">
        <f>_xlfn.AGGREGATE(2,5,$B$10:B39)</f>
        <v>2</v>
      </c>
      <c r="C39" s="771" cm="1">
        <f t="array" aca="1" ref="C39" ca="1">IF(ISTEXT(INDIRECT(ADDRESS(ROW()-1,COLUMN(),1,1))),INDIRECT(ADDRESS(ROW()-2,COLUMN(),1,1))+1,INDIRECT(ADDRESS(ROW()-1,COLUMN(),1,1))+1)</f>
        <v>29</v>
      </c>
      <c r="D39" s="771">
        <v>16</v>
      </c>
      <c r="E39" s="778">
        <v>1309.29</v>
      </c>
      <c r="F39" s="777">
        <f t="shared" si="15"/>
        <v>100.22000000000003</v>
      </c>
      <c r="G39" s="775">
        <v>31.44</v>
      </c>
      <c r="H39" s="775">
        <f t="shared" si="16"/>
        <v>8.0300000000000011</v>
      </c>
      <c r="I39" s="775">
        <v>23.41</v>
      </c>
      <c r="J39" s="775">
        <v>6</v>
      </c>
      <c r="K39" s="775">
        <f t="shared" si="17"/>
        <v>6</v>
      </c>
      <c r="L39" s="775"/>
      <c r="M39" s="776">
        <f t="shared" si="18"/>
        <v>1975.8373000000006</v>
      </c>
      <c r="N39" s="776">
        <f t="shared" si="19"/>
        <v>1374.5173000000004</v>
      </c>
      <c r="O39" s="776">
        <f t="shared" si="20"/>
        <v>2019.9341000000006</v>
      </c>
      <c r="P39" s="776">
        <f t="shared" si="21"/>
        <v>2019.9341000000006</v>
      </c>
      <c r="Q39" s="772"/>
      <c r="W39" s="710" t="s">
        <v>489</v>
      </c>
      <c r="X39" s="710">
        <v>307.73</v>
      </c>
      <c r="Y39" s="710">
        <v>1.23</v>
      </c>
      <c r="Z39" s="710">
        <v>5.14</v>
      </c>
      <c r="AA39" s="710">
        <v>11</v>
      </c>
      <c r="AB39" s="710">
        <f t="shared" si="22"/>
        <v>1</v>
      </c>
      <c r="AC39" s="710">
        <f t="shared" si="23"/>
        <v>1</v>
      </c>
    </row>
    <row r="40" spans="1:29" ht="19.95" customHeight="1">
      <c r="A40" s="710">
        <f>_xlfn.AGGREGATE(2,5,$B$10:B40)</f>
        <v>2</v>
      </c>
      <c r="C40" s="771" cm="1">
        <f t="array" aca="1" ref="C40" ca="1">IF(ISTEXT(INDIRECT(ADDRESS(ROW()-1,COLUMN(),1,1))),INDIRECT(ADDRESS(ROW()-2,COLUMN(),1,1))+1,INDIRECT(ADDRESS(ROW()-1,COLUMN(),1,1))+1)</f>
        <v>30</v>
      </c>
      <c r="D40" s="771">
        <v>17</v>
      </c>
      <c r="E40" s="778">
        <v>1405.99</v>
      </c>
      <c r="F40" s="777">
        <f t="shared" si="15"/>
        <v>96.700000000000045</v>
      </c>
      <c r="G40" s="775">
        <v>32.94</v>
      </c>
      <c r="H40" s="775">
        <f t="shared" si="16"/>
        <v>9.5599999999999987</v>
      </c>
      <c r="I40" s="775">
        <v>23.38</v>
      </c>
      <c r="J40" s="775">
        <v>6</v>
      </c>
      <c r="K40" s="775">
        <f t="shared" si="17"/>
        <v>6</v>
      </c>
      <c r="L40" s="775"/>
      <c r="M40" s="776">
        <f t="shared" si="18"/>
        <v>1430.6765000000007</v>
      </c>
      <c r="N40" s="776">
        <f t="shared" si="19"/>
        <v>850.47650000000044</v>
      </c>
      <c r="O40" s="776">
        <f t="shared" si="20"/>
        <v>2262.2965000000008</v>
      </c>
      <c r="P40" s="776">
        <f t="shared" si="21"/>
        <v>2262.2965000000008</v>
      </c>
      <c r="Q40" s="772"/>
      <c r="W40" s="710" t="s">
        <v>490</v>
      </c>
      <c r="X40" s="710">
        <v>328.11</v>
      </c>
      <c r="Y40" s="710">
        <v>3.44</v>
      </c>
      <c r="Z40" s="710">
        <v>3.14</v>
      </c>
      <c r="AA40" s="710">
        <v>11</v>
      </c>
      <c r="AB40" s="710">
        <f t="shared" si="22"/>
        <v>1</v>
      </c>
      <c r="AC40" s="710">
        <f t="shared" si="23"/>
        <v>1</v>
      </c>
    </row>
    <row r="41" spans="1:29" ht="19.95" customHeight="1">
      <c r="A41" s="710">
        <f>_xlfn.AGGREGATE(2,5,$B$10:B41)</f>
        <v>3</v>
      </c>
      <c r="B41" s="710">
        <v>1</v>
      </c>
      <c r="C41" s="771" cm="1">
        <f t="array" aca="1" ref="C41" ca="1">IF(ISTEXT(INDIRECT(ADDRESS(ROW()-1,COLUMN(),1,1))),INDIRECT(ADDRESS(ROW()-2,COLUMN(),1,1))+1,INDIRECT(ADDRESS(ROW()-1,COLUMN(),1,1))+1)</f>
        <v>31</v>
      </c>
      <c r="D41" s="771">
        <v>18</v>
      </c>
      <c r="E41" s="778">
        <v>1484.07</v>
      </c>
      <c r="F41" s="777">
        <f t="shared" si="15"/>
        <v>78.079999999999927</v>
      </c>
      <c r="G41" s="775">
        <v>35.78</v>
      </c>
      <c r="H41" s="775">
        <f t="shared" si="16"/>
        <v>3.4299999999999997</v>
      </c>
      <c r="I41" s="775">
        <v>32.35</v>
      </c>
      <c r="J41" s="775">
        <v>6</v>
      </c>
      <c r="K41" s="775">
        <f t="shared" si="17"/>
        <v>6</v>
      </c>
      <c r="L41" s="775"/>
      <c r="M41" s="776">
        <f t="shared" si="18"/>
        <v>975.60959999999898</v>
      </c>
      <c r="N41" s="776">
        <f t="shared" si="19"/>
        <v>507.12959999999947</v>
      </c>
      <c r="O41" s="776">
        <f t="shared" si="20"/>
        <v>2175.6991999999982</v>
      </c>
      <c r="P41" s="776">
        <f t="shared" si="21"/>
        <v>2175.6991999999982</v>
      </c>
      <c r="Q41" s="772"/>
      <c r="W41" s="710" t="s">
        <v>491</v>
      </c>
      <c r="X41" s="710">
        <v>352.04</v>
      </c>
      <c r="Y41" s="710">
        <v>3.44</v>
      </c>
      <c r="Z41" s="710">
        <v>2.91</v>
      </c>
      <c r="AA41" s="710">
        <v>11</v>
      </c>
      <c r="AB41" s="710">
        <f t="shared" si="22"/>
        <v>1</v>
      </c>
      <c r="AC41" s="710">
        <f t="shared" si="23"/>
        <v>1</v>
      </c>
    </row>
    <row r="42" spans="1:29" ht="19.95" customHeight="1">
      <c r="A42" s="710">
        <f>_xlfn.AGGREGATE(2,5,$B$10:B42)</f>
        <v>3</v>
      </c>
      <c r="C42" s="771" cm="1">
        <f t="array" aca="1" ref="C42" ca="1">IF(ISTEXT(INDIRECT(ADDRESS(ROW()-1,COLUMN(),1,1))),INDIRECT(ADDRESS(ROW()-2,COLUMN(),1,1))+1,INDIRECT(ADDRESS(ROW()-1,COLUMN(),1,1))+1)</f>
        <v>32</v>
      </c>
      <c r="D42" s="771">
        <v>19</v>
      </c>
      <c r="E42" s="778">
        <v>1544.71</v>
      </c>
      <c r="F42" s="777">
        <f t="shared" si="15"/>
        <v>60.6400000000001</v>
      </c>
      <c r="G42" s="775">
        <v>51.74</v>
      </c>
      <c r="H42" s="775">
        <f t="shared" si="16"/>
        <v>1.8400000000000034</v>
      </c>
      <c r="I42" s="775">
        <v>49.9</v>
      </c>
      <c r="J42" s="775">
        <v>6</v>
      </c>
      <c r="K42" s="775">
        <f t="shared" si="17"/>
        <v>6</v>
      </c>
      <c r="L42" s="775"/>
      <c r="M42" s="776">
        <f t="shared" si="18"/>
        <v>523.62640000000101</v>
      </c>
      <c r="N42" s="776">
        <f t="shared" si="19"/>
        <v>159.78640000000036</v>
      </c>
      <c r="O42" s="776">
        <f t="shared" si="20"/>
        <v>2493.8200000000043</v>
      </c>
      <c r="P42" s="776">
        <f t="shared" si="21"/>
        <v>2493.8200000000043</v>
      </c>
      <c r="Q42" s="772"/>
      <c r="W42" s="710" t="s">
        <v>492</v>
      </c>
      <c r="X42" s="710">
        <v>369.67</v>
      </c>
      <c r="Y42" s="710">
        <v>0</v>
      </c>
      <c r="Z42" s="710">
        <v>8.61</v>
      </c>
      <c r="AA42" s="710">
        <v>1</v>
      </c>
      <c r="AB42" s="710">
        <f t="shared" si="22"/>
        <v>0</v>
      </c>
      <c r="AC42" s="710">
        <f t="shared" si="23"/>
        <v>1</v>
      </c>
    </row>
    <row r="43" spans="1:29" ht="19.95" customHeight="1">
      <c r="A43" s="710">
        <f>_xlfn.AGGREGATE(2,5,$B$10:B43)</f>
        <v>3</v>
      </c>
      <c r="C43" s="771" cm="1">
        <f t="array" aca="1" ref="C43" ca="1">IF(ISTEXT(INDIRECT(ADDRESS(ROW()-1,COLUMN(),1,1))),INDIRECT(ADDRESS(ROW()-2,COLUMN(),1,1))+1,INDIRECT(ADDRESS(ROW()-1,COLUMN(),1,1))+1)</f>
        <v>33</v>
      </c>
      <c r="D43" s="771">
        <v>20</v>
      </c>
      <c r="E43" s="778">
        <v>1617.58</v>
      </c>
      <c r="F43" s="777">
        <f t="shared" si="15"/>
        <v>72.869999999999891</v>
      </c>
      <c r="G43" s="775">
        <v>46.42</v>
      </c>
      <c r="H43" s="775">
        <f t="shared" si="16"/>
        <v>2.7700000000000031</v>
      </c>
      <c r="I43" s="775">
        <v>43.65</v>
      </c>
      <c r="J43" s="775">
        <v>6</v>
      </c>
      <c r="K43" s="775">
        <f t="shared" si="17"/>
        <v>6</v>
      </c>
      <c r="L43" s="775"/>
      <c r="M43" s="776">
        <f t="shared" si="18"/>
        <v>605.18534999999929</v>
      </c>
      <c r="N43" s="776">
        <f t="shared" si="19"/>
        <v>167.96535</v>
      </c>
      <c r="O43" s="776">
        <f t="shared" si="20"/>
        <v>3408.4942499999947</v>
      </c>
      <c r="P43" s="776">
        <f t="shared" si="21"/>
        <v>3408.4942499999947</v>
      </c>
      <c r="Q43" s="772"/>
      <c r="W43" s="710" t="s">
        <v>493</v>
      </c>
      <c r="X43" s="710">
        <v>387.52</v>
      </c>
      <c r="Y43" s="710">
        <v>5.42</v>
      </c>
      <c r="Z43" s="710">
        <v>1.58</v>
      </c>
      <c r="AA43" s="710">
        <v>11</v>
      </c>
      <c r="AB43" s="710">
        <f t="shared" si="22"/>
        <v>1</v>
      </c>
      <c r="AC43" s="710">
        <f t="shared" si="23"/>
        <v>1</v>
      </c>
    </row>
    <row r="44" spans="1:29" ht="19.95" customHeight="1">
      <c r="A44" s="710">
        <f>_xlfn.AGGREGATE(2,5,$B$10:B44)</f>
        <v>3</v>
      </c>
      <c r="C44" s="771" cm="1">
        <f t="array" aca="1" ref="C44" ca="1">IF(ISTEXT(INDIRECT(ADDRESS(ROW()-1,COLUMN(),1,1))),INDIRECT(ADDRESS(ROW()-2,COLUMN(),1,1))+1,INDIRECT(ADDRESS(ROW()-1,COLUMN(),1,1))+1)</f>
        <v>34</v>
      </c>
      <c r="D44" s="771" t="s">
        <v>507</v>
      </c>
      <c r="E44" s="778">
        <v>1663.35</v>
      </c>
      <c r="F44" s="777">
        <f t="shared" si="15"/>
        <v>45.769999999999982</v>
      </c>
      <c r="G44" s="775">
        <v>46.42</v>
      </c>
      <c r="H44" s="775">
        <f t="shared" si="16"/>
        <v>2.7700000000000031</v>
      </c>
      <c r="I44" s="775">
        <v>43.65</v>
      </c>
      <c r="J44" s="775">
        <v>6</v>
      </c>
      <c r="K44" s="775">
        <f t="shared" si="17"/>
        <v>6</v>
      </c>
      <c r="L44" s="775"/>
      <c r="M44" s="776">
        <f t="shared" si="18"/>
        <v>401.40289999999999</v>
      </c>
      <c r="N44" s="776">
        <f t="shared" si="19"/>
        <v>126.7829000000001</v>
      </c>
      <c r="O44" s="776">
        <f t="shared" si="20"/>
        <v>1997.8604999999991</v>
      </c>
      <c r="P44" s="776">
        <f t="shared" si="21"/>
        <v>1997.8604999999991</v>
      </c>
      <c r="Q44" s="772"/>
      <c r="W44" s="710" t="s">
        <v>494</v>
      </c>
      <c r="X44" s="710">
        <v>403.01</v>
      </c>
      <c r="Y44" s="710">
        <v>12.94</v>
      </c>
      <c r="Z44" s="710">
        <v>1.82</v>
      </c>
      <c r="AA44" s="710">
        <v>10</v>
      </c>
      <c r="AB44" s="710">
        <f t="shared" si="22"/>
        <v>1</v>
      </c>
      <c r="AC44" s="710">
        <f t="shared" si="23"/>
        <v>0</v>
      </c>
    </row>
    <row r="45" spans="1:29" ht="19.95" customHeight="1">
      <c r="A45" s="710">
        <f>_xlfn.AGGREGATE(2,5,$B$10:B45)</f>
        <v>3</v>
      </c>
      <c r="C45" s="763" t="s">
        <v>3</v>
      </c>
      <c r="D45" s="764" t="s">
        <v>546</v>
      </c>
      <c r="E45" s="765"/>
      <c r="F45" s="766"/>
      <c r="G45" s="767"/>
      <c r="H45" s="767"/>
      <c r="I45" s="794"/>
      <c r="J45" s="768"/>
      <c r="K45" s="768"/>
      <c r="L45" s="768"/>
      <c r="M45" s="769">
        <f>9382.05-O45</f>
        <v>1187</v>
      </c>
      <c r="N45" s="769">
        <f>8498.76-P45</f>
        <v>667.05000000000018</v>
      </c>
      <c r="O45" s="769">
        <f>363.34+P45</f>
        <v>8195.0499999999993</v>
      </c>
      <c r="P45" s="769">
        <v>7831.71</v>
      </c>
      <c r="Q45" s="770"/>
      <c r="R45" s="719"/>
      <c r="S45" s="719"/>
      <c r="W45" s="710" t="s">
        <v>495</v>
      </c>
      <c r="X45" s="710">
        <v>407.14</v>
      </c>
      <c r="Y45" s="710">
        <v>13.9</v>
      </c>
      <c r="Z45" s="710">
        <v>1.82</v>
      </c>
      <c r="AA45" s="710">
        <v>10</v>
      </c>
      <c r="AB45" s="710">
        <f t="shared" si="22"/>
        <v>1</v>
      </c>
      <c r="AC45" s="710">
        <f t="shared" si="23"/>
        <v>0</v>
      </c>
    </row>
    <row r="46" spans="1:29" s="726" customFormat="1" ht="19.95" hidden="1" customHeight="1">
      <c r="C46" s="779"/>
      <c r="D46" s="785"/>
      <c r="E46" s="786"/>
      <c r="F46" s="780"/>
      <c r="G46" s="781"/>
      <c r="H46" s="782"/>
      <c r="I46" s="782"/>
      <c r="J46" s="782"/>
      <c r="K46" s="782"/>
      <c r="L46" s="782"/>
      <c r="M46" s="783"/>
      <c r="N46" s="783"/>
      <c r="O46" s="783"/>
      <c r="P46" s="783"/>
      <c r="Q46" s="784"/>
      <c r="R46" s="727"/>
      <c r="S46" s="727"/>
    </row>
    <row r="47" spans="1:29" ht="19.95" customHeight="1">
      <c r="A47" s="710">
        <f>_xlfn.AGGREGATE(2,5,$B$10:B47)</f>
        <v>4</v>
      </c>
      <c r="B47" s="710">
        <v>1</v>
      </c>
      <c r="C47" s="787" t="s">
        <v>11</v>
      </c>
      <c r="D47" s="787" t="s">
        <v>79</v>
      </c>
      <c r="E47" s="788"/>
      <c r="F47" s="789"/>
      <c r="G47" s="790"/>
      <c r="H47" s="791"/>
      <c r="I47" s="791"/>
      <c r="J47" s="791"/>
      <c r="K47" s="791"/>
      <c r="L47" s="791"/>
      <c r="M47" s="792">
        <f>M45+M22+M9</f>
        <v>38450.843950000002</v>
      </c>
      <c r="N47" s="792">
        <f t="shared" ref="N47:P47" si="25">N45+N22+N9</f>
        <v>25085.913949999998</v>
      </c>
      <c r="O47" s="792">
        <f t="shared" si="25"/>
        <v>67346.999249999993</v>
      </c>
      <c r="P47" s="792">
        <f t="shared" si="25"/>
        <v>66626.599249999999</v>
      </c>
      <c r="Q47" s="793"/>
      <c r="S47" s="722"/>
      <c r="T47" s="723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8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6" customFormat="1">
      <c r="A17" s="430" t="s">
        <v>1</v>
      </c>
      <c r="B17" s="796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9"/>
      <c r="I17" s="730"/>
      <c r="J17" s="731"/>
      <c r="K17" s="731"/>
      <c r="L17" s="730"/>
      <c r="M17" s="732"/>
      <c r="N17" s="733" t="e">
        <f>#REF!/(0.2*3)</f>
        <v>#REF!</v>
      </c>
      <c r="O17" s="734" t="s">
        <v>511</v>
      </c>
      <c r="P17" s="735" t="s">
        <v>512</v>
      </c>
      <c r="Q17" s="735" t="s">
        <v>438</v>
      </c>
      <c r="R17" s="736" t="s">
        <v>513</v>
      </c>
      <c r="S17" s="736" t="s">
        <v>514</v>
      </c>
      <c r="T17" s="736" t="s">
        <v>173</v>
      </c>
    </row>
    <row r="18" spans="1:21" s="697" customFormat="1">
      <c r="A18" s="797" t="s">
        <v>442</v>
      </c>
      <c r="B18" s="798" t="s">
        <v>445</v>
      </c>
      <c r="C18" s="799">
        <f>'PL01'!M47</f>
        <v>38450.843950000002</v>
      </c>
      <c r="D18" s="800">
        <f>ROUND(C18/10^4,2)</f>
        <v>3.85</v>
      </c>
      <c r="E18" s="799">
        <f>ROUND(4*100/10^4,2)</f>
        <v>0.04</v>
      </c>
      <c r="F18" s="799">
        <f>D18-E18</f>
        <v>3.81</v>
      </c>
      <c r="G18" s="801"/>
      <c r="H18" s="737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7" t="s">
        <v>442</v>
      </c>
      <c r="B19" s="798" t="s">
        <v>446</v>
      </c>
      <c r="C19" s="799">
        <f>'PL01'!N47</f>
        <v>25085.913949999998</v>
      </c>
      <c r="D19" s="800">
        <f>ROUND(C19/10^4,2)</f>
        <v>2.5099999999999998</v>
      </c>
      <c r="E19" s="799">
        <f>ROUND(400/10^4,2)</f>
        <v>0.04</v>
      </c>
      <c r="F19" s="799">
        <f>D19-E19</f>
        <v>2.4699999999999998</v>
      </c>
      <c r="G19" s="801"/>
      <c r="H19" s="737"/>
      <c r="I19" s="695"/>
      <c r="J19" s="696"/>
      <c r="K19" s="696"/>
      <c r="L19" s="695"/>
      <c r="M19" s="701"/>
      <c r="P19" s="700"/>
      <c r="Q19" s="700"/>
    </row>
    <row r="20" spans="1:21" s="736" customFormat="1">
      <c r="A20" s="430" t="s">
        <v>2</v>
      </c>
      <c r="B20" s="796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9"/>
      <c r="I20" s="730"/>
      <c r="J20" s="731"/>
      <c r="K20" s="731"/>
      <c r="L20" s="730"/>
      <c r="M20" s="732"/>
      <c r="N20" s="733" t="e">
        <f>#REF!/(0.2*3)</f>
        <v>#REF!</v>
      </c>
      <c r="O20" s="735"/>
      <c r="P20" s="735"/>
      <c r="Q20" s="735"/>
    </row>
    <row r="21" spans="1:21" s="697" customFormat="1">
      <c r="A21" s="797" t="s">
        <v>442</v>
      </c>
      <c r="B21" s="798" t="s">
        <v>449</v>
      </c>
      <c r="C21" s="799">
        <f>'PL01'!O47</f>
        <v>67346.999249999993</v>
      </c>
      <c r="D21" s="800">
        <f t="shared" ref="D21:D22" si="0">ROUND(C21/10^4,2)</f>
        <v>6.73</v>
      </c>
      <c r="E21" s="799">
        <f>ROUND(2*400/10^4,2)</f>
        <v>0.08</v>
      </c>
      <c r="F21" s="799">
        <f>D21-E21</f>
        <v>6.65</v>
      </c>
      <c r="G21" s="801"/>
      <c r="H21" s="737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7" t="s">
        <v>442</v>
      </c>
      <c r="B22" s="798" t="s">
        <v>450</v>
      </c>
      <c r="C22" s="799">
        <f>'PL01'!P47</f>
        <v>66626.599249999999</v>
      </c>
      <c r="D22" s="800">
        <f t="shared" si="0"/>
        <v>6.66</v>
      </c>
      <c r="E22" s="799">
        <f>E21</f>
        <v>0.08</v>
      </c>
      <c r="F22" s="799">
        <f>D22-E22</f>
        <v>6.58</v>
      </c>
      <c r="G22" s="801"/>
      <c r="H22" s="737"/>
      <c r="I22" s="695"/>
      <c r="J22" s="696"/>
      <c r="K22" s="696"/>
      <c r="L22" s="695"/>
      <c r="M22" s="701"/>
      <c r="P22" s="700"/>
      <c r="Q22" s="700"/>
    </row>
    <row r="23" spans="1:21" s="738" customFormat="1">
      <c r="A23" s="802" t="s">
        <v>3</v>
      </c>
      <c r="B23" s="803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9"/>
      <c r="K23" s="739"/>
      <c r="M23" s="740"/>
      <c r="P23" s="741"/>
      <c r="Q23" s="741"/>
    </row>
    <row r="24" spans="1:21" s="692" customFormat="1">
      <c r="A24" s="104"/>
      <c r="B24" s="804" t="s">
        <v>447</v>
      </c>
      <c r="C24" s="804"/>
      <c r="D24" s="504"/>
      <c r="E24" s="805"/>
      <c r="F24" s="805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704"/>
      <c r="J25" s="705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6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7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8"/>
      <c r="J30" s="707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7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7" t="s">
        <v>121</v>
      </c>
      <c r="B2" s="807"/>
      <c r="C2" s="807"/>
      <c r="D2" s="807"/>
      <c r="E2" s="807"/>
      <c r="F2" s="807"/>
    </row>
    <row r="3" spans="1:10" s="630" customFormat="1" ht="48" customHeight="1">
      <c r="A3" s="808" t="str">
        <f>'PL01'!C2</f>
        <v>Dự án: Cải tạo, nâng cấp  trạm bơm Trà Phương 3 tiêu thoát nước cho vùng các khu công nghiệp huyện Kim Động, Ân Thi, Yên Mỹ tỉnh Hưng Yên</v>
      </c>
      <c r="B3" s="809"/>
      <c r="C3" s="809"/>
      <c r="D3" s="809"/>
      <c r="E3" s="809"/>
      <c r="F3" s="809"/>
      <c r="H3" s="631"/>
    </row>
    <row r="4" spans="1:10" s="632" customFormat="1" ht="16.8" customHeight="1">
      <c r="A4" s="808" t="str">
        <f>'PL01'!C3</f>
        <v>Hạng mục: Rà phá bom mìn, vật nổ</v>
      </c>
      <c r="B4" s="809"/>
      <c r="C4" s="809"/>
      <c r="D4" s="809"/>
      <c r="E4" s="809"/>
      <c r="F4" s="809"/>
    </row>
    <row r="5" spans="1:10" s="630" customFormat="1" ht="22.8" customHeight="1">
      <c r="A5" s="808" t="str">
        <f>'PL01'!C4</f>
        <v>Địa điểm: Xã Hồng Quang, tỉnh Hưng Yên</v>
      </c>
      <c r="B5" s="809"/>
      <c r="C5" s="809"/>
      <c r="D5" s="809"/>
      <c r="E5" s="809"/>
      <c r="F5" s="809"/>
    </row>
    <row r="6" spans="1:10" s="632" customFormat="1" ht="21" hidden="1" customHeight="1">
      <c r="A6" s="806" t="s">
        <v>240</v>
      </c>
      <c r="B6" s="806"/>
      <c r="C6" s="806"/>
      <c r="D6" s="806"/>
      <c r="E6" s="806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8" customFormat="1" ht="22.95" customHeight="1">
      <c r="A15" s="639" t="s">
        <v>3</v>
      </c>
      <c r="B15" s="640" t="s">
        <v>522</v>
      </c>
      <c r="C15" s="742" t="s">
        <v>523</v>
      </c>
      <c r="D15" s="743">
        <v>5.5</v>
      </c>
      <c r="E15" s="744">
        <f>$D15%*(E13+E14)</f>
        <v>52058432.511074491</v>
      </c>
      <c r="F15" s="745"/>
      <c r="G15" s="746" t="s">
        <v>524</v>
      </c>
      <c r="H15" s="747"/>
      <c r="I15" s="747"/>
      <c r="J15" s="748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4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2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4">
        <f t="shared" ref="E25" si="0">8%*(E24-E21-E20)</f>
        <v>87685373.211352289</v>
      </c>
      <c r="F25" s="749"/>
      <c r="G25" s="750"/>
      <c r="H25" s="751"/>
      <c r="I25" s="751"/>
      <c r="J25" s="751"/>
    </row>
    <row r="26" spans="1:12" s="752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4">
        <f t="shared" ref="E26" si="1">E24+E25</f>
        <v>1198731169.1621242</v>
      </c>
      <c r="F26" s="749"/>
      <c r="G26" s="750"/>
      <c r="H26" s="751"/>
      <c r="I26" s="751"/>
      <c r="J26" s="751"/>
    </row>
    <row r="27" spans="1:12" ht="22.95" customHeight="1">
      <c r="A27" s="639"/>
      <c r="B27" s="639" t="s">
        <v>52</v>
      </c>
      <c r="C27" s="639"/>
      <c r="D27" s="641"/>
      <c r="E27" s="744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2" t="s">
        <v>545</v>
      </c>
      <c r="B28" s="812"/>
      <c r="C28" s="812"/>
      <c r="D28" s="812"/>
      <c r="E28" s="812"/>
      <c r="F28" s="812"/>
      <c r="G28" s="813"/>
      <c r="H28" s="813"/>
      <c r="I28" s="813"/>
      <c r="J28" s="813"/>
      <c r="K28" s="813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4" t="s">
        <v>179</v>
      </c>
      <c r="B30" s="814"/>
      <c r="C30" s="424"/>
      <c r="D30" s="814" t="s">
        <v>123</v>
      </c>
      <c r="E30" s="814"/>
      <c r="F30" s="814"/>
    </row>
    <row r="31" spans="1:12" ht="16.95" customHeight="1">
      <c r="A31" s="814"/>
      <c r="B31" s="814"/>
      <c r="C31" s="424"/>
      <c r="D31" s="814" t="s">
        <v>551</v>
      </c>
      <c r="E31" s="814"/>
      <c r="F31" s="814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4" t="s">
        <v>552</v>
      </c>
      <c r="E35" s="814"/>
      <c r="F35" s="814"/>
    </row>
    <row r="36" spans="1:6" ht="18">
      <c r="A36" s="810"/>
      <c r="B36" s="810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1"/>
      <c r="B39" s="811"/>
      <c r="C39" s="811"/>
      <c r="D39" s="811"/>
      <c r="E39" s="811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9" t="s">
        <v>351</v>
      </c>
      <c r="B1" s="859"/>
      <c r="C1" s="859"/>
      <c r="D1" s="859"/>
      <c r="E1" s="859"/>
      <c r="F1" s="859"/>
      <c r="G1" s="859"/>
      <c r="H1" s="859"/>
      <c r="I1" s="859"/>
      <c r="J1" s="859"/>
      <c r="K1" s="859"/>
      <c r="L1" s="23"/>
      <c r="M1" s="23"/>
      <c r="N1" s="23"/>
      <c r="O1" s="23"/>
    </row>
    <row r="2" spans="1:22" ht="24" customHeight="1">
      <c r="A2" s="859" t="s">
        <v>112</v>
      </c>
      <c r="B2" s="859"/>
      <c r="C2" s="859"/>
      <c r="D2" s="859"/>
      <c r="E2" s="859"/>
      <c r="F2" s="859"/>
      <c r="G2" s="859"/>
      <c r="H2" s="859"/>
      <c r="I2" s="859"/>
      <c r="J2" s="859"/>
      <c r="K2" s="859"/>
      <c r="L2" s="23"/>
      <c r="M2" s="23"/>
      <c r="N2" s="23"/>
      <c r="O2" s="23"/>
      <c r="Q2" s="860"/>
      <c r="R2" s="860"/>
      <c r="S2" s="860"/>
      <c r="T2" s="860"/>
    </row>
    <row r="3" spans="1:22" ht="24" hidden="1" customHeight="1">
      <c r="A3" s="858" t="e">
        <f>#REF!</f>
        <v>#REF!</v>
      </c>
      <c r="B3" s="858"/>
      <c r="C3" s="858"/>
      <c r="D3" s="858"/>
      <c r="E3" s="858"/>
      <c r="F3" s="858"/>
      <c r="G3" s="858"/>
      <c r="H3" s="858"/>
      <c r="I3" s="858"/>
      <c r="J3" s="858"/>
      <c r="K3" s="858"/>
      <c r="L3" s="23"/>
      <c r="M3" s="23"/>
      <c r="N3" s="23"/>
      <c r="O3" s="23"/>
    </row>
    <row r="4" spans="1:22" s="2" customFormat="1" ht="27" customHeight="1">
      <c r="A4" s="861">
        <v>0</v>
      </c>
      <c r="B4" s="861"/>
      <c r="C4" s="861"/>
      <c r="D4" s="861"/>
      <c r="E4" s="861"/>
      <c r="F4" s="861"/>
      <c r="G4" s="861"/>
      <c r="H4" s="861"/>
      <c r="I4" s="861"/>
      <c r="J4" s="861"/>
      <c r="K4" s="861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8" t="s">
        <v>195</v>
      </c>
      <c r="B5" s="858"/>
      <c r="C5" s="858"/>
      <c r="D5" s="858"/>
      <c r="E5" s="858"/>
      <c r="F5" s="858"/>
      <c r="G5" s="858"/>
      <c r="H5" s="858"/>
      <c r="I5" s="858"/>
      <c r="J5" s="858"/>
      <c r="K5" s="858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1" t="str">
        <f>'THKP-TC'!A5</f>
        <v>Địa điểm: Xã Hồng Quang, tỉnh Hưng Yên</v>
      </c>
      <c r="B6" s="858"/>
      <c r="C6" s="858"/>
      <c r="D6" s="858"/>
      <c r="E6" s="858"/>
      <c r="F6" s="858"/>
      <c r="G6" s="858"/>
      <c r="H6" s="858"/>
      <c r="I6" s="858"/>
      <c r="J6" s="858"/>
      <c r="K6" s="858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5"/>
      <c r="B7" s="865"/>
      <c r="C7" s="865"/>
      <c r="D7" s="865"/>
      <c r="E7" s="865"/>
      <c r="F7" s="865"/>
      <c r="G7" s="865"/>
      <c r="H7" s="865"/>
      <c r="I7" s="865"/>
      <c r="J7" s="865"/>
      <c r="K7" s="865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6" t="s">
        <v>0</v>
      </c>
      <c r="B9" s="866" t="s">
        <v>49</v>
      </c>
      <c r="C9" s="866" t="s">
        <v>53</v>
      </c>
      <c r="D9" s="866" t="s">
        <v>22</v>
      </c>
      <c r="E9" s="866" t="s">
        <v>164</v>
      </c>
      <c r="F9" s="862" t="s">
        <v>31</v>
      </c>
      <c r="G9" s="862"/>
      <c r="H9" s="862"/>
      <c r="I9" s="862" t="s">
        <v>45</v>
      </c>
      <c r="J9" s="862"/>
      <c r="K9" s="862"/>
      <c r="L9" s="862" t="s">
        <v>167</v>
      </c>
      <c r="M9" s="862"/>
      <c r="N9" s="862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7"/>
      <c r="B10" s="867"/>
      <c r="C10" s="867"/>
      <c r="D10" s="867"/>
      <c r="E10" s="867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3"/>
      <c r="D30" s="864"/>
      <c r="I30" s="206"/>
      <c r="J30" s="206"/>
      <c r="K30" s="206"/>
      <c r="P30" s="207"/>
    </row>
    <row r="31" spans="1:22">
      <c r="C31" s="863"/>
      <c r="D31" s="864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9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8" t="s">
        <v>18</v>
      </c>
      <c r="B17" s="868" t="s">
        <v>43</v>
      </c>
      <c r="C17" s="875" t="s">
        <v>42</v>
      </c>
      <c r="D17" s="875" t="s">
        <v>20</v>
      </c>
      <c r="E17" s="875" t="s">
        <v>80</v>
      </c>
      <c r="F17" s="875" t="s">
        <v>17</v>
      </c>
      <c r="G17" s="875"/>
      <c r="H17" s="875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8"/>
      <c r="B18" s="868"/>
      <c r="C18" s="875"/>
      <c r="D18" s="875"/>
      <c r="E18" s="875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8" t="s">
        <v>18</v>
      </c>
      <c r="B34" s="868" t="s">
        <v>43</v>
      </c>
      <c r="C34" s="875" t="s">
        <v>42</v>
      </c>
      <c r="D34" s="875" t="s">
        <v>20</v>
      </c>
      <c r="E34" s="875" t="s">
        <v>80</v>
      </c>
      <c r="F34" s="875" t="s">
        <v>17</v>
      </c>
      <c r="G34" s="875"/>
      <c r="H34" s="875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8"/>
      <c r="B35" s="868"/>
      <c r="C35" s="875"/>
      <c r="D35" s="875"/>
      <c r="E35" s="875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8" t="s">
        <v>18</v>
      </c>
      <c r="B51" s="868" t="s">
        <v>43</v>
      </c>
      <c r="C51" s="875" t="s">
        <v>42</v>
      </c>
      <c r="D51" s="875" t="s">
        <v>20</v>
      </c>
      <c r="E51" s="875" t="s">
        <v>80</v>
      </c>
      <c r="F51" s="875" t="s">
        <v>17</v>
      </c>
      <c r="G51" s="875"/>
      <c r="H51" s="875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8"/>
      <c r="B52" s="868"/>
      <c r="C52" s="875"/>
      <c r="D52" s="875"/>
      <c r="E52" s="875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8" t="s">
        <v>18</v>
      </c>
      <c r="B68" s="868" t="s">
        <v>43</v>
      </c>
      <c r="C68" s="875" t="s">
        <v>42</v>
      </c>
      <c r="D68" s="875" t="s">
        <v>20</v>
      </c>
      <c r="E68" s="875" t="s">
        <v>80</v>
      </c>
      <c r="F68" s="875" t="s">
        <v>17</v>
      </c>
      <c r="G68" s="875"/>
      <c r="H68" s="875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8"/>
      <c r="B69" s="868"/>
      <c r="C69" s="875"/>
      <c r="D69" s="875"/>
      <c r="E69" s="875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8" t="s">
        <v>18</v>
      </c>
      <c r="B82" s="868" t="s">
        <v>43</v>
      </c>
      <c r="C82" s="875" t="s">
        <v>42</v>
      </c>
      <c r="D82" s="875" t="s">
        <v>20</v>
      </c>
      <c r="E82" s="875" t="s">
        <v>80</v>
      </c>
      <c r="F82" s="875" t="s">
        <v>17</v>
      </c>
      <c r="G82" s="875"/>
      <c r="H82" s="875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8"/>
      <c r="B83" s="868"/>
      <c r="C83" s="875"/>
      <c r="D83" s="875"/>
      <c r="E83" s="875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8" t="s">
        <v>18</v>
      </c>
      <c r="B100" s="868" t="s">
        <v>43</v>
      </c>
      <c r="C100" s="875" t="s">
        <v>42</v>
      </c>
      <c r="D100" s="875" t="s">
        <v>20</v>
      </c>
      <c r="E100" s="875" t="s">
        <v>80</v>
      </c>
      <c r="F100" s="875" t="s">
        <v>17</v>
      </c>
      <c r="G100" s="875"/>
      <c r="H100" s="875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8"/>
      <c r="B101" s="868"/>
      <c r="C101" s="875"/>
      <c r="D101" s="875"/>
      <c r="E101" s="875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8" t="s">
        <v>18</v>
      </c>
      <c r="B116" s="868" t="s">
        <v>43</v>
      </c>
      <c r="C116" s="875" t="s">
        <v>42</v>
      </c>
      <c r="D116" s="875" t="s">
        <v>20</v>
      </c>
      <c r="E116" s="875" t="s">
        <v>80</v>
      </c>
      <c r="F116" s="875" t="s">
        <v>17</v>
      </c>
      <c r="G116" s="875"/>
      <c r="H116" s="875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8"/>
      <c r="B117" s="868"/>
      <c r="C117" s="875"/>
      <c r="D117" s="875"/>
      <c r="E117" s="875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6" t="s">
        <v>435</v>
      </c>
      <c r="B1" s="877"/>
      <c r="C1" s="877"/>
      <c r="D1" s="877"/>
      <c r="E1" s="877"/>
      <c r="F1" s="877"/>
      <c r="G1" s="877"/>
      <c r="H1" s="877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8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75" t="s">
        <v>17</v>
      </c>
      <c r="G5" s="875"/>
      <c r="H5" s="875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8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8"/>
      <c r="C13" s="878"/>
      <c r="D13" s="878"/>
      <c r="E13" s="878"/>
      <c r="F13" s="878"/>
      <c r="G13" s="878"/>
      <c r="H13" s="878"/>
    </row>
    <row r="14" spans="1:21" ht="19.5" customHeight="1">
      <c r="A14" s="878" t="str" cm="1">
        <f t="array" aca="1" ref="A14" ca="1">"Số hiệu định mức: 030.0100."&amp;INDIRECT(ADDRESS(ROW(L17),COLUMN(L17)+L17,1,1))</f>
        <v>Số hiệu định mức: 030.0100.1</v>
      </c>
      <c r="B14" s="878"/>
      <c r="C14" s="878"/>
      <c r="D14" s="878"/>
      <c r="E14" s="878"/>
      <c r="F14" s="878"/>
      <c r="G14" s="878"/>
      <c r="H14" s="878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9" t="s">
        <v>18</v>
      </c>
      <c r="B16" s="879" t="s">
        <v>43</v>
      </c>
      <c r="C16" s="880" t="s">
        <v>42</v>
      </c>
      <c r="D16" s="880" t="s">
        <v>22</v>
      </c>
      <c r="E16" s="880" t="s">
        <v>237</v>
      </c>
      <c r="F16" s="881" t="s">
        <v>45</v>
      </c>
      <c r="G16" s="881"/>
      <c r="H16" s="881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9"/>
      <c r="B17" s="879"/>
      <c r="C17" s="880"/>
      <c r="D17" s="880"/>
      <c r="E17" s="880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9" t="s">
        <v>268</v>
      </c>
      <c r="O34" s="709" t="s">
        <v>269</v>
      </c>
      <c r="P34" s="709" t="s">
        <v>270</v>
      </c>
      <c r="Q34" s="709" t="s">
        <v>259</v>
      </c>
    </row>
    <row r="35" spans="1:17" ht="13.5" customHeight="1">
      <c r="M35" s="101" t="s">
        <v>267</v>
      </c>
    </row>
    <row r="36" spans="1:17" ht="19.5" customHeight="1">
      <c r="A36" s="878" t="str">
        <f>"Dò tìm bom mìn, vật nổ dưới nước từ 0,5m - 3m cho 1 ha. Nước sâu "&amp;L57</f>
        <v>Dò tìm bom mìn, vật nổ dưới nước từ 0,5m - 3m cho 1 ha. Nước sâu 0,5 ÷ 12m</v>
      </c>
      <c r="B36" s="878"/>
      <c r="C36" s="878"/>
      <c r="D36" s="878"/>
      <c r="E36" s="878"/>
      <c r="F36" s="878"/>
      <c r="G36" s="878"/>
      <c r="H36" s="878"/>
    </row>
    <row r="37" spans="1:17" ht="19.5" customHeight="1">
      <c r="A37" s="878" t="str" cm="1">
        <f t="array" aca="1" ref="A37" ca="1">"Số hiệu định mức: 030.0200."&amp;INDIRECT(ADDRESS(ROW(L40),COLUMN(L40)+L40,1,1))</f>
        <v>Số hiệu định mức: 030.0200.1</v>
      </c>
      <c r="B37" s="878"/>
      <c r="C37" s="878"/>
      <c r="D37" s="878"/>
      <c r="E37" s="878"/>
      <c r="F37" s="878"/>
      <c r="G37" s="878"/>
      <c r="H37" s="878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9" t="s">
        <v>18</v>
      </c>
      <c r="B39" s="879" t="s">
        <v>43</v>
      </c>
      <c r="C39" s="880" t="s">
        <v>42</v>
      </c>
      <c r="D39" s="880" t="s">
        <v>22</v>
      </c>
      <c r="E39" s="880" t="s">
        <v>237</v>
      </c>
      <c r="F39" s="881" t="s">
        <v>45</v>
      </c>
      <c r="G39" s="881"/>
      <c r="H39" s="881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9"/>
      <c r="B40" s="879"/>
      <c r="C40" s="880"/>
      <c r="D40" s="880"/>
      <c r="E40" s="880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9" t="s">
        <v>268</v>
      </c>
      <c r="O57" s="709" t="s">
        <v>269</v>
      </c>
      <c r="P57" s="709" t="s">
        <v>270</v>
      </c>
      <c r="Q57" s="709" t="s">
        <v>259</v>
      </c>
    </row>
    <row r="58" spans="1:17" ht="39" customHeight="1">
      <c r="A58" s="882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2"/>
      <c r="C58" s="882"/>
      <c r="D58" s="882"/>
      <c r="E58" s="882"/>
      <c r="F58" s="882"/>
      <c r="G58" s="882"/>
      <c r="H58" s="882"/>
      <c r="M58" s="556" t="s">
        <v>267</v>
      </c>
    </row>
    <row r="59" spans="1:17" ht="19.5" customHeight="1">
      <c r="A59" s="878" t="str" cm="1">
        <f t="array" aca="1" ref="A59" ca="1">"Số hiệu định mức: 030.0300."&amp;INDIRECT(ADDRESS(ROW(L62),COLUMN(L62)+L62,1,1))</f>
        <v>Số hiệu định mức: 030.0300.1</v>
      </c>
      <c r="B59" s="878"/>
      <c r="C59" s="878"/>
      <c r="D59" s="878"/>
      <c r="E59" s="878"/>
      <c r="F59" s="878"/>
      <c r="G59" s="878"/>
      <c r="H59" s="878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9" t="s">
        <v>18</v>
      </c>
      <c r="B61" s="879" t="s">
        <v>43</v>
      </c>
      <c r="C61" s="880" t="s">
        <v>42</v>
      </c>
      <c r="D61" s="880" t="s">
        <v>22</v>
      </c>
      <c r="E61" s="880" t="s">
        <v>237</v>
      </c>
      <c r="F61" s="881" t="s">
        <v>45</v>
      </c>
      <c r="G61" s="881"/>
      <c r="H61" s="881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9"/>
      <c r="B62" s="879"/>
      <c r="C62" s="880"/>
      <c r="D62" s="880"/>
      <c r="E62" s="880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9" t="s">
        <v>272</v>
      </c>
      <c r="O74" s="709" t="s">
        <v>269</v>
      </c>
      <c r="P74" s="709" t="s">
        <v>270</v>
      </c>
      <c r="Q74" s="709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8" t="str">
        <f>"Lặn xử lý tín hiệu đến độ sâu 0,5m. Nước sâu "&amp;L88</f>
        <v>Lặn xử lý tín hiệu đến độ sâu 0,5m. Nước sâu 0,5 ÷ 12m</v>
      </c>
      <c r="B76" s="878"/>
      <c r="C76" s="878"/>
      <c r="D76" s="878"/>
      <c r="E76" s="878"/>
      <c r="F76" s="878"/>
      <c r="G76" s="878"/>
      <c r="H76" s="878"/>
    </row>
    <row r="77" spans="1:17" ht="19.5" customHeight="1">
      <c r="A77" s="878" t="str" cm="1">
        <f t="array" aca="1" ref="A77" ca="1">"Số hiệu định mức: 030.0400."&amp;INDIRECT(ADDRESS(ROW(L80),COLUMN(L80)+L80,1,1))</f>
        <v>Số hiệu định mức: 030.0400.1</v>
      </c>
      <c r="B77" s="878"/>
      <c r="C77" s="878"/>
      <c r="D77" s="878"/>
      <c r="E77" s="878"/>
      <c r="F77" s="878"/>
      <c r="G77" s="878"/>
      <c r="H77" s="878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9" t="s">
        <v>18</v>
      </c>
      <c r="B79" s="879" t="s">
        <v>43</v>
      </c>
      <c r="C79" s="880" t="s">
        <v>42</v>
      </c>
      <c r="D79" s="880" t="s">
        <v>22</v>
      </c>
      <c r="E79" s="880" t="s">
        <v>237</v>
      </c>
      <c r="F79" s="881" t="s">
        <v>17</v>
      </c>
      <c r="G79" s="881"/>
      <c r="H79" s="881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9"/>
      <c r="B80" s="879"/>
      <c r="C80" s="880"/>
      <c r="D80" s="880"/>
      <c r="E80" s="880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9" t="s">
        <v>269</v>
      </c>
      <c r="O88" s="709" t="s">
        <v>270</v>
      </c>
      <c r="P88" s="709" t="s">
        <v>259</v>
      </c>
      <c r="Q88" s="709"/>
    </row>
    <row r="89" spans="1:17" ht="19.5" customHeight="1">
      <c r="A89" s="878" t="str">
        <f>"Lặn xử lý tín hiệu nằm từ độ sâu 0,5m-1m. Nước sâu "&amp;L103</f>
        <v>Lặn xử lý tín hiệu nằm từ độ sâu 0,5m-1m. Nước sâu 0,5 ÷ 12m</v>
      </c>
      <c r="B89" s="878"/>
      <c r="C89" s="878"/>
      <c r="D89" s="878"/>
      <c r="E89" s="878"/>
      <c r="F89" s="878"/>
      <c r="G89" s="878"/>
      <c r="H89" s="878"/>
    </row>
    <row r="90" spans="1:17" ht="19.5" customHeight="1">
      <c r="A90" s="878" t="str" cm="1">
        <f t="array" aca="1" ref="A90" ca="1">"Số hiệu định mức: 030.0500."&amp;INDIRECT(ADDRESS(ROW(L93),COLUMN(L93)+L93,1,1))</f>
        <v>Số hiệu định mức: 030.0500.1</v>
      </c>
      <c r="B90" s="878"/>
      <c r="C90" s="878"/>
      <c r="D90" s="878"/>
      <c r="E90" s="878"/>
      <c r="F90" s="878"/>
      <c r="G90" s="878"/>
      <c r="H90" s="878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9" t="s">
        <v>18</v>
      </c>
      <c r="B92" s="879" t="s">
        <v>43</v>
      </c>
      <c r="C92" s="880" t="s">
        <v>42</v>
      </c>
      <c r="D92" s="880" t="s">
        <v>22</v>
      </c>
      <c r="E92" s="880" t="s">
        <v>237</v>
      </c>
      <c r="F92" s="881" t="s">
        <v>45</v>
      </c>
      <c r="G92" s="881"/>
      <c r="H92" s="881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9"/>
      <c r="B93" s="879"/>
      <c r="C93" s="880"/>
      <c r="D93" s="880"/>
      <c r="E93" s="880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9" t="s">
        <v>269</v>
      </c>
      <c r="O103" s="709" t="s">
        <v>270</v>
      </c>
      <c r="P103" s="709" t="s">
        <v>259</v>
      </c>
      <c r="Q103" s="709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8" t="str">
        <f>"Lặn xử lý tín hiệu nằm từ độ sâu 1m-3m. Nước sâu "&amp;L121</f>
        <v>Lặn xử lý tín hiệu nằm từ độ sâu 1m-3m. Nước sâu 0,5 ÷ 12m</v>
      </c>
      <c r="B106" s="878"/>
      <c r="C106" s="878"/>
      <c r="D106" s="878"/>
      <c r="E106" s="878"/>
      <c r="F106" s="878"/>
      <c r="G106" s="878"/>
      <c r="H106" s="878"/>
    </row>
    <row r="107" spans="1:17" ht="19.5" customHeight="1">
      <c r="A107" s="878" t="str" cm="1">
        <f t="array" aca="1" ref="A107" ca="1">"Số hiệu định mức: 030.0600."&amp;INDIRECT(ADDRESS(ROW(L110),COLUMN(L110)+L110,1,1))</f>
        <v>Số hiệu định mức: 030.0600.1</v>
      </c>
      <c r="B107" s="878"/>
      <c r="C107" s="878"/>
      <c r="D107" s="878"/>
      <c r="E107" s="878"/>
      <c r="F107" s="878"/>
      <c r="G107" s="878"/>
      <c r="H107" s="878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9" t="s">
        <v>18</v>
      </c>
      <c r="B109" s="879" t="s">
        <v>43</v>
      </c>
      <c r="C109" s="880" t="s">
        <v>42</v>
      </c>
      <c r="D109" s="880" t="s">
        <v>22</v>
      </c>
      <c r="E109" s="880" t="s">
        <v>237</v>
      </c>
      <c r="F109" s="881" t="s">
        <v>45</v>
      </c>
      <c r="G109" s="881"/>
      <c r="H109" s="881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9"/>
      <c r="B110" s="879"/>
      <c r="C110" s="880"/>
      <c r="D110" s="880"/>
      <c r="E110" s="880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9" t="s">
        <v>269</v>
      </c>
      <c r="O121" s="709" t="s">
        <v>270</v>
      </c>
      <c r="P121" s="709" t="s">
        <v>259</v>
      </c>
      <c r="Q121" s="709"/>
    </row>
    <row r="123" spans="1:17" hidden="1" outlineLevel="1">
      <c r="A123" s="878" t="str">
        <f>"Lặn xử lý tín hiệu nằm từ độ sâu 1m-5m. Nước sâu "&amp;L138</f>
        <v>Lặn xử lý tín hiệu nằm từ độ sâu 1m-5m. Nước sâu Không có</v>
      </c>
      <c r="B123" s="878"/>
      <c r="C123" s="878"/>
      <c r="D123" s="878"/>
      <c r="E123" s="878"/>
      <c r="F123" s="878"/>
      <c r="G123" s="878"/>
      <c r="H123" s="878"/>
    </row>
    <row r="124" spans="1:17" hidden="1" outlineLevel="1">
      <c r="A124" s="878" t="str" cm="1">
        <f t="array" aca="1" ref="A124" ca="1">"Số hiệu định mức: 030.0700."&amp;INDIRECT(ADDRESS(ROW(L127),COLUMN(L127)+L127,1,1))</f>
        <v>Số hiệu định mức: 030.0700.4</v>
      </c>
      <c r="B124" s="878"/>
      <c r="C124" s="878"/>
      <c r="D124" s="878"/>
      <c r="E124" s="878"/>
      <c r="F124" s="878"/>
      <c r="G124" s="878"/>
      <c r="H124" s="878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9" t="s">
        <v>18</v>
      </c>
      <c r="B126" s="879" t="s">
        <v>43</v>
      </c>
      <c r="C126" s="880" t="s">
        <v>42</v>
      </c>
      <c r="D126" s="880" t="s">
        <v>22</v>
      </c>
      <c r="E126" s="880" t="s">
        <v>237</v>
      </c>
      <c r="F126" s="881" t="s">
        <v>45</v>
      </c>
      <c r="G126" s="881"/>
      <c r="H126" s="881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9"/>
      <c r="B127" s="879"/>
      <c r="C127" s="880"/>
      <c r="D127" s="880"/>
      <c r="E127" s="880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9" t="s">
        <v>268</v>
      </c>
      <c r="N138" s="709" t="s">
        <v>269</v>
      </c>
      <c r="O138" s="709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4" t="s">
        <v>73</v>
      </c>
      <c r="B1" s="884"/>
      <c r="C1" s="884"/>
      <c r="D1" s="884"/>
      <c r="E1" s="884"/>
      <c r="F1" s="884"/>
    </row>
    <row r="2" spans="1:14" ht="22.5" customHeight="1">
      <c r="A2" s="884" t="s">
        <v>108</v>
      </c>
      <c r="B2" s="884"/>
      <c r="C2" s="884"/>
      <c r="D2" s="884"/>
      <c r="E2" s="884"/>
      <c r="F2" s="884"/>
    </row>
    <row r="3" spans="1:14" ht="43.5" customHeight="1">
      <c r="A3" s="885" t="s">
        <v>193</v>
      </c>
      <c r="B3" s="886"/>
      <c r="C3" s="886"/>
      <c r="D3" s="886"/>
      <c r="E3" s="886"/>
      <c r="F3" s="886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5"/>
      <c r="J9" s="886"/>
      <c r="K9" s="886"/>
      <c r="L9" s="886"/>
      <c r="M9" s="886"/>
      <c r="N9" s="886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7" t="s">
        <v>192</v>
      </c>
      <c r="B20" s="888"/>
      <c r="C20" s="888"/>
      <c r="D20" s="888"/>
      <c r="E20" s="888"/>
      <c r="F20" s="888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8" t="s">
        <v>87</v>
      </c>
      <c r="B78" s="888"/>
      <c r="C78" s="888"/>
      <c r="D78" s="888"/>
      <c r="E78" s="888"/>
      <c r="F78" s="888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3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3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3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3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3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3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3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3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3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3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3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90" t="s">
        <v>286</v>
      </c>
      <c r="B2" s="890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</row>
    <row r="3" spans="1:18">
      <c r="A3" s="891" t="s">
        <v>358</v>
      </c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3" t="s">
        <v>0</v>
      </c>
      <c r="B6" s="894" t="s">
        <v>222</v>
      </c>
      <c r="C6" s="95" t="s">
        <v>18</v>
      </c>
      <c r="D6" s="894" t="s">
        <v>230</v>
      </c>
      <c r="E6" s="894"/>
      <c r="F6" s="894"/>
      <c r="G6" s="894"/>
      <c r="H6" s="894"/>
      <c r="I6" s="894"/>
      <c r="J6" s="894"/>
      <c r="K6" s="894"/>
      <c r="L6" s="894"/>
      <c r="M6" s="894"/>
      <c r="N6" s="894"/>
      <c r="O6" s="201"/>
      <c r="P6" s="201"/>
    </row>
    <row r="7" spans="1:18">
      <c r="A7" s="893"/>
      <c r="B7" s="89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9" t="s">
        <v>287</v>
      </c>
      <c r="B15" s="889"/>
      <c r="C15" s="889"/>
      <c r="D15" s="889"/>
      <c r="E15" s="889"/>
      <c r="F15" s="889"/>
      <c r="G15" s="889"/>
      <c r="H15" s="889"/>
    </row>
    <row r="16" spans="1:18">
      <c r="A16" s="895" t="s">
        <v>357</v>
      </c>
      <c r="B16" s="895"/>
      <c r="C16" s="895"/>
      <c r="D16" s="895"/>
      <c r="E16" s="895"/>
      <c r="F16" s="895"/>
      <c r="G16" s="895"/>
      <c r="H16" s="895"/>
    </row>
    <row r="17" spans="1:13">
      <c r="A17" s="896" t="s">
        <v>224</v>
      </c>
      <c r="B17" s="896"/>
      <c r="C17" s="896"/>
      <c r="D17" s="896"/>
      <c r="E17" s="896"/>
      <c r="F17" s="896"/>
      <c r="G17" s="896"/>
      <c r="H17" s="896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7" t="s">
        <v>0</v>
      </c>
      <c r="B19" s="897" t="s">
        <v>222</v>
      </c>
      <c r="C19" s="190"/>
      <c r="D19" s="898" t="s">
        <v>221</v>
      </c>
      <c r="E19" s="898"/>
      <c r="F19" s="898"/>
      <c r="G19" s="898"/>
      <c r="H19" s="898"/>
      <c r="I19" s="175" t="s">
        <v>278</v>
      </c>
      <c r="J19" s="905">
        <f>IF('THKP-TC'!$E$13&lt;15*10^9,15*10^9,'THKP-TC'!$E$13)</f>
        <v>15000000000</v>
      </c>
      <c r="K19" s="905"/>
      <c r="L19" s="899">
        <f>'THKP-TC'!E13</f>
        <v>839151026.70680892</v>
      </c>
      <c r="M19" s="899"/>
    </row>
    <row r="20" spans="1:13" ht="16.8">
      <c r="A20" s="897"/>
      <c r="B20" s="897"/>
      <c r="C20" s="190"/>
      <c r="D20" s="898" t="s">
        <v>220</v>
      </c>
      <c r="E20" s="898"/>
      <c r="F20" s="898"/>
      <c r="G20" s="898"/>
      <c r="H20" s="898"/>
      <c r="I20" s="80" t="s">
        <v>277</v>
      </c>
      <c r="J20" s="900" t="e">
        <f>I22</f>
        <v>#REF!</v>
      </c>
      <c r="K20" s="901"/>
    </row>
    <row r="21" spans="1:13">
      <c r="A21" s="897"/>
      <c r="B21" s="897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2" t="s">
        <v>0</v>
      </c>
      <c r="B28" s="902" t="s">
        <v>216</v>
      </c>
      <c r="C28" s="903" t="s">
        <v>18</v>
      </c>
      <c r="D28" s="902" t="s">
        <v>215</v>
      </c>
      <c r="E28" s="902"/>
      <c r="F28" s="902" t="s">
        <v>214</v>
      </c>
    </row>
    <row r="29" spans="1:13" ht="34.200000000000003">
      <c r="A29" s="902"/>
      <c r="B29" s="902"/>
      <c r="C29" s="904"/>
      <c r="D29" s="195" t="s">
        <v>285</v>
      </c>
      <c r="E29" s="195" t="s">
        <v>213</v>
      </c>
      <c r="F29" s="90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9">
        <f>IF('THKP-TC'!E16&lt;1*10^9,1*10^9,'THKP-TC'!E16)</f>
        <v>1000000000</v>
      </c>
      <c r="F42" s="899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3" t="s">
        <v>536</v>
      </c>
    </row>
    <row r="59" spans="1:5" ht="42" thickBot="1">
      <c r="A59" s="754" t="s">
        <v>18</v>
      </c>
      <c r="B59" s="755" t="s">
        <v>537</v>
      </c>
      <c r="C59" s="756" t="s">
        <v>538</v>
      </c>
    </row>
    <row r="60" spans="1:5" ht="17.399999999999999" thickBot="1">
      <c r="A60" s="757">
        <v>1</v>
      </c>
      <c r="B60" s="758" t="s">
        <v>229</v>
      </c>
      <c r="C60" s="759">
        <v>5.5</v>
      </c>
    </row>
    <row r="61" spans="1:5" ht="17.399999999999999" thickBot="1">
      <c r="A61" s="757">
        <v>2</v>
      </c>
      <c r="B61" s="758" t="s">
        <v>228</v>
      </c>
      <c r="C61" s="759">
        <v>6</v>
      </c>
    </row>
    <row r="62" spans="1:5" ht="17.399999999999999" thickBot="1">
      <c r="A62" s="757">
        <v>3</v>
      </c>
      <c r="B62" s="758" t="s">
        <v>227</v>
      </c>
      <c r="C62" s="759">
        <v>6</v>
      </c>
    </row>
    <row r="63" spans="1:5" ht="34.200000000000003" thickBot="1">
      <c r="A63" s="757">
        <v>4</v>
      </c>
      <c r="B63" s="758" t="s">
        <v>539</v>
      </c>
      <c r="C63" s="759">
        <v>5.5</v>
      </c>
    </row>
    <row r="64" spans="1:5" ht="17.399999999999999" thickBot="1">
      <c r="A64" s="757">
        <v>5</v>
      </c>
      <c r="B64" s="758" t="s">
        <v>225</v>
      </c>
      <c r="C64" s="759">
        <v>5.5</v>
      </c>
    </row>
    <row r="65" spans="1:3" ht="151.19999999999999">
      <c r="A65" s="760">
        <v>6</v>
      </c>
      <c r="B65" s="761" t="s">
        <v>540</v>
      </c>
      <c r="C65" s="762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6" t="s">
        <v>399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  <c r="T1" s="907"/>
      <c r="U1" s="907"/>
      <c r="V1" s="600"/>
      <c r="W1" s="600"/>
      <c r="X1" s="600"/>
    </row>
    <row r="2" spans="1:24" s="601" customFormat="1" ht="24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</row>
    <row r="3" spans="1:24" s="601" customFormat="1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  <c r="T3" s="909"/>
      <c r="U3" s="909"/>
    </row>
    <row r="4" spans="1:24" s="32" customFormat="1" ht="33.6" hidden="1" customHeight="1">
      <c r="A4" s="909" t="s">
        <v>197</v>
      </c>
      <c r="B4" s="909"/>
      <c r="C4" s="909"/>
      <c r="D4" s="909"/>
      <c r="E4" s="909"/>
      <c r="F4" s="909"/>
      <c r="G4" s="909"/>
      <c r="H4" s="909"/>
      <c r="I4" s="909"/>
      <c r="J4" s="909"/>
      <c r="K4" s="909"/>
      <c r="L4" s="909"/>
      <c r="M4" s="909"/>
      <c r="N4" s="909"/>
      <c r="O4" s="909"/>
      <c r="P4" s="909"/>
      <c r="Q4" s="909"/>
      <c r="R4" s="909"/>
      <c r="S4" s="909"/>
      <c r="T4" s="909"/>
      <c r="U4" s="909"/>
    </row>
    <row r="5" spans="1:24" ht="28.95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141</v>
      </c>
      <c r="F5" s="913"/>
      <c r="G5" s="910" t="s">
        <v>147</v>
      </c>
      <c r="H5" s="910" t="s">
        <v>148</v>
      </c>
      <c r="I5" s="910" t="s">
        <v>133</v>
      </c>
      <c r="J5" s="910" t="s">
        <v>194</v>
      </c>
      <c r="K5" s="910" t="s">
        <v>241</v>
      </c>
      <c r="L5" s="910" t="s">
        <v>393</v>
      </c>
      <c r="M5" s="910" t="s">
        <v>395</v>
      </c>
      <c r="N5" s="910" t="s">
        <v>394</v>
      </c>
      <c r="O5" s="910" t="s">
        <v>396</v>
      </c>
      <c r="P5" s="914" t="s">
        <v>134</v>
      </c>
      <c r="Q5" s="915"/>
      <c r="R5" s="915"/>
      <c r="S5" s="915"/>
      <c r="T5" s="916"/>
      <c r="U5" s="910" t="s">
        <v>19</v>
      </c>
    </row>
    <row r="6" spans="1:24" ht="49.5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7"/>
      <c r="I6" s="911"/>
      <c r="J6" s="911"/>
      <c r="K6" s="911"/>
      <c r="L6" s="911"/>
      <c r="M6" s="911"/>
      <c r="N6" s="911"/>
      <c r="O6" s="911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1"/>
    </row>
    <row r="7" spans="1:24" s="339" customFormat="1" ht="19.5" customHeight="1">
      <c r="A7" s="925">
        <v>1</v>
      </c>
      <c r="B7" s="922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6"/>
      <c r="B8" s="923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6"/>
      <c r="B9" s="923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7"/>
      <c r="B10" s="924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20" t="s">
        <v>548</v>
      </c>
      <c r="B14" s="920"/>
      <c r="C14" s="920"/>
      <c r="D14" s="920"/>
      <c r="E14" s="920"/>
      <c r="F14" s="920"/>
      <c r="G14" s="47"/>
      <c r="H14" s="203"/>
      <c r="I14" s="48"/>
      <c r="J14" s="49"/>
      <c r="K14" s="49"/>
      <c r="L14" s="921" t="s">
        <v>140</v>
      </c>
      <c r="M14" s="921"/>
      <c r="N14" s="921"/>
      <c r="O14" s="921"/>
      <c r="P14" s="921"/>
      <c r="Q14" s="921"/>
      <c r="R14" s="921"/>
      <c r="S14" s="921"/>
      <c r="T14" s="921"/>
      <c r="U14" s="921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8"/>
      <c r="B18" s="918"/>
      <c r="C18" s="918"/>
      <c r="D18" s="918"/>
      <c r="E18" s="918"/>
      <c r="F18" s="918"/>
      <c r="G18" s="60"/>
      <c r="H18" s="61"/>
      <c r="I18" s="62"/>
      <c r="J18" s="62"/>
      <c r="K18" s="62"/>
      <c r="L18" s="919" t="s">
        <v>550</v>
      </c>
      <c r="M18" s="919"/>
      <c r="N18" s="919"/>
      <c r="O18" s="919"/>
      <c r="P18" s="919"/>
      <c r="Q18" s="919"/>
      <c r="R18" s="919"/>
      <c r="S18" s="919"/>
      <c r="T18" s="919"/>
      <c r="U18" s="919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8" t="s">
        <v>149</v>
      </c>
      <c r="B1" s="928"/>
      <c r="C1" s="928"/>
      <c r="D1" s="928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6" t="s">
        <v>400</v>
      </c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7"/>
      <c r="N1" s="907"/>
      <c r="O1" s="907"/>
      <c r="P1" s="907"/>
      <c r="Q1" s="907"/>
      <c r="R1" s="907"/>
      <c r="S1" s="907"/>
    </row>
    <row r="2" spans="1:19" ht="36.75" customHeight="1">
      <c r="A2" s="908" t="str">
        <f>'PL01'!C2</f>
        <v>Dự án: Cải tạo, nâng cấp  trạm bơm Trà Phương 3 tiêu thoát nước cho vùng các khu công nghiệp huyện Kim Động, Ân Thi, Yên Mỹ tỉnh Hưng Yên</v>
      </c>
      <c r="B2" s="909"/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</row>
    <row r="3" spans="1:19" ht="24.75" customHeight="1">
      <c r="A3" s="908" t="str">
        <f>'PL01'!C4</f>
        <v>Địa điểm: Xã Hồng Quang, tỉnh Hưng Yên</v>
      </c>
      <c r="B3" s="909"/>
      <c r="C3" s="909"/>
      <c r="D3" s="909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09"/>
      <c r="Q3" s="909"/>
      <c r="R3" s="909"/>
      <c r="S3" s="909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10" t="s">
        <v>0</v>
      </c>
      <c r="B5" s="910" t="s">
        <v>132</v>
      </c>
      <c r="C5" s="910" t="s">
        <v>145</v>
      </c>
      <c r="D5" s="910" t="s">
        <v>146</v>
      </c>
      <c r="E5" s="912" t="s">
        <v>250</v>
      </c>
      <c r="F5" s="913"/>
      <c r="G5" s="910" t="s">
        <v>249</v>
      </c>
      <c r="H5" s="910" t="s">
        <v>544</v>
      </c>
      <c r="I5" s="910" t="s">
        <v>248</v>
      </c>
      <c r="J5" s="910" t="s">
        <v>247</v>
      </c>
      <c r="K5" s="910" t="s">
        <v>246</v>
      </c>
      <c r="L5" s="910" t="s">
        <v>245</v>
      </c>
      <c r="M5" s="910" t="s">
        <v>344</v>
      </c>
      <c r="N5" s="910" t="s">
        <v>244</v>
      </c>
      <c r="O5" s="930" t="s">
        <v>134</v>
      </c>
      <c r="P5" s="930"/>
      <c r="Q5" s="930"/>
      <c r="R5" s="930"/>
      <c r="S5" s="910" t="s">
        <v>19</v>
      </c>
    </row>
    <row r="6" spans="1:19" ht="60.6" customHeight="1">
      <c r="A6" s="911"/>
      <c r="B6" s="911"/>
      <c r="C6" s="911"/>
      <c r="D6" s="911"/>
      <c r="E6" s="147" t="s">
        <v>142</v>
      </c>
      <c r="F6" s="147" t="s">
        <v>143</v>
      </c>
      <c r="G6" s="911"/>
      <c r="H6" s="911"/>
      <c r="I6" s="911"/>
      <c r="J6" s="911"/>
      <c r="K6" s="911"/>
      <c r="L6" s="911"/>
      <c r="M6" s="911"/>
      <c r="N6" s="911"/>
      <c r="O6" s="148" t="s">
        <v>136</v>
      </c>
      <c r="P6" s="148" t="s">
        <v>137</v>
      </c>
      <c r="Q6" s="148" t="s">
        <v>138</v>
      </c>
      <c r="R6" s="148" t="s">
        <v>243</v>
      </c>
      <c r="S6" s="911"/>
    </row>
    <row r="7" spans="1:19" ht="20.25" customHeight="1">
      <c r="A7" s="931">
        <v>1</v>
      </c>
      <c r="B7" s="933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2"/>
      <c r="B8" s="934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8" t="str">
        <f>THNK_C!A14</f>
        <v>CÁN BỘ QUẢN LÝ CHẤT LƯỢNG</v>
      </c>
      <c r="B12" s="918"/>
      <c r="C12" s="918"/>
      <c r="D12" s="918"/>
      <c r="E12" s="918"/>
      <c r="F12" s="918"/>
      <c r="G12" s="918"/>
      <c r="H12" s="130"/>
      <c r="I12" s="130"/>
      <c r="J12" s="132"/>
      <c r="K12" s="133"/>
      <c r="L12" s="133"/>
      <c r="M12" s="133"/>
      <c r="N12" s="929" t="s">
        <v>140</v>
      </c>
      <c r="O12" s="929"/>
      <c r="P12" s="929"/>
      <c r="Q12" s="929"/>
      <c r="R12" s="929"/>
      <c r="S12" s="929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8"/>
      <c r="B17" s="918"/>
      <c r="C17" s="918"/>
      <c r="D17" s="918"/>
      <c r="E17" s="918"/>
      <c r="F17" s="918"/>
      <c r="G17" s="918"/>
      <c r="H17" s="130"/>
      <c r="I17" s="130"/>
      <c r="J17" s="130"/>
      <c r="K17" s="130"/>
      <c r="L17" s="130"/>
      <c r="M17" s="130"/>
      <c r="N17" s="929" t="str">
        <f>THNK_C!L18</f>
        <v>Nguyễn Đình Duy</v>
      </c>
      <c r="O17" s="929"/>
      <c r="P17" s="929"/>
      <c r="Q17" s="929"/>
      <c r="R17" s="929"/>
      <c r="S17" s="929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9" t="s">
        <v>74</v>
      </c>
      <c r="B1" s="939"/>
      <c r="C1" s="939"/>
      <c r="D1" s="939"/>
      <c r="E1" s="939"/>
      <c r="F1" s="939"/>
      <c r="G1" s="939"/>
      <c r="H1" s="939"/>
      <c r="I1" s="939"/>
    </row>
    <row r="2" spans="1:16" ht="31.5" customHeight="1">
      <c r="A2" s="940" t="s">
        <v>0</v>
      </c>
      <c r="B2" s="942" t="s">
        <v>70</v>
      </c>
      <c r="C2" s="944" t="s">
        <v>23</v>
      </c>
      <c r="D2" s="944" t="s">
        <v>22</v>
      </c>
      <c r="E2" s="944"/>
      <c r="F2" s="944" t="s">
        <v>71</v>
      </c>
      <c r="G2" s="944" t="s">
        <v>45</v>
      </c>
      <c r="H2" s="944"/>
      <c r="I2" s="345" t="s">
        <v>19</v>
      </c>
    </row>
    <row r="3" spans="1:16" ht="31.5" customHeight="1">
      <c r="A3" s="941"/>
      <c r="B3" s="943"/>
      <c r="C3" s="945"/>
      <c r="D3" s="346" t="s">
        <v>165</v>
      </c>
      <c r="E3" s="346" t="s">
        <v>164</v>
      </c>
      <c r="F3" s="945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5" t="s">
        <v>190</v>
      </c>
      <c r="N15" s="936"/>
      <c r="O15" s="936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7" t="s">
        <v>361</v>
      </c>
      <c r="N26" s="937"/>
      <c r="O26" s="937"/>
      <c r="P26" s="937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8" t="s">
        <v>373</v>
      </c>
      <c r="N46" s="938"/>
      <c r="O46" s="938"/>
      <c r="P46" s="938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2026-08-03T03:03:36Z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