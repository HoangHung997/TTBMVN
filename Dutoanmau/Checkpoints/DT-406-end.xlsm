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26B3EE4E-AAD3-4F7D-805C-86EF9FAFD54A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212" l="1"/>
  <c r="M12" i="212"/>
  <c r="N12" i="212"/>
  <c r="L13" i="212"/>
  <c r="M13" i="212"/>
  <c r="N13" i="212"/>
  <c r="L14" i="212"/>
  <c r="M14" i="212"/>
  <c r="N14" i="212"/>
  <c r="L15" i="212"/>
  <c r="M15" i="212"/>
  <c r="N15" i="212"/>
  <c r="I16" i="212"/>
  <c r="J16" i="212"/>
  <c r="K16" i="212"/>
  <c r="L16" i="212"/>
  <c r="M16" i="212"/>
  <c r="N16" i="212"/>
  <c r="L17" i="212"/>
  <c r="M17" i="212"/>
  <c r="N17" i="212"/>
  <c r="L18" i="212"/>
  <c r="M18" i="212"/>
  <c r="N18" i="212"/>
  <c r="L20" i="212"/>
  <c r="M20" i="212"/>
  <c r="N20" i="212"/>
  <c r="L21" i="212"/>
  <c r="M21" i="212"/>
  <c r="N21" i="212"/>
  <c r="L22" i="212"/>
  <c r="M22" i="212"/>
  <c r="N22" i="212"/>
  <c r="L23" i="212"/>
  <c r="M23" i="212"/>
  <c r="N23" i="212"/>
  <c r="L24" i="212"/>
  <c r="M24" i="212"/>
  <c r="N24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 s="1"/>
  <c r="T8" i="217"/>
  <c r="W7" i="217"/>
  <c r="V7" i="217" s="1"/>
  <c r="T7" i="217"/>
  <c r="J7" i="217"/>
  <c r="N45" i="232"/>
  <c r="O45" i="232"/>
  <c r="M45" i="232" s="1"/>
  <c r="E30" i="216"/>
  <c r="E36" i="216" s="1"/>
  <c r="L11" i="212" l="1"/>
  <c r="M11" i="212"/>
  <c r="N11" i="212"/>
  <c r="L19" i="212"/>
  <c r="N19" i="212"/>
  <c r="M19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N38" i="232" l="1"/>
  <c r="P9" i="232"/>
  <c r="E20" i="230"/>
  <c r="E23" i="230" s="1"/>
  <c r="E22" i="230"/>
  <c r="P23" i="232"/>
  <c r="O23" i="232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P22" i="232" l="1"/>
  <c r="P47" i="232" s="1"/>
  <c r="C22" i="230" s="1"/>
  <c r="D22" i="230" s="1"/>
  <c r="F22" i="230" s="1"/>
  <c r="D21" i="212" s="1"/>
  <c r="O22" i="232"/>
  <c r="N22" i="232"/>
  <c r="M22" i="232"/>
  <c r="M9" i="232"/>
  <c r="N9" i="232"/>
  <c r="O9" i="232"/>
  <c r="N17" i="230"/>
  <c r="C13" i="232" a="1"/>
  <c r="K21" i="212" l="1"/>
  <c r="J21" i="212"/>
  <c r="I21" i="212"/>
  <c r="O47" i="232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I15" i="212" l="1"/>
  <c r="J15" i="212"/>
  <c r="K15" i="212"/>
  <c r="C17" i="230"/>
  <c r="C23" i="230" s="1"/>
  <c r="O18" i="230"/>
  <c r="R18" i="230" s="1"/>
  <c r="F18" i="230"/>
  <c r="D17" i="230"/>
  <c r="D23" i="230" s="1"/>
  <c r="D20" i="212"/>
  <c r="F20" i="230"/>
  <c r="C15" i="232" a="1"/>
  <c r="J20" i="212" l="1"/>
  <c r="I20" i="212"/>
  <c r="K20" i="212"/>
  <c r="D13" i="212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B18" i="212"/>
  <c r="D18" i="212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K10" i="218" l="1"/>
  <c r="I12" i="217"/>
  <c r="B23" i="212"/>
  <c r="D23" i="212"/>
  <c r="G3" i="210"/>
  <c r="F3" i="210" s="1"/>
  <c r="E3" i="210"/>
  <c r="G41" i="208"/>
  <c r="I13" i="212"/>
  <c r="J13" i="212"/>
  <c r="K13" i="212"/>
  <c r="E61" i="216"/>
  <c r="F61" i="216" s="1"/>
  <c r="F56" i="216" s="1"/>
  <c r="E50" i="216"/>
  <c r="F50" i="216" s="1"/>
  <c r="F46" i="216" s="1"/>
  <c r="E28" i="216"/>
  <c r="E66" i="216"/>
  <c r="F66" i="216" s="1"/>
  <c r="F62" i="216" s="1"/>
  <c r="J18" i="212"/>
  <c r="K18" i="212"/>
  <c r="I18" i="212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B14" i="212"/>
  <c r="A14" i="212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F40" i="219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I23" i="212" l="1"/>
  <c r="J23" i="212"/>
  <c r="K23" i="212"/>
  <c r="E119" i="214"/>
  <c r="H119" i="214" s="1"/>
  <c r="E101" i="214"/>
  <c r="H101" i="214" s="1"/>
  <c r="F39" i="219"/>
  <c r="E136" i="214"/>
  <c r="H136" i="214" s="1"/>
  <c r="F41" i="219"/>
  <c r="E100" i="214"/>
  <c r="H100" i="214" s="1"/>
  <c r="E135" i="214"/>
  <c r="H135" i="214" s="1"/>
  <c r="E86" i="214"/>
  <c r="H86" i="214" s="1"/>
  <c r="E117" i="214"/>
  <c r="H117" i="214" s="1"/>
  <c r="E99" i="214"/>
  <c r="H99" i="214" s="1"/>
  <c r="E134" i="214"/>
  <c r="H134" i="214" s="1"/>
  <c r="E54" i="214"/>
  <c r="H54" i="214" s="1"/>
  <c r="E73" i="214"/>
  <c r="H73" i="214" s="1"/>
  <c r="F37" i="219"/>
  <c r="E31" i="214"/>
  <c r="H31" i="214" s="1"/>
  <c r="F28" i="216"/>
  <c r="F23" i="216" s="1"/>
  <c r="E34" i="216"/>
  <c r="E40" i="216" s="1"/>
  <c r="F40" i="216" s="1"/>
  <c r="F35" i="216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H34" i="214" s="1"/>
  <c r="E98" i="214"/>
  <c r="H98" i="214" s="1"/>
  <c r="H103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E62" i="213" l="1"/>
  <c r="H62" i="213" s="1"/>
  <c r="H63" i="213" s="1"/>
  <c r="F33" i="219"/>
  <c r="E74" i="213"/>
  <c r="H74" i="213" s="1"/>
  <c r="H75" i="213" s="1"/>
  <c r="E45" i="213"/>
  <c r="H45" i="213" s="1"/>
  <c r="H46" i="213" s="1"/>
  <c r="E28" i="213"/>
  <c r="H28" i="213" s="1"/>
  <c r="H29" i="213" s="1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D14" i="212"/>
  <c r="D12" i="212"/>
  <c r="O52" i="219"/>
  <c r="O50" i="219"/>
  <c r="J17" i="214"/>
  <c r="J83" i="213"/>
  <c r="D17" i="212"/>
  <c r="D24" i="212"/>
  <c r="D25" i="212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D22" i="212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G41" i="219" s="1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K41" i="219"/>
  <c r="O41" i="219" s="1"/>
  <c r="N31" i="219"/>
  <c r="G31" i="219"/>
  <c r="D36" i="219" l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J108" i="213"/>
  <c r="J106" i="213"/>
  <c r="D27" i="219" s="1"/>
  <c r="G27" i="219" s="1"/>
  <c r="A27" i="219"/>
  <c r="A17" i="219"/>
  <c r="D10" i="215"/>
  <c r="C11" i="215"/>
  <c r="K33" i="219"/>
  <c r="N33" i="219" s="1"/>
  <c r="G33" i="219"/>
  <c r="D23" i="219"/>
  <c r="G23" i="219" s="1"/>
  <c r="I14" i="212"/>
  <c r="J14" i="212"/>
  <c r="K14" i="212"/>
  <c r="I12" i="212"/>
  <c r="J12" i="212"/>
  <c r="K12" i="212"/>
  <c r="I17" i="212"/>
  <c r="J17" i="212"/>
  <c r="K17" i="212"/>
  <c r="I24" i="212"/>
  <c r="J24" i="212"/>
  <c r="K24" i="212"/>
  <c r="J110" i="214"/>
  <c r="J25" i="212"/>
  <c r="I25" i="212"/>
  <c r="K25" i="212"/>
  <c r="J22" i="212"/>
  <c r="K22" i="212"/>
  <c r="I22" i="212"/>
  <c r="I19" i="212" s="1"/>
  <c r="G36" i="219" l="1"/>
  <c r="K36" i="219"/>
  <c r="O36" i="219" s="1"/>
  <c r="K34" i="219"/>
  <c r="N34" i="219" s="1"/>
  <c r="N32" i="219" s="1"/>
  <c r="G34" i="219"/>
  <c r="A18" i="219"/>
  <c r="D11" i="215"/>
  <c r="E11" i="215"/>
  <c r="J120" i="214"/>
  <c r="D38" i="219" s="1"/>
  <c r="J117" i="214"/>
  <c r="D37" i="219" s="1"/>
  <c r="J112" i="214"/>
  <c r="D26" i="219" s="1"/>
  <c r="G26" i="219" s="1"/>
  <c r="G5" i="219" s="1"/>
  <c r="J118" i="214"/>
  <c r="D40" i="219" s="1"/>
  <c r="J119" i="214"/>
  <c r="D39" i="219" s="1"/>
  <c r="J114" i="214"/>
  <c r="J116" i="214"/>
  <c r="D35" i="219" s="1"/>
  <c r="K11" i="212"/>
  <c r="I11" i="212"/>
  <c r="I27" i="212" s="1"/>
  <c r="J11" i="212"/>
  <c r="J26" i="212"/>
  <c r="J19" i="212" s="1"/>
  <c r="K26" i="212"/>
  <c r="K19" i="212" s="1"/>
  <c r="A19" i="219" l="1"/>
  <c r="G38" i="219"/>
  <c r="K38" i="219"/>
  <c r="O38" i="219" s="1"/>
  <c r="G37" i="219"/>
  <c r="K37" i="219"/>
  <c r="O37" i="219" s="1"/>
  <c r="G40" i="219"/>
  <c r="K40" i="219"/>
  <c r="O40" i="219" s="1"/>
  <c r="K39" i="219"/>
  <c r="O39" i="219" s="1"/>
  <c r="G39" i="219"/>
  <c r="D30" i="219"/>
  <c r="O30" i="219"/>
  <c r="O28" i="219" s="1"/>
  <c r="K35" i="219"/>
  <c r="O35" i="219" s="1"/>
  <c r="O32" i="219" s="1"/>
  <c r="G35" i="219"/>
  <c r="J27" i="212"/>
  <c r="K27" i="212"/>
  <c r="E10" i="211" a="1"/>
  <c r="A20" i="219" l="1"/>
  <c r="D28" i="219"/>
  <c r="G30" i="219"/>
  <c r="G28" i="219" s="1"/>
  <c r="N30" i="219"/>
  <c r="N28" i="219" s="1"/>
  <c r="N42" i="219" s="1"/>
  <c r="G32" i="219"/>
  <c r="O42" i="219"/>
  <c r="O44" i="219" s="1"/>
  <c r="O53" i="219" s="1"/>
  <c r="O54" i="219" s="1"/>
  <c r="I5" i="219"/>
  <c r="E14" i="211"/>
  <c r="I32" i="219"/>
  <c r="I28" i="219"/>
  <c r="E13" i="211"/>
  <c r="E19" i="211"/>
  <c r="A22" i="219" l="1"/>
  <c r="A21" i="219"/>
  <c r="L19" i="209"/>
  <c r="J19" i="209"/>
  <c r="I21" i="209" s="1"/>
  <c r="I22" i="209" s="1"/>
  <c r="J20" i="209" s="1"/>
  <c r="G43" i="219"/>
  <c r="E15" i="211"/>
  <c r="E16" i="211" s="1"/>
  <c r="P42" i="219"/>
  <c r="Q42" i="219" s="1"/>
  <c r="Q44" i="219" s="1"/>
  <c r="N44" i="219"/>
  <c r="G42" i="219"/>
  <c r="G44" i="219" s="1"/>
  <c r="I44" i="219" s="1"/>
  <c r="E23" i="211"/>
  <c r="E18" i="211"/>
  <c r="E21" i="211"/>
  <c r="E20" i="211"/>
  <c r="P5" i="209"/>
  <c r="G42" i="209"/>
  <c r="Q5" i="209"/>
  <c r="E42" i="209"/>
  <c r="F45" i="209" s="1"/>
  <c r="E45" i="209" s="1"/>
  <c r="A23" i="219" l="1"/>
  <c r="A24" i="219" s="1"/>
  <c r="A25" i="219" s="1"/>
  <c r="A26" i="219" s="1"/>
  <c r="P44" i="219"/>
  <c r="N53" i="219"/>
  <c r="N54" i="219" s="1"/>
  <c r="E46" i="209"/>
  <c r="F44" i="209" s="1"/>
  <c r="O8" i="209"/>
  <c r="P8" i="209" a="1"/>
  <c r="P13" i="209"/>
  <c r="N62" i="219" l="1"/>
  <c r="N60" i="219"/>
  <c r="P7" i="209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<sst xmlns="http://schemas.openxmlformats.org/spreadsheetml/2006/main" count="1634" uniqueCount="555">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</sst>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558860046.12222004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839815451.84180892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52094975.893499486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999276355.77530837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112553182.77620655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24981908.894382711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18475939.940519799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4996381.7788765421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9992763.5577530842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24127897.93141517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29978290.673259251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1111829538.5515149</v>
      </c>
      <c r="F24" s="254"/>
      <c r="G24" s="664"/>
      <c r="I24" s="666"/>
      <c r="J24" s="675"/>
      <c r="L24" s="675">
        <f>1%*E27</f>
        <v>11995770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87747231.457190827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1199576770.0087056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1199577000</v>
      </c>
      <c r="F27" s="254"/>
      <c r="G27" s="680"/>
      <c r="H27" s="681"/>
      <c r="I27" s="666"/>
      <c r="J27" s="666">
        <v>15564162000</v>
      </c>
      <c r="K27" s="666">
        <f>E27-J27</f>
        <v>-14364585000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 t="s">
        <v>554</v>
      </c>
      <c r="G27" s="511" t="s">
        <v>554</v>
      </c>
      <c r="H27" s="511" t="s">
        <v>554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999276355.77530837</v>
      </c>
      <c r="Q5" s="235">
        <f>'THKP-TC'!E16</f>
        <v>999276355.77530837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839815451.84180892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999276355.77530837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4996381.7788765421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558860046.12222004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839815451.84180892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-664425.13499999046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2026-08-03T11:04:37Z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1|68fe8bed27714d9f8458d09e19c41ff2|8|487EA0D9CAFC9106FB52DFAE8CA0E9E2E82CA2638101F85B7DE6EBD4E7024A50</vt:lpwstr>
  </property>
  <property fmtid="{D5CDD505-2E9C-101B-9397-08002B2CF9AE}" pid="12" name="TTBMVN.ProjectProfile.Part.68fe8bed27714d9f8458d09e19c41ff2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68fe8bed27714d9f8458d09e19c41ff2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68fe8bed27714d9f8458d09e19c41ff2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68fe8bed27714d9f8458d09e19c41ff2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68fe8bed27714d9f8458d09e19c41ff2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68fe8bed27714d9f8458d09e19c41ff2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68fe8bed27714d9f8458d09e19c41ff2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68fe8bed27714d9f8458d09e19c41ff2.0007">
    <vt:lpwstr>dmVycmlkZS4gRFQtMTAzIHBlcnNpc3RlbmNlIHByb2ZpbGUgb25seTsgbm8gYnVzaW5lc3Mgb3ZlcnJpZGUuIERULTEwMyBwZXJzaXN0ZW5jZSBwcm9maWxlIG9ubHk7IG5vIGJ1c2luZXNzIG92ZXJyaWRlLg==</vt:lpwstr>
  </property>
  <property fmtid="{D5CDD505-2E9C-101B-9397-08002B2CF9AE}" pid="20" name="TTBMVN.PriceProfile.Part.9ceaa66d389d45abbe5f0bd9d6745584.0000">
    <vt:lpwstr>TTBMVN_PRICE_PROFILE
schema=1
profileId=VEVTVC1EVDEwMy1QUklDRS1CQVNFTElORQ==
dataVersion=MS4wLjA=
displayName=TmhhcCB0dSBEVC00MDYtd29ya2luZy1jb3B5Lnhsc20=
location=SGEgTm9p
valuationDate=2026-08-03
laborAudience=2
createdAtUtc=2026-08-03T11</vt:lpwstr>
  </property>
  <property fmtid="{D5CDD505-2E9C-101B-9397-08002B2CF9AE}" pid="21" name="TTBMVN.PriceProfile.Part.9ceaa66d389d45abbe5f0bd9d6745584.0001">
    <vt:lpwstr>:02:17.6297654Z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22" name="TTBMVN.PriceProfile.Part.9ceaa66d389d45abbe5f0bd9d6745584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23" name="TTBMVN.PriceProfile.Part.9ceaa66d389d45abbe5f0bd9d6745584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24" name="TTBMVN.PriceProfile.Part.9ceaa66d389d45abbe5f0bd9d6745584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25" name="TTBMVN.PriceProfile.Part.9ceaa66d389d45abbe5f0bd9d6745584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26" name="TTBMVN.PriceProfile.Part.9ceaa66d389d45abbe5f0bd9d6745584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27" name="TTBMVN.PriceProfile.Part.9ceaa66d389d45abbe5f0bd9d6745584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8" name="TTBMVN.PriceProfile.Part.9ceaa66d389d45abbe5f0bd9d6745584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9" name="TTBMVN.PriceProfile.Part.9ceaa66d389d45abbe5f0bd9d6745584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30" name="TTBMVN.PriceProfile.Part.9ceaa66d389d45abbe5f0bd9d6745584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31" name="TTBMVN.PriceProfile.Part.9ceaa66d389d45abbe5f0bd9d6745584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32" name="TTBMVN.PriceProfile.Part.9ceaa66d389d45abbe5f0bd9d6745584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33" name="TTBMVN.PriceProfile.Part.9ceaa66d389d45abbe5f0bd9d6745584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34" name="TTBMVN.PriceProfile.Part.9ceaa66d389d45abbe5f0bd9d6745584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35" name="TTBMVN.PriceProfile.Part.9ceaa66d389d45abbe5f0bd9d6745584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36" name="TTBMVN.PriceProfile.Part.9ceaa66d389d45abbe5f0bd9d6745584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37" name="TTBMVN.PriceProfile.Part.9ceaa66d389d45abbe5f0bd9d6745584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8" name="TTBMVN.PriceProfile.Part.9ceaa66d389d45abbe5f0bd9d6745584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9" name="TTBMVN.PriceProfile.Part.9ceaa66d389d45abbe5f0bd9d6745584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40" name="TTBMVN.PriceProfile.Part.9ceaa66d389d45abbe5f0bd9d6745584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41" name="TTBMVN.PriceProfile.Part.9ceaa66d389d45abbe5f0bd9d6745584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42" name="TTBMVN.PriceProfile.Part.9ceaa66d389d45abbe5f0bd9d6745584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43" name="TTBMVN.PriceProfile.Part.9ceaa66d389d45abbe5f0bd9d6745584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44" name="TTBMVN.PriceProfile.Part.9ceaa66d389d45abbe5f0bd9d6745584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45" name="TTBMVN.PriceProfile.Part.9ceaa66d389d45abbe5f0bd9d6745584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46" name="TTBMVN.PriceProfile.Part.9ceaa66d389d45abbe5f0bd9d6745584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47" name="TTBMVN.PriceProfile.Part.9ceaa66d389d45abbe5f0bd9d6745584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8" name="TTBMVN.PriceProfile.Part.9ceaa66d389d45abbe5f0bd9d6745584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9" name="TTBMVN.PriceProfile.Part.9ceaa66d389d45abbe5f0bd9d6745584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50" name="TTBMVN.PriceProfile.Part.9ceaa66d389d45abbe5f0bd9d6745584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51" name="TTBMVN.PriceProfile.Part.9ceaa66d389d45abbe5f0bd9d6745584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52" name="TTBMVN.PriceProfile.Part.9ceaa66d389d45abbe5f0bd9d6745584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53" name="TTBMVN.PriceProfile.Part.9ceaa66d389d45abbe5f0bd9d6745584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54" name="TTBMVN.PriceProfile.Part.9ceaa66d389d45abbe5f0bd9d6745584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55" name="TTBMVN.PriceProfile.Part.9ceaa66d389d45abbe5f0bd9d6745584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56" name="TTBMVN.PriceProfile.Part.9ceaa66d389d45abbe5f0bd9d6745584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57" name="TTBMVN.PriceProfile.Part.9ceaa66d389d45abbe5f0bd9d6745584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8" name="TTBMVN.PriceProfile.Part.9ceaa66d389d45abbe5f0bd9d6745584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9" name="TTBMVN.PriceProfile.Part.9ceaa66d389d45abbe5f0bd9d6745584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60" name="TTBMVN.PriceProfile.Part.9ceaa66d389d45abbe5f0bd9d6745584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61" name="TTBMVN.PriceProfile.Part.9ceaa66d389d45abbe5f0bd9d6745584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62" name="TTBMVN.PriceProfile.Part.9ceaa66d389d45abbe5f0bd9d6745584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63" name="TTBMVN.PriceProfile.Part.9ceaa66d389d45abbe5f0bd9d6745584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64" name="TTBMVN.PriceProfile.Part.9ceaa66d389d45abbe5f0bd9d6745584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65" name="TTBMVN.PriceProfile.Part.9ceaa66d389d45abbe5f0bd9d6745584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66" name="TTBMVN.PriceProfile.Part.9ceaa66d389d45abbe5f0bd9d6745584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67" name="TTBMVN.PriceProfile.Part.9ceaa66d389d45abbe5f0bd9d6745584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8" name="TTBMVN.PriceProfile.Part.9ceaa66d389d45abbe5f0bd9d6745584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9" name="TTBMVN.PriceProfile.Part.9ceaa66d389d45abbe5f0bd9d6745584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70" name="TTBMVN.PriceProfile.Part.9ceaa66d389d45abbe5f0bd9d6745584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71" name="TTBMVN.PriceProfile.Part.9ceaa66d389d45abbe5f0bd9d6745584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72" name="TTBMVN.PriceProfile.Part.9ceaa66d389d45abbe5f0bd9d6745584.0052">
    <vt:lpwstr>deCount=0
checksum=FDB9AA9E4E574D5E5217C7E7D08528E5F7B0AA0B08CCA8DF2DE8EF1715D15776</vt:lpwstr>
  </property>
  <property fmtid="{D5CDD505-2E9C-101B-9397-08002B2CF9AE}" pid="73" name="TTBMVN.PriceProfile.Manifest">
    <vt:lpwstr>1|9ceaa66d389d45abbe5f0bd9d6745584|53|AD453E457753652894B18F70EE1E4A1EF0626EC77ECB72F05EFDBA37481FCFF2</vt:lpwstr>
  </property>
</Properties>
</file>