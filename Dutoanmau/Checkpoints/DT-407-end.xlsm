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8FF1B14F-F926-4060-9428-EB449BA9C27A}" xr6:coauthVersionLast="47" xr6:coauthVersionMax="47" xr10:uidLastSave="{00000000-0000-0000-0000-000000000000}"/>
  <bookViews>
    <workbookView xWindow="2304" yWindow="2304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11" l="1"/>
  <c r="D12" i="211"/>
  <c r="L12" i="212"/>
  <c r="M12" i="212"/>
  <c r="N12" i="212"/>
  <c r="L13" i="212"/>
  <c r="M13" i="212"/>
  <c r="N13" i="212"/>
  <c r="L14" i="212"/>
  <c r="M14" i="212"/>
  <c r="N14" i="212"/>
  <c r="L15" i="212"/>
  <c r="M15" i="212"/>
  <c r="N15" i="212"/>
  <c r="I16" i="212"/>
  <c r="J16" i="212"/>
  <c r="K16" i="212"/>
  <c r="L16" i="212"/>
  <c r="M16" i="212"/>
  <c r="N16" i="212"/>
  <c r="L17" i="212"/>
  <c r="M17" i="212"/>
  <c r="N17" i="212"/>
  <c r="L18" i="212"/>
  <c r="M18" i="212"/>
  <c r="N18" i="212"/>
  <c r="L20" i="212"/>
  <c r="M20" i="212"/>
  <c r="N20" i="212"/>
  <c r="L21" i="212"/>
  <c r="M21" i="212"/>
  <c r="N21" i="212"/>
  <c r="L22" i="212"/>
  <c r="M22" i="212"/>
  <c r="N22" i="212"/>
  <c r="L23" i="212"/>
  <c r="M23" i="212"/>
  <c r="N23" i="212"/>
  <c r="L24" i="212"/>
  <c r="M24" i="212"/>
  <c r="N24" i="212"/>
  <c r="L25" i="212"/>
  <c r="M25" i="212"/>
  <c r="N25" i="212"/>
  <c r="M26" i="212"/>
  <c r="N26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 s="1"/>
  <c r="T9" i="217"/>
  <c r="W8" i="217"/>
  <c r="V8" i="217" s="1"/>
  <c r="T8" i="217"/>
  <c r="W7" i="217"/>
  <c r="V7" i="217" s="1"/>
  <c r="T7" i="217"/>
  <c r="J7" i="217"/>
  <c r="N45" i="232"/>
  <c r="O45" i="232"/>
  <c r="M45" i="232" s="1"/>
  <c r="E30" i="216"/>
  <c r="E36" i="216" s="1"/>
  <c r="L11" i="212" l="1"/>
  <c r="M11" i="212"/>
  <c r="N11" i="212"/>
  <c r="L19" i="212"/>
  <c r="N19" i="212"/>
  <c r="M19" i="212"/>
  <c r="L27" i="212"/>
  <c r="M27" i="212"/>
  <c r="N27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N38" i="232" l="1"/>
  <c r="P9" i="232"/>
  <c r="E20" i="230"/>
  <c r="E22" i="230"/>
  <c r="P23" i="232"/>
  <c r="O23" i="232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E23" i="230" l="1"/>
  <c r="P22" i="232"/>
  <c r="P47" i="232" s="1"/>
  <c r="C22" i="230" s="1"/>
  <c r="D22" i="230" s="1"/>
  <c r="F22" i="230" s="1"/>
  <c r="D21" i="212" s="1"/>
  <c r="O22" i="232"/>
  <c r="N22" i="232"/>
  <c r="M22" i="232"/>
  <c r="M9" i="232"/>
  <c r="N9" i="232"/>
  <c r="O9" i="232"/>
  <c r="N17" i="230"/>
  <c r="C13" i="232" a="1"/>
  <c r="K21" i="212" l="1"/>
  <c r="J21" i="212"/>
  <c r="I21" i="212"/>
  <c r="O47" i="232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I15" i="212" l="1"/>
  <c r="J15" i="212"/>
  <c r="K15" i="212"/>
  <c r="C17" i="230"/>
  <c r="C23" i="230" s="1"/>
  <c r="O18" i="230"/>
  <c r="R18" i="230" s="1"/>
  <c r="F18" i="230"/>
  <c r="D17" i="230"/>
  <c r="D23" i="230" s="1"/>
  <c r="D20" i="212"/>
  <c r="F20" i="230"/>
  <c r="C15" i="232" a="1"/>
  <c r="J20" i="212" l="1"/>
  <c r="I20" i="212"/>
  <c r="K20" i="212"/>
  <c r="D13" i="212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A129" i="213" s="1"/>
  <c r="M144" i="213"/>
  <c r="D144" i="213" s="1"/>
  <c r="K144" i="213" s="1"/>
  <c r="M142" i="213"/>
  <c r="D142" i="213" s="1"/>
  <c r="K142" i="213" s="1"/>
  <c r="M140" i="213"/>
  <c r="D140" i="213" s="1"/>
  <c r="M139" i="213"/>
  <c r="D139" i="213" s="1"/>
  <c r="M138" i="213"/>
  <c r="D138" i="213" s="1"/>
  <c r="K138" i="213" s="1"/>
  <c r="M137" i="213"/>
  <c r="D137" i="213" s="1"/>
  <c r="K137" i="213" s="1"/>
  <c r="M136" i="213"/>
  <c r="D136" i="213" s="1"/>
  <c r="K136" i="213" s="1"/>
  <c r="M135" i="213"/>
  <c r="D135" i="213" s="1"/>
  <c r="K135" i="213" s="1"/>
  <c r="M127" i="213"/>
  <c r="A113" i="213" s="1"/>
  <c r="M126" i="213"/>
  <c r="D126" i="213" s="1"/>
  <c r="K126" i="213" s="1"/>
  <c r="M125" i="213"/>
  <c r="M124" i="213"/>
  <c r="D124" i="213" s="1"/>
  <c r="M123" i="213"/>
  <c r="M122" i="213"/>
  <c r="D122" i="213" s="1"/>
  <c r="M121" i="213"/>
  <c r="D121" i="213" s="1"/>
  <c r="M120" i="213"/>
  <c r="D120" i="213" s="1"/>
  <c r="M119" i="213"/>
  <c r="D119" i="213" s="1"/>
  <c r="K119" i="213" s="1"/>
  <c r="M118" i="213"/>
  <c r="M111" i="213"/>
  <c r="M110" i="213"/>
  <c r="D110" i="213" s="1"/>
  <c r="K110" i="213" s="1"/>
  <c r="M108" i="213"/>
  <c r="D108" i="213" s="1"/>
  <c r="M106" i="213"/>
  <c r="D106" i="213" s="1"/>
  <c r="M105" i="213"/>
  <c r="D105" i="213" s="1"/>
  <c r="K105" i="213" s="1"/>
  <c r="M104" i="213"/>
  <c r="D104" i="213" s="1"/>
  <c r="K104" i="213" s="1"/>
  <c r="M103" i="213"/>
  <c r="D103" i="213" s="1"/>
  <c r="M93" i="213"/>
  <c r="M92" i="213"/>
  <c r="D92" i="213" s="1"/>
  <c r="K92" i="213" s="1"/>
  <c r="M91" i="213"/>
  <c r="M90" i="213"/>
  <c r="D90" i="213" s="1"/>
  <c r="K90" i="213" s="1"/>
  <c r="M89" i="213"/>
  <c r="M88" i="213"/>
  <c r="D88" i="213" s="1"/>
  <c r="M87" i="213"/>
  <c r="D87" i="213" s="1"/>
  <c r="M86" i="213"/>
  <c r="D86" i="213" s="1"/>
  <c r="M85" i="213"/>
  <c r="D85" i="213" s="1"/>
  <c r="K85" i="213" s="1"/>
  <c r="M84" i="213"/>
  <c r="M75" i="213"/>
  <c r="A65" i="213" s="1"/>
  <c r="M74" i="213"/>
  <c r="D74" i="213" s="1"/>
  <c r="K74" i="213" s="1"/>
  <c r="M72" i="213"/>
  <c r="D72" i="213" s="1"/>
  <c r="K72" i="213" s="1"/>
  <c r="M63" i="213"/>
  <c r="A48" i="213" s="1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D47" i="214" s="1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C24" i="219"/>
  <c r="B24" i="219"/>
  <c r="C23" i="219"/>
  <c r="B23" i="219"/>
  <c r="F23" i="219" s="1"/>
  <c r="C22" i="219"/>
  <c r="B22" i="219"/>
  <c r="E22" i="219" s="1"/>
  <c r="C21" i="219"/>
  <c r="B21" i="219"/>
  <c r="C20" i="219"/>
  <c r="B20" i="219"/>
  <c r="C19" i="219"/>
  <c r="B19" i="219"/>
  <c r="C18" i="219"/>
  <c r="B18" i="219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F75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F64" i="214"/>
  <c r="F48" i="214"/>
  <c r="F12" i="216"/>
  <c r="F34" i="208"/>
  <c r="F44" i="214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F20" i="208"/>
  <c r="K20" i="214"/>
  <c r="K21" i="214"/>
  <c r="K28" i="214"/>
  <c r="K48" i="214"/>
  <c r="H6" i="219"/>
  <c r="H5" i="219" s="1"/>
  <c r="H42" i="219" s="1"/>
  <c r="E13" i="219"/>
  <c r="F13" i="219"/>
  <c r="F14" i="219"/>
  <c r="K22" i="214"/>
  <c r="F22" i="214"/>
  <c r="K44" i="214"/>
  <c r="K98" i="214"/>
  <c r="K45" i="214"/>
  <c r="K73" i="214"/>
  <c r="K85" i="214"/>
  <c r="K99" i="214"/>
  <c r="E8" i="219"/>
  <c r="H8" i="219" s="1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D23" i="212" s="1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28" i="213"/>
  <c r="K38" i="213"/>
  <c r="J38" i="213"/>
  <c r="K39" i="213"/>
  <c r="J39" i="213"/>
  <c r="K43" i="213"/>
  <c r="J43" i="213"/>
  <c r="K62" i="213"/>
  <c r="J62" i="213"/>
  <c r="K26" i="213"/>
  <c r="K37" i="213"/>
  <c r="J37" i="213"/>
  <c r="K40" i="213"/>
  <c r="J40" i="213"/>
  <c r="K54" i="213"/>
  <c r="K55" i="213"/>
  <c r="K56" i="213"/>
  <c r="K57" i="213"/>
  <c r="K60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E38" i="213"/>
  <c r="F38" i="213" s="1"/>
  <c r="E135" i="213"/>
  <c r="E56" i="213"/>
  <c r="F56" i="213" s="1"/>
  <c r="E105" i="213"/>
  <c r="H41" i="208"/>
  <c r="E87" i="213"/>
  <c r="E20" i="213"/>
  <c r="F20" i="213" s="1"/>
  <c r="E137" i="213"/>
  <c r="E138" i="213"/>
  <c r="E21" i="213"/>
  <c r="F21" i="213" s="1"/>
  <c r="E54" i="213"/>
  <c r="F54" i="213" s="1"/>
  <c r="E103" i="213"/>
  <c r="E104" i="213"/>
  <c r="E120" i="213"/>
  <c r="E85" i="213"/>
  <c r="E121" i="213"/>
  <c r="E23" i="213"/>
  <c r="F23" i="213" s="1"/>
  <c r="E119" i="213"/>
  <c r="E86" i="213"/>
  <c r="E40" i="213"/>
  <c r="F40" i="213" s="1"/>
  <c r="E37" i="213"/>
  <c r="F37" i="213" s="1"/>
  <c r="F41" i="208"/>
  <c r="F68" i="214"/>
  <c r="F74" i="214" s="1"/>
  <c r="E139" i="213"/>
  <c r="H10" i="219"/>
  <c r="H14" i="219"/>
  <c r="F26" i="214"/>
  <c r="F34" i="214" s="1"/>
  <c r="B18" i="212"/>
  <c r="D18" i="212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E43" i="213"/>
  <c r="G43" i="213" s="1"/>
  <c r="G46" i="213" s="1"/>
  <c r="F31" i="219"/>
  <c r="E142" i="213"/>
  <c r="E124" i="213"/>
  <c r="E72" i="213"/>
  <c r="F29" i="219"/>
  <c r="H13" i="219"/>
  <c r="E76" i="216"/>
  <c r="F76" i="216" s="1"/>
  <c r="F72" i="216" s="1"/>
  <c r="H7" i="219"/>
  <c r="I41" i="208"/>
  <c r="E71" i="216"/>
  <c r="F71" i="216" s="1"/>
  <c r="F67" i="216" s="1"/>
  <c r="A13" i="219"/>
  <c r="P14" i="212"/>
  <c r="V11" i="217"/>
  <c r="G12" i="217"/>
  <c r="D6" i="215"/>
  <c r="A13" i="212"/>
  <c r="A12" i="212"/>
  <c r="F135" i="213" l="1"/>
  <c r="F104" i="213"/>
  <c r="F119" i="213"/>
  <c r="G90" i="213"/>
  <c r="G93" i="213" s="1"/>
  <c r="G72" i="213"/>
  <c r="G75" i="213" s="1"/>
  <c r="F138" i="213"/>
  <c r="F136" i="213"/>
  <c r="F137" i="213"/>
  <c r="F85" i="213"/>
  <c r="F105" i="213"/>
  <c r="G142" i="213"/>
  <c r="G145" i="213" s="1"/>
  <c r="F139" i="213"/>
  <c r="K139" i="213"/>
  <c r="G124" i="213"/>
  <c r="G127" i="213" s="1"/>
  <c r="K124" i="213"/>
  <c r="K121" i="213"/>
  <c r="F121" i="213"/>
  <c r="K120" i="213"/>
  <c r="F120" i="213"/>
  <c r="K108" i="213"/>
  <c r="G108" i="213"/>
  <c r="G111" i="213" s="1"/>
  <c r="K103" i="213"/>
  <c r="F103" i="213"/>
  <c r="K87" i="213"/>
  <c r="F87" i="213"/>
  <c r="K86" i="213"/>
  <c r="F86" i="213"/>
  <c r="F47" i="214"/>
  <c r="F49" i="214" s="1"/>
  <c r="F57" i="214" s="1"/>
  <c r="K47" i="214"/>
  <c r="F25" i="219"/>
  <c r="E25" i="219"/>
  <c r="H25" i="219" s="1"/>
  <c r="F24" i="219"/>
  <c r="E24" i="219"/>
  <c r="H24" i="219" s="1"/>
  <c r="F21" i="219"/>
  <c r="E21" i="219"/>
  <c r="H21" i="219" s="1"/>
  <c r="E20" i="219"/>
  <c r="F20" i="219"/>
  <c r="F19" i="219"/>
  <c r="E19" i="219"/>
  <c r="F18" i="219"/>
  <c r="E18" i="219"/>
  <c r="H18" i="219" s="1"/>
  <c r="F17" i="219"/>
  <c r="E17" i="219"/>
  <c r="F16" i="219"/>
  <c r="E16" i="219"/>
  <c r="K10" i="218"/>
  <c r="I12" i="217"/>
  <c r="B23" i="212"/>
  <c r="G3" i="210"/>
  <c r="F3" i="210" s="1"/>
  <c r="E3" i="210"/>
  <c r="G41" i="208"/>
  <c r="I13" i="212"/>
  <c r="J13" i="212"/>
  <c r="K13" i="212"/>
  <c r="E61" i="216"/>
  <c r="F61" i="216" s="1"/>
  <c r="F56" i="216" s="1"/>
  <c r="E50" i="216"/>
  <c r="F50" i="216" s="1"/>
  <c r="F46" i="216" s="1"/>
  <c r="E28" i="216"/>
  <c r="E66" i="216"/>
  <c r="F66" i="216" s="1"/>
  <c r="F62" i="216" s="1"/>
  <c r="J18" i="212"/>
  <c r="K18" i="212"/>
  <c r="I18" i="212"/>
  <c r="G29" i="219"/>
  <c r="F88" i="213"/>
  <c r="F106" i="213"/>
  <c r="F111" i="213" s="1"/>
  <c r="F58" i="213"/>
  <c r="F41" i="213"/>
  <c r="F122" i="213"/>
  <c r="F127" i="213" s="1"/>
  <c r="F140" i="213"/>
  <c r="F24" i="213"/>
  <c r="F29" i="213" s="1"/>
  <c r="K68" i="214"/>
  <c r="K49" i="214"/>
  <c r="K26" i="214"/>
  <c r="K122" i="213"/>
  <c r="B14" i="212"/>
  <c r="A14" i="212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F40" i="219"/>
  <c r="E118" i="214"/>
  <c r="H118" i="214" s="1"/>
  <c r="D7" i="215"/>
  <c r="K41" i="213"/>
  <c r="C33" i="232" a="1"/>
  <c r="H20" i="219" l="1"/>
  <c r="H19" i="219"/>
  <c r="H17" i="219"/>
  <c r="H16" i="219"/>
  <c r="A25" i="212"/>
  <c r="A23" i="212"/>
  <c r="A24" i="212"/>
  <c r="F93" i="213"/>
  <c r="K88" i="213"/>
  <c r="F63" i="213"/>
  <c r="K58" i="213"/>
  <c r="J58" i="213"/>
  <c r="F46" i="213"/>
  <c r="J41" i="213"/>
  <c r="F145" i="213"/>
  <c r="K140" i="213"/>
  <c r="I23" i="212"/>
  <c r="J23" i="212"/>
  <c r="K23" i="212"/>
  <c r="E119" i="214"/>
  <c r="H119" i="214" s="1"/>
  <c r="E101" i="214"/>
  <c r="H101" i="214" s="1"/>
  <c r="F39" i="219"/>
  <c r="E136" i="214"/>
  <c r="H136" i="214" s="1"/>
  <c r="F41" i="219"/>
  <c r="E100" i="214"/>
  <c r="H100" i="214" s="1"/>
  <c r="E135" i="214"/>
  <c r="H135" i="214" s="1"/>
  <c r="E86" i="214"/>
  <c r="H86" i="214" s="1"/>
  <c r="E117" i="214"/>
  <c r="H117" i="214" s="1"/>
  <c r="E99" i="214"/>
  <c r="H99" i="214" s="1"/>
  <c r="E134" i="214"/>
  <c r="H134" i="214" s="1"/>
  <c r="E54" i="214"/>
  <c r="H54" i="214" s="1"/>
  <c r="E73" i="214"/>
  <c r="H73" i="214" s="1"/>
  <c r="F37" i="219"/>
  <c r="E31" i="214"/>
  <c r="H31" i="214" s="1"/>
  <c r="F28" i="216"/>
  <c r="F23" i="216" s="1"/>
  <c r="E34" i="216"/>
  <c r="K106" i="213"/>
  <c r="K24" i="213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H34" i="214" s="1"/>
  <c r="E98" i="214"/>
  <c r="H98" i="214" s="1"/>
  <c r="H103" i="214" s="1"/>
  <c r="A15" i="219"/>
  <c r="D8" i="215"/>
  <c r="C9" i="215"/>
  <c r="C34" i="232" a="1"/>
  <c r="E40" i="216" l="1"/>
  <c r="F40" i="216" s="1"/>
  <c r="F35" i="216" s="1"/>
  <c r="F34" i="216"/>
  <c r="F29" i="216" s="1"/>
  <c r="E62" i="213"/>
  <c r="H62" i="213" s="1"/>
  <c r="H63" i="213" s="1"/>
  <c r="F33" i="219"/>
  <c r="E74" i="213"/>
  <c r="H74" i="213" s="1"/>
  <c r="H75" i="213" s="1"/>
  <c r="E45" i="213"/>
  <c r="H45" i="213" s="1"/>
  <c r="H46" i="213" s="1"/>
  <c r="E28" i="213"/>
  <c r="H28" i="213" s="1"/>
  <c r="H29" i="213" s="1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35" i="213"/>
  <c r="J139" i="213"/>
  <c r="D15" i="219" s="1"/>
  <c r="G15" i="219" s="1"/>
  <c r="J142" i="213"/>
  <c r="J138" i="213"/>
  <c r="J140" i="213"/>
  <c r="E52" i="209"/>
  <c r="N52" i="219"/>
  <c r="N50" i="219"/>
  <c r="J18" i="213"/>
  <c r="D14" i="212"/>
  <c r="D12" i="212"/>
  <c r="O52" i="219"/>
  <c r="O50" i="219"/>
  <c r="J17" i="214"/>
  <c r="J83" i="213"/>
  <c r="D17" i="212"/>
  <c r="D24" i="212"/>
  <c r="D25" i="212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D22" i="212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10" i="213" l="1"/>
  <c r="H110" i="213" s="1"/>
  <c r="H111" i="213" s="1"/>
  <c r="E144" i="213"/>
  <c r="H144" i="213" s="1"/>
  <c r="H145" i="213" s="1"/>
  <c r="E126" i="213"/>
  <c r="H126" i="213" s="1"/>
  <c r="H127" i="213" s="1"/>
  <c r="J144" i="213"/>
  <c r="J136" i="213"/>
  <c r="D12" i="219" s="1"/>
  <c r="G12" i="219" s="1"/>
  <c r="J137" i="213"/>
  <c r="D14" i="219" s="1"/>
  <c r="G14" i="219" s="1"/>
  <c r="G41" i="219"/>
  <c r="K41" i="219"/>
  <c r="O41" i="219" s="1"/>
  <c r="N31" i="219"/>
  <c r="G31" i="219"/>
  <c r="D36" i="219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J108" i="213"/>
  <c r="J106" i="213"/>
  <c r="D27" i="219" s="1"/>
  <c r="G27" i="219" s="1"/>
  <c r="A27" i="219"/>
  <c r="A17" i="219"/>
  <c r="D10" i="215"/>
  <c r="C11" i="215"/>
  <c r="K33" i="219"/>
  <c r="N33" i="219" s="1"/>
  <c r="G33" i="219"/>
  <c r="D23" i="219"/>
  <c r="G23" i="219" s="1"/>
  <c r="I14" i="212"/>
  <c r="J14" i="212"/>
  <c r="K14" i="212"/>
  <c r="I12" i="212"/>
  <c r="J12" i="212"/>
  <c r="K12" i="212"/>
  <c r="I17" i="212"/>
  <c r="J17" i="212"/>
  <c r="K17" i="212"/>
  <c r="I24" i="212"/>
  <c r="J24" i="212"/>
  <c r="K24" i="212"/>
  <c r="J110" i="214"/>
  <c r="J25" i="212"/>
  <c r="I25" i="212"/>
  <c r="K25" i="212"/>
  <c r="J22" i="212"/>
  <c r="K22" i="212"/>
  <c r="I22" i="212"/>
  <c r="I19" i="212" s="1"/>
  <c r="G36" i="219" l="1"/>
  <c r="K36" i="219"/>
  <c r="O36" i="219" s="1"/>
  <c r="K34" i="219"/>
  <c r="N34" i="219" s="1"/>
  <c r="N32" i="219" s="1"/>
  <c r="G34" i="219"/>
  <c r="A18" i="219"/>
  <c r="D11" i="215"/>
  <c r="E11" i="215"/>
  <c r="J120" i="214"/>
  <c r="D38" i="219" s="1"/>
  <c r="J117" i="214"/>
  <c r="D37" i="219" s="1"/>
  <c r="J112" i="214"/>
  <c r="D26" i="219" s="1"/>
  <c r="G26" i="219" s="1"/>
  <c r="G5" i="219" s="1"/>
  <c r="J118" i="214"/>
  <c r="D40" i="219" s="1"/>
  <c r="J119" i="214"/>
  <c r="D39" i="219" s="1"/>
  <c r="J114" i="214"/>
  <c r="J116" i="214"/>
  <c r="D35" i="219" s="1"/>
  <c r="K11" i="212"/>
  <c r="I11" i="212"/>
  <c r="I27" i="212" s="1"/>
  <c r="E10" i="211" s="1"/>
  <c r="J11" i="212"/>
  <c r="J26" i="212"/>
  <c r="J19" i="212" s="1"/>
  <c r="K26" i="212"/>
  <c r="K19" i="212" s="1"/>
  <c r="A19" i="219" l="1"/>
  <c r="G38" i="219"/>
  <c r="K38" i="219"/>
  <c r="O38" i="219" s="1"/>
  <c r="G37" i="219"/>
  <c r="K37" i="219"/>
  <c r="O37" i="219" s="1"/>
  <c r="G40" i="219"/>
  <c r="K40" i="219"/>
  <c r="O40" i="219" s="1"/>
  <c r="K39" i="219"/>
  <c r="O39" i="219" s="1"/>
  <c r="G39" i="219"/>
  <c r="D30" i="219"/>
  <c r="O30" i="219"/>
  <c r="O28" i="219" s="1"/>
  <c r="K35" i="219"/>
  <c r="O35" i="219" s="1"/>
  <c r="G35" i="219"/>
  <c r="J27" i="212"/>
  <c r="E11" i="211" s="1"/>
  <c r="K27" i="212"/>
  <c r="E12" i="211" s="1"/>
  <c r="O32" i="219" l="1"/>
  <c r="O42" i="219" s="1"/>
  <c r="O44" i="219" s="1"/>
  <c r="O53" i="219" s="1"/>
  <c r="O54" i="219" s="1"/>
  <c r="E13" i="211"/>
  <c r="E14" i="211"/>
  <c r="A20" i="219"/>
  <c r="D28" i="219"/>
  <c r="G30" i="219"/>
  <c r="G28" i="219" s="1"/>
  <c r="N30" i="219"/>
  <c r="N28" i="219" s="1"/>
  <c r="N42" i="219" s="1"/>
  <c r="G32" i="219"/>
  <c r="I5" i="219"/>
  <c r="I32" i="219"/>
  <c r="I28" i="219"/>
  <c r="E19" i="211" l="1"/>
  <c r="E15" i="211"/>
  <c r="E16" i="211" s="1"/>
  <c r="A21" i="219"/>
  <c r="A22" i="219" s="1"/>
  <c r="L19" i="209"/>
  <c r="J19" i="209"/>
  <c r="I21" i="209" s="1"/>
  <c r="I22" i="209" s="1"/>
  <c r="J20" i="209" s="1"/>
  <c r="G43" i="219"/>
  <c r="P42" i="219"/>
  <c r="Q42" i="219" s="1"/>
  <c r="Q44" i="219" s="1"/>
  <c r="N44" i="219"/>
  <c r="G42" i="219"/>
  <c r="G44" i="219" l="1"/>
  <c r="I44" i="219" s="1"/>
  <c r="E20" i="211"/>
  <c r="E21" i="211"/>
  <c r="E23" i="211"/>
  <c r="E22" i="211"/>
  <c r="E18" i="211"/>
  <c r="P5" i="209"/>
  <c r="G42" i="209"/>
  <c r="Q5" i="209"/>
  <c r="E42" i="209"/>
  <c r="F45" i="209" s="1"/>
  <c r="E45" i="209" s="1"/>
  <c r="E46" i="209" s="1"/>
  <c r="F44" i="209" s="1"/>
  <c r="A23" i="219"/>
  <c r="A24" i="219" s="1"/>
  <c r="A25" i="219" s="1"/>
  <c r="A26" i="219" s="1"/>
  <c r="P44" i="219"/>
  <c r="N53" i="219"/>
  <c r="N54" i="219" s="1"/>
  <c r="O8" i="209" l="1"/>
  <c r="P8" i="209" a="1"/>
  <c r="P13" i="209"/>
  <c r="E17" i="211"/>
  <c r="E24" i="211" s="1"/>
  <c r="E25" i="211" s="1"/>
  <c r="E26" i="211" s="1"/>
  <c r="E27" i="211" s="1"/>
  <c r="N62" i="219"/>
  <c r="N60" i="219"/>
  <c r="P7" i="209" l="1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<sst xmlns="http://schemas.openxmlformats.org/spreadsheetml/2006/main" count="1634" uniqueCount="555">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</sst>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4" t="s">
        <v>436</v>
      </c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710"/>
      <c r="S1" s="710"/>
    </row>
    <row r="2" spans="1:31" ht="20.25" customHeight="1">
      <c r="C2" s="823" t="s">
        <v>541</v>
      </c>
      <c r="D2" s="823"/>
      <c r="E2" s="823"/>
      <c r="F2" s="823"/>
      <c r="G2" s="823"/>
      <c r="H2" s="823"/>
      <c r="I2" s="823"/>
      <c r="J2" s="823"/>
      <c r="K2" s="823"/>
      <c r="L2" s="823"/>
      <c r="M2" s="823"/>
      <c r="N2" s="823"/>
      <c r="O2" s="823"/>
      <c r="P2" s="823"/>
      <c r="Q2" s="823"/>
      <c r="R2" s="711"/>
      <c r="S2" s="711"/>
    </row>
    <row r="3" spans="1:31" ht="20.25" customHeight="1">
      <c r="C3" s="824" t="s">
        <v>195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711"/>
      <c r="S3" s="711"/>
    </row>
    <row r="4" spans="1:31" ht="20.25" customHeight="1">
      <c r="C4" s="823" t="s">
        <v>542</v>
      </c>
      <c r="D4" s="823"/>
      <c r="E4" s="823"/>
      <c r="F4" s="823"/>
      <c r="G4" s="823"/>
      <c r="H4" s="823"/>
      <c r="I4" s="823"/>
      <c r="J4" s="823"/>
      <c r="K4" s="823"/>
      <c r="L4" s="823"/>
      <c r="M4" s="823"/>
      <c r="N4" s="823"/>
      <c r="O4" s="823"/>
      <c r="P4" s="823"/>
      <c r="Q4" s="823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5" t="s">
        <v>452</v>
      </c>
      <c r="B6" s="713"/>
      <c r="C6" s="826" t="s">
        <v>18</v>
      </c>
      <c r="D6" s="826" t="s">
        <v>453</v>
      </c>
      <c r="E6" s="827" t="s">
        <v>454</v>
      </c>
      <c r="F6" s="827" t="s">
        <v>455</v>
      </c>
      <c r="G6" s="820" t="s">
        <v>456</v>
      </c>
      <c r="H6" s="822"/>
      <c r="I6" s="821"/>
      <c r="J6" s="815" t="s">
        <v>510</v>
      </c>
      <c r="K6" s="816"/>
      <c r="L6" s="817"/>
      <c r="M6" s="820" t="s">
        <v>508</v>
      </c>
      <c r="N6" s="821"/>
      <c r="O6" s="820" t="s">
        <v>509</v>
      </c>
      <c r="P6" s="821"/>
      <c r="Q6" s="818" t="s">
        <v>19</v>
      </c>
      <c r="R6" s="711"/>
      <c r="S6" s="711"/>
      <c r="U6" s="709">
        <v>3</v>
      </c>
    </row>
    <row r="7" spans="1:31" ht="57.6" customHeight="1">
      <c r="A7" s="825"/>
      <c r="B7" s="713"/>
      <c r="C7" s="826"/>
      <c r="D7" s="826"/>
      <c r="E7" s="827"/>
      <c r="F7" s="82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19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549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0" t="s">
        <v>0</v>
      </c>
      <c r="B15" s="840" t="s">
        <v>304</v>
      </c>
      <c r="C15" s="843" t="s">
        <v>305</v>
      </c>
      <c r="D15" s="844"/>
      <c r="E15" s="844"/>
      <c r="F15" s="844"/>
      <c r="G15" s="845"/>
    </row>
    <row r="16" spans="1:7" ht="15" customHeight="1">
      <c r="A16" s="841"/>
      <c r="B16" s="841"/>
      <c r="C16" s="840" t="s">
        <v>306</v>
      </c>
      <c r="D16" s="840" t="s">
        <v>307</v>
      </c>
      <c r="E16" s="478" t="s">
        <v>308</v>
      </c>
      <c r="F16" s="840" t="s">
        <v>310</v>
      </c>
      <c r="G16" s="479" t="s">
        <v>311</v>
      </c>
    </row>
    <row r="17" spans="1:7">
      <c r="A17" s="842"/>
      <c r="B17" s="842"/>
      <c r="C17" s="842"/>
      <c r="D17" s="842"/>
      <c r="E17" s="480" t="s">
        <v>309</v>
      </c>
      <c r="F17" s="842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8" t="s">
        <v>0</v>
      </c>
      <c r="B26" s="485" t="s">
        <v>264</v>
      </c>
      <c r="C26" s="850" t="s">
        <v>317</v>
      </c>
      <c r="D26" s="851"/>
      <c r="E26" s="852"/>
    </row>
    <row r="27" spans="1:7" ht="30.6" customHeight="1">
      <c r="A27" s="849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6" t="s">
        <v>0</v>
      </c>
      <c r="B35" s="461" t="s">
        <v>264</v>
      </c>
      <c r="C35" s="854" t="s">
        <v>305</v>
      </c>
      <c r="D35" s="855"/>
      <c r="E35" s="856"/>
    </row>
    <row r="36" spans="1:7" ht="67.2" customHeight="1">
      <c r="A36" s="853"/>
      <c r="B36" s="491" t="s">
        <v>316</v>
      </c>
      <c r="C36" s="491" t="s">
        <v>321</v>
      </c>
      <c r="D36" s="846" t="s">
        <v>323</v>
      </c>
      <c r="E36" s="846" t="s">
        <v>324</v>
      </c>
      <c r="F36" s="846" t="s">
        <v>323</v>
      </c>
      <c r="G36" s="846" t="s">
        <v>324</v>
      </c>
    </row>
    <row r="37" spans="1:7" ht="16.8">
      <c r="A37" s="847"/>
      <c r="B37" s="492"/>
      <c r="C37" s="493" t="s">
        <v>322</v>
      </c>
      <c r="D37" s="847"/>
      <c r="E37" s="847"/>
      <c r="F37" s="847"/>
      <c r="G37" s="847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06" t="s">
        <v>121</v>
      </c>
      <c r="B2" s="806"/>
      <c r="C2" s="806"/>
      <c r="D2" s="806"/>
      <c r="E2" s="806"/>
      <c r="F2" s="806"/>
    </row>
    <row r="3" spans="1:25" s="630" customFormat="1" ht="48" customHeight="1">
      <c r="A3" s="807" t="str">
        <f>'PL01'!C2</f>
        <v>Dự án: Cải tạo, nâng cấp  trạm bơm Trà Phương 3 tiêu thoát nước cho vùng các khu công nghiệp huyện Kim Động, Ân Thi, Yên Mỹ tỉnh Hưng Yên</v>
      </c>
      <c r="B3" s="808"/>
      <c r="C3" s="808"/>
      <c r="D3" s="808"/>
      <c r="E3" s="808"/>
      <c r="F3" s="808"/>
      <c r="H3" s="631"/>
    </row>
    <row r="4" spans="1:25" s="632" customFormat="1" ht="16.8" customHeight="1">
      <c r="A4" s="807" t="str">
        <f>'PL01'!C3</f>
        <v>Hạng mục: Rà phá bom mìn, vật nổ</v>
      </c>
      <c r="B4" s="808"/>
      <c r="C4" s="808"/>
      <c r="D4" s="808"/>
      <c r="E4" s="808"/>
      <c r="F4" s="808"/>
    </row>
    <row r="5" spans="1:25" s="630" customFormat="1" ht="22.8" customHeight="1">
      <c r="A5" s="807" t="str">
        <f>'PL01'!C4</f>
        <v>Địa điểm: Xã Hồng Quang, tỉnh Hưng Yên</v>
      </c>
      <c r="B5" s="808"/>
      <c r="C5" s="808"/>
      <c r="D5" s="808"/>
      <c r="E5" s="808"/>
      <c r="F5" s="808"/>
    </row>
    <row r="6" spans="1:25" s="632" customFormat="1" ht="21" hidden="1" customHeight="1">
      <c r="A6" s="805" t="s">
        <v>240</v>
      </c>
      <c r="B6" s="805"/>
      <c r="C6" s="805"/>
      <c r="D6" s="805"/>
      <c r="E6" s="805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11" t="s">
        <v>554</v>
      </c>
      <c r="B28" s="811"/>
      <c r="C28" s="811"/>
      <c r="D28" s="811"/>
      <c r="E28" s="811"/>
      <c r="F28" s="811"/>
      <c r="G28" s="812"/>
      <c r="H28" s="812"/>
      <c r="I28" s="812"/>
      <c r="J28" s="812"/>
      <c r="K28" s="812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3" t="s">
        <v>179</v>
      </c>
      <c r="B30" s="813"/>
      <c r="C30" s="424"/>
      <c r="D30" s="813" t="s">
        <v>123</v>
      </c>
      <c r="E30" s="813"/>
      <c r="F30" s="813"/>
    </row>
    <row r="31" spans="1:12" ht="16.95" customHeight="1">
      <c r="A31" s="813"/>
      <c r="B31" s="813"/>
      <c r="C31" s="424"/>
      <c r="D31" s="813" t="s">
        <v>550</v>
      </c>
      <c r="E31" s="813"/>
      <c r="F31" s="813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3" t="s">
        <v>551</v>
      </c>
      <c r="E35" s="813"/>
      <c r="F35" s="813"/>
    </row>
    <row r="36" spans="1:6" ht="18">
      <c r="A36" s="809"/>
      <c r="B36" s="809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0"/>
      <c r="B39" s="810"/>
      <c r="C39" s="810"/>
      <c r="D39" s="810"/>
      <c r="E39" s="810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8" t="s">
        <v>351</v>
      </c>
      <c r="B1" s="858"/>
      <c r="C1" s="858"/>
      <c r="D1" s="858"/>
      <c r="E1" s="858"/>
      <c r="F1" s="858"/>
      <c r="G1" s="858"/>
      <c r="H1" s="858"/>
      <c r="I1" s="858"/>
      <c r="J1" s="858"/>
      <c r="K1" s="858"/>
      <c r="L1" s="23"/>
      <c r="M1" s="23"/>
      <c r="N1" s="23"/>
      <c r="O1" s="23"/>
    </row>
    <row r="2" spans="1:22" ht="24" customHeight="1">
      <c r="A2" s="858" t="s">
        <v>112</v>
      </c>
      <c r="B2" s="858"/>
      <c r="C2" s="858"/>
      <c r="D2" s="858"/>
      <c r="E2" s="858"/>
      <c r="F2" s="858"/>
      <c r="G2" s="858"/>
      <c r="H2" s="858"/>
      <c r="I2" s="858"/>
      <c r="J2" s="858"/>
      <c r="K2" s="858"/>
      <c r="L2" s="23"/>
      <c r="M2" s="23"/>
      <c r="N2" s="23"/>
      <c r="O2" s="23"/>
      <c r="Q2" s="859"/>
      <c r="R2" s="859"/>
      <c r="S2" s="859"/>
      <c r="T2" s="859"/>
    </row>
    <row r="3" spans="1:22" ht="24" hidden="1" customHeight="1">
      <c r="A3" s="857" t="e">
        <f>#REF!</f>
        <v>#REF!</v>
      </c>
      <c r="B3" s="857"/>
      <c r="C3" s="857"/>
      <c r="D3" s="857"/>
      <c r="E3" s="857"/>
      <c r="F3" s="857"/>
      <c r="G3" s="857"/>
      <c r="H3" s="857"/>
      <c r="I3" s="857"/>
      <c r="J3" s="857"/>
      <c r="K3" s="857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7" t="s">
        <v>195</v>
      </c>
      <c r="B5" s="857"/>
      <c r="C5" s="857"/>
      <c r="D5" s="857"/>
      <c r="E5" s="857"/>
      <c r="F5" s="857"/>
      <c r="G5" s="857"/>
      <c r="H5" s="857"/>
      <c r="I5" s="857"/>
      <c r="J5" s="857"/>
      <c r="K5" s="857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4"/>
      <c r="B7" s="864"/>
      <c r="C7" s="864"/>
      <c r="D7" s="864"/>
      <c r="E7" s="864"/>
      <c r="F7" s="864"/>
      <c r="G7" s="864"/>
      <c r="H7" s="864"/>
      <c r="I7" s="864"/>
      <c r="J7" s="864"/>
      <c r="K7" s="864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5" t="s">
        <v>0</v>
      </c>
      <c r="B9" s="865" t="s">
        <v>49</v>
      </c>
      <c r="C9" s="865" t="s">
        <v>53</v>
      </c>
      <c r="D9" s="865" t="s">
        <v>22</v>
      </c>
      <c r="E9" s="865" t="s">
        <v>164</v>
      </c>
      <c r="F9" s="861" t="s">
        <v>31</v>
      </c>
      <c r="G9" s="861"/>
      <c r="H9" s="861"/>
      <c r="I9" s="861" t="s">
        <v>45</v>
      </c>
      <c r="J9" s="861"/>
      <c r="K9" s="861"/>
      <c r="L9" s="861" t="s">
        <v>167</v>
      </c>
      <c r="M9" s="861"/>
      <c r="N9" s="861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6"/>
      <c r="B10" s="866"/>
      <c r="C10" s="866"/>
      <c r="D10" s="866"/>
      <c r="E10" s="866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 t="shared" ref="I11:N11" si="0">SUM(I12:I18)</f>
        <v>5208997.4635888003</v>
      </c>
      <c r="J11" s="382">
        <f t="shared" si="0"/>
        <v>124640248.5</v>
      </c>
      <c r="K11" s="382">
        <f t="shared" si="0"/>
        <v>49083054.229040004</v>
      </c>
      <c r="L11" s="66">
        <f t="shared" si="0"/>
        <v>0</v>
      </c>
      <c r="M11" s="66">
        <f t="shared" si="0"/>
        <v>0</v>
      </c>
      <c r="N11" s="66">
        <f t="shared" si="0"/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 t="shared" ref="I12:I18" si="1">D12*F12</f>
        <v>0</v>
      </c>
      <c r="J12" s="384">
        <f t="shared" ref="J12:J18" si="2">D12*G12</f>
        <v>63179325</v>
      </c>
      <c r="K12" s="384">
        <f t="shared" ref="K12:K18" si="3">D12*H12</f>
        <v>0</v>
      </c>
      <c r="L12" s="241">
        <f t="shared" ref="L12:L18" si="4">E12*F12</f>
        <v>0</v>
      </c>
      <c r="M12" s="241">
        <f t="shared" ref="M12:M18" si="5">E12*G12</f>
        <v>0</v>
      </c>
      <c r="N12" s="241">
        <f t="shared" ref="N12:N18" si="6">E12*H12</f>
        <v>0</v>
      </c>
      <c r="O12" s="241"/>
      <c r="P12" s="501">
        <f t="shared" ref="P12:P14" si="7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 t="shared" si="1"/>
        <v>3244405.5</v>
      </c>
      <c r="J13" s="385">
        <f t="shared" si="2"/>
        <v>32740092</v>
      </c>
      <c r="K13" s="385">
        <f t="shared" si="3"/>
        <v>33634160.773200005</v>
      </c>
      <c r="L13" s="241">
        <f t="shared" si="4"/>
        <v>0</v>
      </c>
      <c r="M13" s="241">
        <f t="shared" si="5"/>
        <v>0</v>
      </c>
      <c r="N13" s="241">
        <f t="shared" si="6"/>
        <v>0</v>
      </c>
      <c r="O13" s="241"/>
      <c r="P13" s="501" t="str">
        <f t="shared" si="7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 t="shared" si="1"/>
        <v>0</v>
      </c>
      <c r="J14" s="385">
        <f t="shared" si="2"/>
        <v>8290350</v>
      </c>
      <c r="K14" s="385">
        <f t="shared" si="3"/>
        <v>2852079.048</v>
      </c>
      <c r="L14" s="241">
        <f t="shared" si="4"/>
        <v>0</v>
      </c>
      <c r="M14" s="241">
        <f t="shared" si="5"/>
        <v>0</v>
      </c>
      <c r="N14" s="241">
        <f t="shared" si="6"/>
        <v>0</v>
      </c>
      <c r="O14" s="241"/>
      <c r="P14" s="501">
        <f t="shared" si="7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 t="shared" si="1"/>
        <v>1582034.9999999998</v>
      </c>
      <c r="J15" s="385">
        <f t="shared" si="2"/>
        <v>8619682.5</v>
      </c>
      <c r="K15" s="385">
        <f t="shared" si="3"/>
        <v>12425391.315999998</v>
      </c>
      <c r="L15" s="241">
        <f t="shared" si="4"/>
        <v>0</v>
      </c>
      <c r="M15" s="241">
        <f t="shared" si="5"/>
        <v>0</v>
      </c>
      <c r="N15" s="241">
        <f t="shared" si="6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 t="shared" si="1"/>
        <v>0</v>
      </c>
      <c r="J16" s="385">
        <f t="shared" si="2"/>
        <v>0</v>
      </c>
      <c r="K16" s="385">
        <f t="shared" si="3"/>
        <v>0</v>
      </c>
      <c r="L16" s="241">
        <f t="shared" si="4"/>
        <v>0</v>
      </c>
      <c r="M16" s="241">
        <f t="shared" si="5"/>
        <v>0</v>
      </c>
      <c r="N16" s="241">
        <f t="shared" si="6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 t="shared" si="1"/>
        <v>382556.96358879999</v>
      </c>
      <c r="J17" s="385">
        <f t="shared" si="2"/>
        <v>11810799</v>
      </c>
      <c r="K17" s="385">
        <f t="shared" si="3"/>
        <v>171423.09184000001</v>
      </c>
      <c r="L17" s="241">
        <f t="shared" si="4"/>
        <v>0</v>
      </c>
      <c r="M17" s="241">
        <f t="shared" si="5"/>
        <v>0</v>
      </c>
      <c r="N17" s="241">
        <f t="shared" si="6"/>
        <v>0</v>
      </c>
      <c r="O17" s="241"/>
      <c r="P17" s="501">
        <f t="shared" ref="P17:P18" si="8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 t="shared" si="1"/>
        <v>0</v>
      </c>
      <c r="J18" s="385">
        <f t="shared" si="2"/>
        <v>0</v>
      </c>
      <c r="K18" s="385">
        <f t="shared" si="3"/>
        <v>0</v>
      </c>
      <c r="L18" s="241">
        <f t="shared" si="4"/>
        <v>0</v>
      </c>
      <c r="M18" s="241">
        <f t="shared" si="5"/>
        <v>0</v>
      </c>
      <c r="N18" s="241">
        <f t="shared" si="6"/>
        <v>0</v>
      </c>
      <c r="O18" s="241"/>
      <c r="P18" s="501">
        <f t="shared" si="8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 t="shared" ref="I19:N19" si="9">SUM(I20:I26)</f>
        <v>7331588.1559999995</v>
      </c>
      <c r="J19" s="382">
        <f t="shared" si="9"/>
        <v>143774571.59999999</v>
      </c>
      <c r="K19" s="382">
        <f t="shared" si="9"/>
        <v>509776991.89318007</v>
      </c>
      <c r="L19" s="66">
        <f t="shared" si="9"/>
        <v>0</v>
      </c>
      <c r="M19" s="66">
        <f t="shared" si="9"/>
        <v>0</v>
      </c>
      <c r="N19" s="66">
        <f t="shared" si="9"/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 t="shared" ref="I20:I25" si="10">D20*F20</f>
        <v>3806374.88</v>
      </c>
      <c r="J20" s="385">
        <f t="shared" ref="J20:J25" si="11">D20*G20</f>
        <v>78409485</v>
      </c>
      <c r="K20" s="385">
        <f t="shared" ref="K20:K25" si="12">D20*H20</f>
        <v>263169948.06200004</v>
      </c>
      <c r="L20" s="241">
        <f t="shared" ref="L20:L25" si="13">E20*F20</f>
        <v>0</v>
      </c>
      <c r="M20" s="241">
        <f t="shared" ref="M20:M25" si="14">E20*G20</f>
        <v>0</v>
      </c>
      <c r="N20" s="241">
        <f t="shared" ref="N20:N25" si="15"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 t="shared" si="10"/>
        <v>2370689.7760000001</v>
      </c>
      <c r="J21" s="385">
        <f t="shared" si="11"/>
        <v>31952151</v>
      </c>
      <c r="K21" s="385">
        <f t="shared" si="12"/>
        <v>130232616.18780001</v>
      </c>
      <c r="L21" s="241">
        <f t="shared" si="13"/>
        <v>0</v>
      </c>
      <c r="M21" s="241">
        <f t="shared" si="14"/>
        <v>0</v>
      </c>
      <c r="N21" s="241">
        <f t="shared" si="15"/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 t="shared" si="10"/>
        <v>619483.5</v>
      </c>
      <c r="J22" s="385">
        <f t="shared" si="11"/>
        <v>3908520</v>
      </c>
      <c r="K22" s="385">
        <f t="shared" si="12"/>
        <v>4832182.8000000007</v>
      </c>
      <c r="L22" s="241">
        <f t="shared" si="13"/>
        <v>0</v>
      </c>
      <c r="M22" s="241">
        <f t="shared" si="14"/>
        <v>0</v>
      </c>
      <c r="N22" s="241">
        <f t="shared" si="15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 t="shared" si="10"/>
        <v>0</v>
      </c>
      <c r="J23" s="385">
        <f t="shared" si="11"/>
        <v>15142050</v>
      </c>
      <c r="K23" s="385">
        <f t="shared" si="12"/>
        <v>58738803.620000005</v>
      </c>
      <c r="L23" s="241">
        <f t="shared" si="13"/>
        <v>0</v>
      </c>
      <c r="M23" s="241">
        <f t="shared" si="14"/>
        <v>0</v>
      </c>
      <c r="N23" s="241">
        <f t="shared" si="15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 t="shared" si="10"/>
        <v>0</v>
      </c>
      <c r="J24" s="385">
        <f t="shared" si="11"/>
        <v>796950</v>
      </c>
      <c r="K24" s="385">
        <f t="shared" si="12"/>
        <v>5352092.9910000004</v>
      </c>
      <c r="L24" s="241">
        <f t="shared" si="13"/>
        <v>0</v>
      </c>
      <c r="M24" s="241">
        <f t="shared" si="14"/>
        <v>0</v>
      </c>
      <c r="N24" s="241">
        <f t="shared" si="15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 t="shared" si="10"/>
        <v>535040</v>
      </c>
      <c r="J25" s="385">
        <f t="shared" si="11"/>
        <v>495000</v>
      </c>
      <c r="K25" s="385">
        <f t="shared" si="12"/>
        <v>1107985.3330000001</v>
      </c>
      <c r="L25" s="241">
        <f t="shared" si="13"/>
        <v>0</v>
      </c>
      <c r="M25" s="241">
        <f t="shared" si="14"/>
        <v>0</v>
      </c>
      <c r="N25" s="241">
        <f t="shared" si="15"/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 t="s">
        <v>553</v>
      </c>
      <c r="G27" s="511" t="s">
        <v>553</v>
      </c>
      <c r="H27" s="511" t="s">
        <v>553</v>
      </c>
      <c r="I27" s="512">
        <f t="shared" ref="I27:N27" si="16">I11+I19</f>
        <v>12540585.6195888</v>
      </c>
      <c r="J27" s="512">
        <f t="shared" si="16"/>
        <v>268414820.09999999</v>
      </c>
      <c r="K27" s="512">
        <f t="shared" si="16"/>
        <v>558860046.12222004</v>
      </c>
      <c r="L27" s="512">
        <f t="shared" si="16"/>
        <v>0</v>
      </c>
      <c r="M27" s="512">
        <f t="shared" si="16"/>
        <v>0</v>
      </c>
      <c r="N27" s="512">
        <f t="shared" si="16"/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2"/>
      <c r="D30" s="863"/>
      <c r="I30" s="206"/>
      <c r="J30" s="206"/>
      <c r="K30" s="206"/>
      <c r="P30" s="207"/>
    </row>
    <row r="31" spans="1:22">
      <c r="C31" s="862"/>
      <c r="D31" s="863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8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2026-08-03T11:26:34Z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1|68fe8bed27714d9f8458d09e19c41ff2|8|487EA0D9CAFC9106FB52DFAE8CA0E9E2E82CA2638101F85B7DE6EBD4E7024A50</vt:lpwstr>
  </property>
  <property fmtid="{D5CDD505-2E9C-101B-9397-08002B2CF9AE}" pid="12" name="TTBMVN.ProjectProfile.Part.68fe8bed27714d9f8458d09e19c41ff2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3" name="TTBMVN.ProjectProfile.Part.68fe8bed27714d9f8458d09e19c41ff2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4" name="TTBMVN.ProjectProfile.Part.68fe8bed27714d9f8458d09e19c41ff2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5" name="TTBMVN.ProjectProfile.Part.68fe8bed27714d9f8458d09e19c41ff2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6" name="TTBMVN.ProjectProfile.Part.68fe8bed27714d9f8458d09e19c41ff2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7" name="TTBMVN.ProjectProfile.Part.68fe8bed27714d9f8458d09e19c41ff2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" name="TTBMVN.ProjectProfile.Part.68fe8bed27714d9f8458d09e19c41ff2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9" name="TTBMVN.ProjectProfile.Part.68fe8bed27714d9f8458d09e19c41ff2.0007">
    <vt:lpwstr>dmVycmlkZS4gRFQtMTAzIHBlcnNpc3RlbmNlIHByb2ZpbGUgb25seTsgbm8gYnVzaW5lc3Mgb3ZlcnJpZGUuIERULTEwMyBwZXJzaXN0ZW5jZSBwcm9maWxlIG9ubHk7IG5vIGJ1c2luZXNzIG92ZXJyaWRlLg==</vt:lpwstr>
  </property>
  <property fmtid="{D5CDD505-2E9C-101B-9397-08002B2CF9AE}" pid="20" name="TTBMVN.PriceProfile.Part.9ceaa66d389d45abbe5f0bd9d6745584.0000">
    <vt:lpwstr>TTBMVN_PRICE_PROFILE
schema=1
profileId=VEVTVC1EVDEwMy1QUklDRS1CQVNFTElORQ==
dataVersion=MS4wLjA=
displayName=TmhhcCB0dSBEVC00MDYtd29ya2luZy1jb3B5Lnhsc20=
location=SGEgTm9p
valuationDate=2026-08-03
laborAudience=2
createdAtUtc=2026-08-03T11</vt:lpwstr>
  </property>
  <property fmtid="{D5CDD505-2E9C-101B-9397-08002B2CF9AE}" pid="21" name="TTBMVN.PriceProfile.Part.9ceaa66d389d45abbe5f0bd9d6745584.0001">
    <vt:lpwstr>:02:17.6297654Z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22" name="TTBMVN.PriceProfile.Part.9ceaa66d389d45abbe5f0bd9d6745584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23" name="TTBMVN.PriceProfile.Part.9ceaa66d389d45abbe5f0bd9d6745584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24" name="TTBMVN.PriceProfile.Part.9ceaa66d389d45abbe5f0bd9d6745584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25" name="TTBMVN.PriceProfile.Part.9ceaa66d389d45abbe5f0bd9d6745584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26" name="TTBMVN.PriceProfile.Part.9ceaa66d389d45abbe5f0bd9d6745584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27" name="TTBMVN.PriceProfile.Part.9ceaa66d389d45abbe5f0bd9d6745584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8" name="TTBMVN.PriceProfile.Part.9ceaa66d389d45abbe5f0bd9d6745584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9" name="TTBMVN.PriceProfile.Part.9ceaa66d389d45abbe5f0bd9d6745584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30" name="TTBMVN.PriceProfile.Part.9ceaa66d389d45abbe5f0bd9d6745584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31" name="TTBMVN.PriceProfile.Part.9ceaa66d389d45abbe5f0bd9d6745584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32" name="TTBMVN.PriceProfile.Part.9ceaa66d389d45abbe5f0bd9d6745584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33" name="TTBMVN.PriceProfile.Part.9ceaa66d389d45abbe5f0bd9d6745584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34" name="TTBMVN.PriceProfile.Part.9ceaa66d389d45abbe5f0bd9d6745584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35" name="TTBMVN.PriceProfile.Part.9ceaa66d389d45abbe5f0bd9d6745584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36" name="TTBMVN.PriceProfile.Part.9ceaa66d389d45abbe5f0bd9d6745584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37" name="TTBMVN.PriceProfile.Part.9ceaa66d389d45abbe5f0bd9d6745584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8" name="TTBMVN.PriceProfile.Part.9ceaa66d389d45abbe5f0bd9d6745584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9" name="TTBMVN.PriceProfile.Part.9ceaa66d389d45abbe5f0bd9d6745584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40" name="TTBMVN.PriceProfile.Part.9ceaa66d389d45abbe5f0bd9d6745584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41" name="TTBMVN.PriceProfile.Part.9ceaa66d389d45abbe5f0bd9d6745584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42" name="TTBMVN.PriceProfile.Part.9ceaa66d389d45abbe5f0bd9d6745584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43" name="TTBMVN.PriceProfile.Part.9ceaa66d389d45abbe5f0bd9d6745584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44" name="TTBMVN.PriceProfile.Part.9ceaa66d389d45abbe5f0bd9d6745584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45" name="TTBMVN.PriceProfile.Part.9ceaa66d389d45abbe5f0bd9d6745584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46" name="TTBMVN.PriceProfile.Part.9ceaa66d389d45abbe5f0bd9d6745584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47" name="TTBMVN.PriceProfile.Part.9ceaa66d389d45abbe5f0bd9d6745584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8" name="TTBMVN.PriceProfile.Part.9ceaa66d389d45abbe5f0bd9d6745584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9" name="TTBMVN.PriceProfile.Part.9ceaa66d389d45abbe5f0bd9d6745584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50" name="TTBMVN.PriceProfile.Part.9ceaa66d389d45abbe5f0bd9d6745584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51" name="TTBMVN.PriceProfile.Part.9ceaa66d389d45abbe5f0bd9d6745584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52" name="TTBMVN.PriceProfile.Part.9ceaa66d389d45abbe5f0bd9d6745584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53" name="TTBMVN.PriceProfile.Part.9ceaa66d389d45abbe5f0bd9d6745584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54" name="TTBMVN.PriceProfile.Part.9ceaa66d389d45abbe5f0bd9d6745584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55" name="TTBMVN.PriceProfile.Part.9ceaa66d389d45abbe5f0bd9d6745584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56" name="TTBMVN.PriceProfile.Part.9ceaa66d389d45abbe5f0bd9d6745584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57" name="TTBMVN.PriceProfile.Part.9ceaa66d389d45abbe5f0bd9d6745584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8" name="TTBMVN.PriceProfile.Part.9ceaa66d389d45abbe5f0bd9d6745584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9" name="TTBMVN.PriceProfile.Part.9ceaa66d389d45abbe5f0bd9d6745584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60" name="TTBMVN.PriceProfile.Part.9ceaa66d389d45abbe5f0bd9d6745584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61" name="TTBMVN.PriceProfile.Part.9ceaa66d389d45abbe5f0bd9d6745584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62" name="TTBMVN.PriceProfile.Part.9ceaa66d389d45abbe5f0bd9d6745584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63" name="TTBMVN.PriceProfile.Part.9ceaa66d389d45abbe5f0bd9d6745584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64" name="TTBMVN.PriceProfile.Part.9ceaa66d389d45abbe5f0bd9d6745584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65" name="TTBMVN.PriceProfile.Part.9ceaa66d389d45abbe5f0bd9d6745584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66" name="TTBMVN.PriceProfile.Part.9ceaa66d389d45abbe5f0bd9d6745584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67" name="TTBMVN.PriceProfile.Part.9ceaa66d389d45abbe5f0bd9d6745584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8" name="TTBMVN.PriceProfile.Part.9ceaa66d389d45abbe5f0bd9d6745584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9" name="TTBMVN.PriceProfile.Part.9ceaa66d389d45abbe5f0bd9d6745584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70" name="TTBMVN.PriceProfile.Part.9ceaa66d389d45abbe5f0bd9d6745584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71" name="TTBMVN.PriceProfile.Part.9ceaa66d389d45abbe5f0bd9d6745584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72" name="TTBMVN.PriceProfile.Part.9ceaa66d389d45abbe5f0bd9d6745584.0052">
    <vt:lpwstr>deCount=0
checksum=FDB9AA9E4E574D5E5217C7E7D08528E5F7B0AA0B08CCA8DF2DE8EF1715D15776</vt:lpwstr>
  </property>
  <property fmtid="{D5CDD505-2E9C-101B-9397-08002B2CF9AE}" pid="73" name="TTBMVN.PriceProfile.Manifest">
    <vt:lpwstr>1|9ceaa66d389d45abbe5f0bd9d6745584|53|AD453E457753652894B18F70EE1E4A1EF0626EC77ECB72F05EFDBA37481FCFF2</vt:lpwstr>
  </property>
</Properties>
</file>