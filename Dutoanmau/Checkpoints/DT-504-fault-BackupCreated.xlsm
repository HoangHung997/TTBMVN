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omments1.xml" ContentType="application/vnd.openxmlformats-officedocument.spreadsheetml.comment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2.xml" ContentType="application/vnd.openxmlformats-officedocument.spreadsheetml.comments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Sstudio\EXCEL_TTBMVN\Dutoanmau\Variants\"/>
    </mc:Choice>
  </mc:AlternateContent>
  <xr:revisionPtr revIDLastSave="0" documentId="8_{4B72B585-B0FA-4C84-AD1A-3B3EE7ECE98E}" xr6:coauthVersionLast="47" xr6:coauthVersionMax="47" xr10:uidLastSave="{00000000-0000-0000-0000-000000000000}"/>
  <bookViews>
    <workbookView xWindow="2304" yWindow="2304" windowWidth="17280" windowHeight="8880" tabRatio="771" activeTab="7" xr2:uid="{00000000-000D-0000-FFFF-FFFF00000000}"/>
  </bookViews>
  <sheets>
    <sheet name="PL01" sheetId="232" r:id="rId1"/>
    <sheet name="THKL" sheetId="230" r:id="rId2"/>
    <sheet name="DosauHLAT" sheetId="229" state="hidden" r:id="rId3"/>
    <sheet name="KLCT1" sheetId="208" state="hidden" r:id="rId4"/>
    <sheet name="Tracuu" sheetId="210" state="hidden" r:id="rId5"/>
    <sheet name="THKP-TC" sheetId="211" r:id="rId6"/>
    <sheet name="Sheet2" sheetId="223" state="hidden" r:id="rId7"/>
    <sheet name="Gia DT TC" sheetId="212" r:id="rId8"/>
    <sheet name="DG Can" sheetId="213" r:id="rId9"/>
    <sheet name="DG Nuoc" sheetId="214" r:id="rId10"/>
    <sheet name="VL-NC-M" sheetId="216" r:id="rId11"/>
    <sheet name="ChiPhi" sheetId="209" state="hidden" r:id="rId12"/>
    <sheet name="THNK_C" sheetId="217" r:id="rId13"/>
    <sheet name="Thoi gian" sheetId="215" state="hidden" r:id="rId14"/>
    <sheet name="THNK_N" sheetId="218" r:id="rId15"/>
    <sheet name="PTVT" sheetId="219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>#REF!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_a129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_a130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a129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a130">{"Offgrid",#N/A,FALSE,"OFFGRID";"Region",#N/A,FALSE,"REGION";"Offgrid -2",#N/A,FALSE,"OFFGRID";"WTP",#N/A,FALSE,"WTP";"WTP -2",#N/A,FALSE,"WTP";"Project",#N/A,FALSE,"PROJECT";"Summary -2",#N/A,FALSE,"SUMMARY"}</definedName>
    <definedName name="________Coc39" localSheetId="0">{"'Sheet1'!$L$16"}</definedName>
    <definedName name="________Coc39" localSheetId="1">{"'Sheet1'!$L$16"}</definedName>
    <definedName name="________Coc39">{"'Sheet1'!$L$16"}</definedName>
    <definedName name="________Goi8" localSheetId="0">{"'Sheet1'!$L$16"}</definedName>
    <definedName name="________Goi8" localSheetId="1">{"'Sheet1'!$L$16"}</definedName>
    <definedName name="________Goi8">{"'Sheet1'!$L$16"}</definedName>
    <definedName name="________K146" localSheetId="0">{"'Sheet1'!$L$16"}</definedName>
    <definedName name="________K146" localSheetId="1">{"'Sheet1'!$L$16"}</definedName>
    <definedName name="________K146">{"'Sheet1'!$L$16"}</definedName>
    <definedName name="________Lan1" localSheetId="0">{"'Sheet1'!$L$16"}</definedName>
    <definedName name="________Lan1" localSheetId="1">{"'Sheet1'!$L$16"}</definedName>
    <definedName name="________Lan1">{"'Sheet1'!$L$16"}</definedName>
    <definedName name="________LAN3" localSheetId="0">{"'Sheet1'!$L$16"}</definedName>
    <definedName name="________LAN3" localSheetId="1">{"'Sheet1'!$L$16"}</definedName>
    <definedName name="________LAN3">{"'Sheet1'!$L$16"}</definedName>
    <definedName name="________lk2" localSheetId="0">{"'Sheet1'!$L$16"}</definedName>
    <definedName name="________lk2" localSheetId="1">{"'Sheet1'!$L$16"}</definedName>
    <definedName name="________lk2">{"'Sheet1'!$L$16"}</definedName>
    <definedName name="________NK5" localSheetId="0">{"'Sheet1'!$L$16"}</definedName>
    <definedName name="________NK5" localSheetId="1">{"'Sheet1'!$L$16"}</definedName>
    <definedName name="________NK5">{"'Sheet1'!$L$16"}</definedName>
    <definedName name="________tb2" localSheetId="0">{"'Sheet1'!$L$16"}</definedName>
    <definedName name="________tb2" localSheetId="1">{"'Sheet1'!$L$16"}</definedName>
    <definedName name="________tb2">{"'Sheet1'!$L$16"}</definedName>
    <definedName name="________td1" localSheetId="0">{"'Sheet1'!$L$16"}</definedName>
    <definedName name="________td1" localSheetId="1">{"'Sheet1'!$L$16"}</definedName>
    <definedName name="________td1">{"'Sheet1'!$L$16"}</definedName>
    <definedName name="________tt3" localSheetId="0">{"'Sheet1'!$L$16"}</definedName>
    <definedName name="________tt3" localSheetId="1">{"'Sheet1'!$L$16"}</definedName>
    <definedName name="________tt3">{"'Sheet1'!$L$16"}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a129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a130">{"Offgrid",#N/A,FALSE,"OFFGRID";"Region",#N/A,FALSE,"REGION";"Offgrid -2",#N/A,FALSE,"OFFGRID";"WTP",#N/A,FALSE,"WTP";"WTP -2",#N/A,FALSE,"WTP";"Project",#N/A,FALSE,"PROJECT";"Summary -2",#N/A,FALSE,"SUMMARY"}</definedName>
    <definedName name="_______Coc39" localSheetId="0">{"'Sheet1'!$L$16"}</definedName>
    <definedName name="_______Coc39" localSheetId="1">{"'Sheet1'!$L$16"}</definedName>
    <definedName name="_______Coc39">{"'Sheet1'!$L$16"}</definedName>
    <definedName name="_______Goi8" localSheetId="0">{"'Sheet1'!$L$16"}</definedName>
    <definedName name="_______Goi8" localSheetId="1">{"'Sheet1'!$L$16"}</definedName>
    <definedName name="_______Goi8">{"'Sheet1'!$L$16"}</definedName>
    <definedName name="_______K146" localSheetId="0">{"'Sheet1'!$L$16"}</definedName>
    <definedName name="_______K146" localSheetId="1">{"'Sheet1'!$L$16"}</definedName>
    <definedName name="_______K146">{"'Sheet1'!$L$16"}</definedName>
    <definedName name="_______Lan1" localSheetId="0">{"'Sheet1'!$L$16"}</definedName>
    <definedName name="_______Lan1" localSheetId="1">{"'Sheet1'!$L$16"}</definedName>
    <definedName name="_______Lan1">{"'Sheet1'!$L$16"}</definedName>
    <definedName name="_______LAN3" localSheetId="0">{"'Sheet1'!$L$16"}</definedName>
    <definedName name="_______LAN3" localSheetId="1">{"'Sheet1'!$L$16"}</definedName>
    <definedName name="_______LAN3">{"'Sheet1'!$L$16"}</definedName>
    <definedName name="_______lk2" localSheetId="0">{"'Sheet1'!$L$16"}</definedName>
    <definedName name="_______lk2" localSheetId="1">{"'Sheet1'!$L$16"}</definedName>
    <definedName name="_______lk2">{"'Sheet1'!$L$16"}</definedName>
    <definedName name="_______NK5" localSheetId="0">{"'Sheet1'!$L$16"}</definedName>
    <definedName name="_______NK5" localSheetId="1">{"'Sheet1'!$L$16"}</definedName>
    <definedName name="_______NK5">{"'Sheet1'!$L$16"}</definedName>
    <definedName name="_______tb2" localSheetId="0">{"'Sheet1'!$L$16"}</definedName>
    <definedName name="_______tb2" localSheetId="1">{"'Sheet1'!$L$16"}</definedName>
    <definedName name="_______tb2">{"'Sheet1'!$L$16"}</definedName>
    <definedName name="_______td1" localSheetId="0">{"'Sheet1'!$L$16"}</definedName>
    <definedName name="_______td1" localSheetId="1">{"'Sheet1'!$L$16"}</definedName>
    <definedName name="_______td1">{"'Sheet1'!$L$16"}</definedName>
    <definedName name="_______tt3" localSheetId="0">{"'Sheet1'!$L$16"}</definedName>
    <definedName name="_______tt3" localSheetId="1">{"'Sheet1'!$L$16"}</definedName>
    <definedName name="_______tt3">{"'Sheet1'!$L$16"}</definedName>
    <definedName name="______Coc39" localSheetId="9" hidden="1">{"'Sheet1'!$L$16"}</definedName>
    <definedName name="______Coc39" localSheetId="0">{"'Sheet1'!$L$16"}</definedName>
    <definedName name="______Coc39" localSheetId="1">{"'Sheet1'!$L$16"}</definedName>
    <definedName name="______Coc39">{"'Sheet1'!$L$16"}</definedName>
    <definedName name="______Goi8" localSheetId="9" hidden="1">{"'Sheet1'!$L$16"}</definedName>
    <definedName name="______Goi8" localSheetId="0">{"'Sheet1'!$L$16"}</definedName>
    <definedName name="______Goi8" localSheetId="1">{"'Sheet1'!$L$16"}</definedName>
    <definedName name="______Goi8">{"'Sheet1'!$L$16"}</definedName>
    <definedName name="______K146" localSheetId="9" hidden="1">{"'Sheet1'!$L$16"}</definedName>
    <definedName name="______K146" localSheetId="0">{"'Sheet1'!$L$16"}</definedName>
    <definedName name="______K146" localSheetId="1">{"'Sheet1'!$L$16"}</definedName>
    <definedName name="______K146">{"'Sheet1'!$L$16"}</definedName>
    <definedName name="______Lan1" localSheetId="9" hidden="1">{"'Sheet1'!$L$16"}</definedName>
    <definedName name="______Lan1" localSheetId="0">{"'Sheet1'!$L$16"}</definedName>
    <definedName name="______Lan1" localSheetId="1">{"'Sheet1'!$L$16"}</definedName>
    <definedName name="______Lan1">{"'Sheet1'!$L$16"}</definedName>
    <definedName name="______LAN3" localSheetId="9" hidden="1">{"'Sheet1'!$L$16"}</definedName>
    <definedName name="______LAN3" localSheetId="0">{"'Sheet1'!$L$16"}</definedName>
    <definedName name="______LAN3" localSheetId="1">{"'Sheet1'!$L$16"}</definedName>
    <definedName name="______LAN3">{"'Sheet1'!$L$16"}</definedName>
    <definedName name="______lk2" localSheetId="9" hidden="1">{"'Sheet1'!$L$16"}</definedName>
    <definedName name="______lk2" localSheetId="0">{"'Sheet1'!$L$16"}</definedName>
    <definedName name="______lk2" localSheetId="1">{"'Sheet1'!$L$16"}</definedName>
    <definedName name="______lk2">{"'Sheet1'!$L$16"}</definedName>
    <definedName name="______NK5" localSheetId="9" hidden="1">{"'Sheet1'!$L$16"}</definedName>
    <definedName name="______NK5" localSheetId="0">{"'Sheet1'!$L$16"}</definedName>
    <definedName name="______NK5" localSheetId="1">{"'Sheet1'!$L$16"}</definedName>
    <definedName name="______NK5">{"'Sheet1'!$L$16"}</definedName>
    <definedName name="______tb2" localSheetId="9" hidden="1">{"'Sheet1'!$L$16"}</definedName>
    <definedName name="______tb2" localSheetId="0">{"'Sheet1'!$L$16"}</definedName>
    <definedName name="______tb2" localSheetId="1">{"'Sheet1'!$L$16"}</definedName>
    <definedName name="______tb2">{"'Sheet1'!$L$16"}</definedName>
    <definedName name="______td1" localSheetId="9" hidden="1">{"'Sheet1'!$L$16"}</definedName>
    <definedName name="______td1" localSheetId="0">{"'Sheet1'!$L$16"}</definedName>
    <definedName name="______td1" localSheetId="1">{"'Sheet1'!$L$16"}</definedName>
    <definedName name="______td1">{"'Sheet1'!$L$16"}</definedName>
    <definedName name="______tt3" localSheetId="9" hidden="1">{"'Sheet1'!$L$16"}</definedName>
    <definedName name="______tt3" localSheetId="0">{"'Sheet1'!$L$16"}</definedName>
    <definedName name="______tt3" localSheetId="1">{"'Sheet1'!$L$16"}</definedName>
    <definedName name="______tt3">{"'Sheet1'!$L$16"}</definedName>
    <definedName name="_____a129" localSheetId="0">{"Offgrid",#N/A,FALSE,"OFFGRID";"Region",#N/A,FALSE,"REGION";"Offgrid -2",#N/A,FALSE,"OFFGRID";"WTP",#N/A,FALSE,"WTP";"WTP -2",#N/A,FALSE,"WTP";"Project",#N/A,FALSE,"PROJECT";"Summary -2",#N/A,FALSE,"SUMMARY"}</definedName>
    <definedName name="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a129">{"Offgrid",#N/A,FALSE,"OFFGRID";"Region",#N/A,FALSE,"REGION";"Offgrid -2",#N/A,FALSE,"OFFGRID";"WTP",#N/A,FALSE,"WTP";"WTP -2",#N/A,FALSE,"WTP";"Project",#N/A,FALSE,"PROJECT";"Summary -2",#N/A,FALSE,"SUMMARY"}</definedName>
    <definedName name="_____a130" localSheetId="0">{"Offgrid",#N/A,FALSE,"OFFGRID";"Region",#N/A,FALSE,"REGION";"Offgrid -2",#N/A,FALSE,"OFFGRID";"WTP",#N/A,FALSE,"WTP";"WTP -2",#N/A,FALSE,"WTP";"Project",#N/A,FALSE,"PROJECT";"Summary -2",#N/A,FALSE,"SUMMARY"}</definedName>
    <definedName name="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a130">{"Offgrid",#N/A,FALSE,"OFFGRID";"Region",#N/A,FALSE,"REGION";"Offgrid -2",#N/A,FALSE,"OFFGRID";"WTP",#N/A,FALSE,"WTP";"WTP -2",#N/A,FALSE,"WTP";"Project",#N/A,FALSE,"PROJECT";"Summary -2",#N/A,FALSE,"SUMMARY"}</definedName>
    <definedName name="_____Coc39" localSheetId="0" hidden="1">{"'Sheet1'!$L$16"}</definedName>
    <definedName name="_____Coc39">{"'Sheet1'!$L$16"}</definedName>
    <definedName name="_____Goi8" localSheetId="0" hidden="1">{"'Sheet1'!$L$16"}</definedName>
    <definedName name="_____Goi8">{"'Sheet1'!$L$16"}</definedName>
    <definedName name="_____K146" localSheetId="0" hidden="1">{"'Sheet1'!$L$16"}</definedName>
    <definedName name="_____K146">{"'Sheet1'!$L$16"}</definedName>
    <definedName name="_____Lan1" localSheetId="0" hidden="1">{"'Sheet1'!$L$16"}</definedName>
    <definedName name="_____Lan1">{"'Sheet1'!$L$16"}</definedName>
    <definedName name="_____LAN3" localSheetId="0" hidden="1">{"'Sheet1'!$L$16"}</definedName>
    <definedName name="_____LAN3">{"'Sheet1'!$L$16"}</definedName>
    <definedName name="_____lk2" localSheetId="0" hidden="1">{"'Sheet1'!$L$16"}</definedName>
    <definedName name="_____lk2">{"'Sheet1'!$L$16"}</definedName>
    <definedName name="_____NK5" localSheetId="0" hidden="1">{"'Sheet1'!$L$16"}</definedName>
    <definedName name="_____NK5">{"'Sheet1'!$L$16"}</definedName>
    <definedName name="_____tb2" localSheetId="0" hidden="1">{"'Sheet1'!$L$16"}</definedName>
    <definedName name="_____tb2">{"'Sheet1'!$L$16"}</definedName>
    <definedName name="_____td1" localSheetId="0" hidden="1">{"'Sheet1'!$L$16"}</definedName>
    <definedName name="_____td1">{"'Sheet1'!$L$16"}</definedName>
    <definedName name="_____tt3" localSheetId="0" hidden="1">{"'Sheet1'!$L$16"}</definedName>
    <definedName name="_____tt3">{"'Sheet1'!$L$16"}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>{"Offgrid",#N/A,FALSE,"OFFGRID";"Region",#N/A,FALSE,"REGION";"Offgrid -2",#N/A,FALSE,"OFFGRID";"WTP",#N/A,FALSE,"WTP";"WTP -2",#N/A,FALSE,"WTP";"Project",#N/A,FALSE,"PROJECT";"Summary -2",#N/A,FALSE,"SUMMARY"}</definedName>
    <definedName name="____a129" localSheetId="1">{"Offgrid",#N/A,FALSE,"OFFGRID";"Region",#N/A,FALSE,"REGION";"Offgrid -2",#N/A,FALSE,"OFFGRID";"WTP",#N/A,FALSE,"WTP";"WTP -2",#N/A,FALSE,"WTP";"Project",#N/A,FALSE,"PROJECT";"Summary -2",#N/A,FALSE,"SUMMARY"}</definedName>
    <definedName name="____a129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>{"Offgrid",#N/A,FALSE,"OFFGRID";"Region",#N/A,FALSE,"REGION";"Offgrid -2",#N/A,FALSE,"OFFGRID";"WTP",#N/A,FALSE,"WTP";"WTP -2",#N/A,FALSE,"WTP";"Project",#N/A,FALSE,"PROJECT";"Summary -2",#N/A,FALSE,"SUMMARY"}</definedName>
    <definedName name="____a130" localSheetId="1">{"Offgrid",#N/A,FALSE,"OFFGRID";"Region",#N/A,FALSE,"REGION";"Offgrid -2",#N/A,FALSE,"OFFGRID";"WTP",#N/A,FALSE,"WTP";"WTP -2",#N/A,FALSE,"WTP";"Project",#N/A,FALSE,"PROJECT";"Summary -2",#N/A,FALSE,"SUMMARY"}</definedName>
    <definedName name="____a130">{"Offgrid",#N/A,FALSE,"OFFGRID";"Region",#N/A,FALSE,"REGION";"Offgrid -2",#N/A,FALSE,"OFFGRID";"WTP",#N/A,FALSE,"WTP";"WTP -2",#N/A,FALSE,"WTP";"Project",#N/A,FALSE,"PROJECT";"Summary -2",#N/A,FALSE,"SUMMARY"}</definedName>
    <definedName name="____Coc39" localSheetId="0">{"'Sheet1'!$L$16"}</definedName>
    <definedName name="____Coc39" localSheetId="1">{"'Sheet1'!$L$16"}</definedName>
    <definedName name="____Coc39">{"'Sheet1'!$L$16"}</definedName>
    <definedName name="____Goi8" localSheetId="0">{"'Sheet1'!$L$16"}</definedName>
    <definedName name="____Goi8" localSheetId="1">{"'Sheet1'!$L$16"}</definedName>
    <definedName name="____Goi8">{"'Sheet1'!$L$16"}</definedName>
    <definedName name="____K146" localSheetId="0">{"'Sheet1'!$L$16"}</definedName>
    <definedName name="____K146" localSheetId="1">{"'Sheet1'!$L$16"}</definedName>
    <definedName name="____K146">{"'Sheet1'!$L$16"}</definedName>
    <definedName name="____Lan1" localSheetId="0">{"'Sheet1'!$L$16"}</definedName>
    <definedName name="____Lan1" localSheetId="1">{"'Sheet1'!$L$16"}</definedName>
    <definedName name="____Lan1">{"'Sheet1'!$L$16"}</definedName>
    <definedName name="____LAN3" localSheetId="0">{"'Sheet1'!$L$16"}</definedName>
    <definedName name="____LAN3" localSheetId="1">{"'Sheet1'!$L$16"}</definedName>
    <definedName name="____LAN3">{"'Sheet1'!$L$16"}</definedName>
    <definedName name="____lk2" localSheetId="0">{"'Sheet1'!$L$16"}</definedName>
    <definedName name="____lk2" localSheetId="1">{"'Sheet1'!$L$16"}</definedName>
    <definedName name="____lk2">{"'Sheet1'!$L$16"}</definedName>
    <definedName name="____NK5" localSheetId="0">{"'Sheet1'!$L$16"}</definedName>
    <definedName name="____NK5" localSheetId="1">{"'Sheet1'!$L$16"}</definedName>
    <definedName name="____NK5">{"'Sheet1'!$L$16"}</definedName>
    <definedName name="____tb2" localSheetId="0">{"'Sheet1'!$L$16"}</definedName>
    <definedName name="____tb2" localSheetId="1">{"'Sheet1'!$L$16"}</definedName>
    <definedName name="____tb2">{"'Sheet1'!$L$16"}</definedName>
    <definedName name="____td1" localSheetId="0">{"'Sheet1'!$L$16"}</definedName>
    <definedName name="____td1" localSheetId="1">{"'Sheet1'!$L$16"}</definedName>
    <definedName name="____td1">{"'Sheet1'!$L$16"}</definedName>
    <definedName name="____tt3" localSheetId="0">{"'Sheet1'!$L$16"}</definedName>
    <definedName name="____tt3" localSheetId="1">{"'Sheet1'!$L$16"}</definedName>
    <definedName name="____tt3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>{"Offgrid",#N/A,FALSE,"OFFGRID";"Region",#N/A,FALSE,"REGION";"Offgrid -2",#N/A,FALSE,"OFFGRID";"WTP",#N/A,FALSE,"WTP";"WTP -2",#N/A,FALSE,"WTP";"Project",#N/A,FALSE,"PROJECT";"Summary -2",#N/A,FALSE,"SUMMARY"}</definedName>
    <definedName name="___btm10">#REF!</definedName>
    <definedName name="___BTM150">#REF!</definedName>
    <definedName name="___BTM250">#REF!</definedName>
    <definedName name="___btM300">#REF!</definedName>
    <definedName name="___BTM50">#REF!</definedName>
    <definedName name="___Coc39" localSheetId="9" hidden="1">{"'Sheet1'!$L$16"}</definedName>
    <definedName name="___Coc39" localSheetId="0">{"'Sheet1'!$L$16"}</definedName>
    <definedName name="___Coc39" localSheetId="1">{"'Sheet1'!$L$16"}</definedName>
    <definedName name="___Coc39">{"'Sheet1'!$L$16"}</definedName>
    <definedName name="___CON1">#REF!</definedName>
    <definedName name="___CON2">#REF!</definedName>
    <definedName name="___cs805">#REF!</definedName>
    <definedName name="___DDC3">#REF!</definedName>
    <definedName name="___ddn400">#REF!</definedName>
    <definedName name="___ddn600">#REF!</definedName>
    <definedName name="___FIL2">#REF!</definedName>
    <definedName name="___Goi8" localSheetId="9" hidden="1">{"'Sheet1'!$L$16"}</definedName>
    <definedName name="___Goi8" localSheetId="0">{"'Sheet1'!$L$16"}</definedName>
    <definedName name="___Goi8" localSheetId="1">{"'Sheet1'!$L$16"}</definedName>
    <definedName name="___Goi8">{"'Sheet1'!$L$16"}</definedName>
    <definedName name="___gon4">#REF!</definedName>
    <definedName name="___hom2">#REF!</definedName>
    <definedName name="___K146" localSheetId="9" hidden="1">{"'Sheet1'!$L$16"}</definedName>
    <definedName name="___K146" localSheetId="0">{"'Sheet1'!$L$16"}</definedName>
    <definedName name="___K146" localSheetId="1">{"'Sheet1'!$L$16"}</definedName>
    <definedName name="___K146">{"'Sheet1'!$L$16"}</definedName>
    <definedName name="___kl1">#REF!</definedName>
    <definedName name="___Lan1" localSheetId="9" hidden="1">{"'Sheet1'!$L$16"}</definedName>
    <definedName name="___Lan1" localSheetId="0">{"'Sheet1'!$L$16"}</definedName>
    <definedName name="___Lan1" localSheetId="1">{"'Sheet1'!$L$16"}</definedName>
    <definedName name="___Lan1">{"'Sheet1'!$L$16"}</definedName>
    <definedName name="___LAN3" localSheetId="9" hidden="1">{"'Sheet1'!$L$16"}</definedName>
    <definedName name="___LAN3" localSheetId="0">{"'Sheet1'!$L$16"}</definedName>
    <definedName name="___LAN3" localSheetId="1">{"'Sheet1'!$L$16"}</definedName>
    <definedName name="___LAN3">{"'Sheet1'!$L$16"}</definedName>
    <definedName name="___lap1">#REF!</definedName>
    <definedName name="___lap2">#REF!</definedName>
    <definedName name="___lk2" localSheetId="9" hidden="1">{"'Sheet1'!$L$16"}</definedName>
    <definedName name="___lk2" localSheetId="0">{"'Sheet1'!$L$16"}</definedName>
    <definedName name="___lk2" localSheetId="1">{"'Sheet1'!$L$16"}</definedName>
    <definedName name="___lk2">{"'Sheet1'!$L$16"}</definedName>
    <definedName name="___LX100">#REF!</definedName>
    <definedName name="___MAC12">#REF!</definedName>
    <definedName name="___MAC46">#REF!</definedName>
    <definedName name="___NC100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K5" localSheetId="9" hidden="1">{"'Sheet1'!$L$16"}</definedName>
    <definedName name="___NK5" localSheetId="0">{"'Sheet1'!$L$16"}</definedName>
    <definedName name="___NK5" localSheetId="1">{"'Sheet1'!$L$16"}</definedName>
    <definedName name="___NK5">{"'Sheet1'!$L$16"}</definedName>
    <definedName name="___PXB80">#REF!</definedName>
    <definedName name="___Ph30">#REF!</definedName>
    <definedName name="___RHH1">#REF!</definedName>
    <definedName name="___RHH10">#REF!</definedName>
    <definedName name="___RHP1">#REF!</definedName>
    <definedName name="___RHP10">#REF!</definedName>
    <definedName name="___RI1">#REF!</definedName>
    <definedName name="___RI10">#REF!</definedName>
    <definedName name="___RII1">#REF!</definedName>
    <definedName name="___RII10">#REF!</definedName>
    <definedName name="___RIP1">#REF!</definedName>
    <definedName name="___RIP10">#REF!</definedName>
    <definedName name="___rp95">#REF!</definedName>
    <definedName name="___sc1">#REF!</definedName>
    <definedName name="___SC2">#REF!</definedName>
    <definedName name="___sc3">#REF!</definedName>
    <definedName name="___SN3">#REF!</definedName>
    <definedName name="___sua20">#REF!</definedName>
    <definedName name="___sua30">#REF!</definedName>
    <definedName name="___tb2" localSheetId="9" hidden="1">{"'Sheet1'!$L$16"}</definedName>
    <definedName name="___tb2" localSheetId="0">{"'Sheet1'!$L$16"}</definedName>
    <definedName name="___tb2" localSheetId="1">{"'Sheet1'!$L$16"}</definedName>
    <definedName name="___tb2">{"'Sheet1'!$L$16"}</definedName>
    <definedName name="___TBA1">#REF!</definedName>
    <definedName name="___TBA2">#REF!</definedName>
    <definedName name="___TBA3">#REF!</definedName>
    <definedName name="___TBA4">#REF!</definedName>
    <definedName name="___TBA5">#REF!</definedName>
    <definedName name="___TBA6">#REF!</definedName>
    <definedName name="___td1" localSheetId="9" hidden="1">{"'Sheet1'!$L$16"}</definedName>
    <definedName name="___td1" localSheetId="0">{"'Sheet1'!$L$16"}</definedName>
    <definedName name="___td1" localSheetId="1">{"'Sheet1'!$L$16"}</definedName>
    <definedName name="___td1">{"'Sheet1'!$L$16"}</definedName>
    <definedName name="___TIT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t3" localSheetId="9" hidden="1">{"'Sheet1'!$L$16"}</definedName>
    <definedName name="___tt3" localSheetId="0">{"'Sheet1'!$L$16"}</definedName>
    <definedName name="___tt3" localSheetId="1">{"'Sheet1'!$L$16"}</definedName>
    <definedName name="___tt3">{"'Sheet1'!$L$16"}</definedName>
    <definedName name="___tr1">#REF!</definedName>
    <definedName name="___tr2">#REF!</definedName>
    <definedName name="___tr3">#REF!</definedName>
    <definedName name="___tr4">#REF!</definedName>
    <definedName name="___VC400">#REF!</definedName>
    <definedName name="___vl1">#REF!</definedName>
    <definedName name="___VL100">#REF!</definedName>
    <definedName name="___VL200">#REF!</definedName>
    <definedName name="___VL250">#REF!</definedName>
    <definedName name="___xb80">#REF!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>{"Offgrid",#N/A,FALSE,"OFFGRID";"Region",#N/A,FALSE,"REGION";"Offgrid -2",#N/A,FALSE,"OFFGRID";"WTP",#N/A,FALSE,"WTP";"WTP -2",#N/A,FALSE,"WTP";"Project",#N/A,FALSE,"PROJECT";"Summary -2",#N/A,FALSE,"SUMMARY"}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bb91">#REF!</definedName>
    <definedName name="__atn1">#REF!</definedName>
    <definedName name="__atn10">#REF!</definedName>
    <definedName name="__atn2">#REF!</definedName>
    <definedName name="__atn3">#REF!</definedName>
    <definedName name="__atn4">#REF!</definedName>
    <definedName name="__atn5">#REF!</definedName>
    <definedName name="__atn6">#REF!</definedName>
    <definedName name="__atn7">#REF!</definedName>
    <definedName name="__atn8">#REF!</definedName>
    <definedName name="__atn9">#REF!</definedName>
    <definedName name="__bac1">#REF!</definedName>
    <definedName name="__bac2">#REF!</definedName>
    <definedName name="__bac3">#REF!</definedName>
    <definedName name="__bac4">#REF!</definedName>
    <definedName name="__btd70">#REF!</definedName>
    <definedName name="__btm10">#REF!</definedName>
    <definedName name="__BTM150">#REF!</definedName>
    <definedName name="__BTM200">#REF!</definedName>
    <definedName name="__BTM250">#REF!</definedName>
    <definedName name="__btM300">#REF!</definedName>
    <definedName name="__BTM50">#REF!</definedName>
    <definedName name="__bua75">#REF!</definedName>
    <definedName name="__cap2005">#REF!</definedName>
    <definedName name="__cau6">#REF!</definedName>
    <definedName name="__cay75">#REF!</definedName>
    <definedName name="__Coc39" localSheetId="9" hidden="1">{"'Sheet1'!$L$16"}</definedName>
    <definedName name="__Coc39" localSheetId="0" hidden="1">{"'Sheet1'!$L$16"}</definedName>
    <definedName name="__Coc39" localSheetId="1">{"'Sheet1'!$L$16"}</definedName>
    <definedName name="__Coc39" localSheetId="14" hidden="1">{"'Sheet1'!$L$16"}</definedName>
    <definedName name="__Coc39">{"'Sheet1'!$L$16"}</definedName>
    <definedName name="__CON1">#REF!</definedName>
    <definedName name="__CON2">#REF!</definedName>
    <definedName name="__cs805">#REF!</definedName>
    <definedName name="__CT250">#REF!</definedName>
    <definedName name="__ctd80">#REF!</definedName>
    <definedName name="__CVC1">#REF!</definedName>
    <definedName name="__dam16">#REF!</definedName>
    <definedName name="__dam25">#REF!</definedName>
    <definedName name="__dao1">#REF!</definedName>
    <definedName name="__dao2">#REF!</definedName>
    <definedName name="__dap2">#REF!</definedName>
    <definedName name="__day1">#REF!</definedName>
    <definedName name="__day2">#REF!</definedName>
    <definedName name="__dbu1">#REF!</definedName>
    <definedName name="__dbu2">#REF!</definedName>
    <definedName name="__DDC3">#REF!</definedName>
    <definedName name="__ddn400">#REF!</definedName>
    <definedName name="__ddn600">#REF!</definedName>
    <definedName name="__deo1">#REF!</definedName>
    <definedName name="__deo10">#REF!</definedName>
    <definedName name="__deo2">#REF!</definedName>
    <definedName name="__deo3">#REF!</definedName>
    <definedName name="__deo4">#REF!</definedName>
    <definedName name="__deo5">#REF!</definedName>
    <definedName name="__deo6">#REF!</definedName>
    <definedName name="__deo7">#REF!</definedName>
    <definedName name="__deo8">#REF!</definedName>
    <definedName name="__deo9">#REF!</definedName>
    <definedName name="__dgt100">#REF!</definedName>
    <definedName name="__dui15">#REF!</definedName>
    <definedName name="__FIL2">#REF!</definedName>
    <definedName name="__Goi8" localSheetId="9" hidden="1">{"'Sheet1'!$L$16"}</definedName>
    <definedName name="__Goi8" localSheetId="0" hidden="1">{"'Sheet1'!$L$16"}</definedName>
    <definedName name="__Goi8" localSheetId="1">{"'Sheet1'!$L$16"}</definedName>
    <definedName name="__Goi8" localSheetId="14" hidden="1">{"'Sheet1'!$L$16"}</definedName>
    <definedName name="__Goi8">{"'Sheet1'!$L$16"}</definedName>
    <definedName name="__gon4">#REF!</definedName>
    <definedName name="__Gra1">#REF!</definedName>
    <definedName name="__Gra2">#REF!</definedName>
    <definedName name="__gxm30">#REF!</definedName>
    <definedName name="__GID1">#REF!</definedName>
    <definedName name="__hh1">#REF!</definedName>
    <definedName name="__hh2">#REF!</definedName>
    <definedName name="__hom2">#REF!</definedName>
    <definedName name="__hom4">#REF!</definedName>
    <definedName name="__hsm2">1.1289</definedName>
    <definedName name="__IntlFixup">TRUE</definedName>
    <definedName name="__JK4">#REF!</definedName>
    <definedName name="__K146" localSheetId="9" hidden="1">{"'Sheet1'!$L$16"}</definedName>
    <definedName name="__K146" localSheetId="0" hidden="1">{"'Sheet1'!$L$16"}</definedName>
    <definedName name="__K146" localSheetId="1">{"'Sheet1'!$L$16"}</definedName>
    <definedName name="__K146" localSheetId="14" hidden="1">{"'Sheet1'!$L$16"}</definedName>
    <definedName name="__K146">{"'Sheet1'!$L$16"}</definedName>
    <definedName name="__kl1">#REF!</definedName>
    <definedName name="__KL7">#REF!</definedName>
    <definedName name="__Lan1" localSheetId="9" hidden="1">{"'Sheet1'!$L$16"}</definedName>
    <definedName name="__Lan1" localSheetId="0" hidden="1">{"'Sheet1'!$L$16"}</definedName>
    <definedName name="__Lan1" localSheetId="1">{"'Sheet1'!$L$16"}</definedName>
    <definedName name="__Lan1" localSheetId="14" hidden="1">{"'Sheet1'!$L$16"}</definedName>
    <definedName name="__Lan1">{"'Sheet1'!$L$16"}</definedName>
    <definedName name="__LAN3" localSheetId="9" hidden="1">{"'Sheet1'!$L$16"}</definedName>
    <definedName name="__LAN3" localSheetId="0" hidden="1">{"'Sheet1'!$L$16"}</definedName>
    <definedName name="__LAN3" localSheetId="1">{"'Sheet1'!$L$16"}</definedName>
    <definedName name="__LAN3" localSheetId="14" hidden="1">{"'Sheet1'!$L$16"}</definedName>
    <definedName name="__LAN3">{"'Sheet1'!$L$16"}</definedName>
    <definedName name="__lap1">#REF!</definedName>
    <definedName name="__lap2">#REF!</definedName>
    <definedName name="__lb40">#REF!</definedName>
    <definedName name="__lk2" localSheetId="9" hidden="1">{"'Sheet1'!$L$16"}</definedName>
    <definedName name="__lk2" localSheetId="0" hidden="1">{"'Sheet1'!$L$16"}</definedName>
    <definedName name="__lk2" localSheetId="1">{"'Sheet1'!$L$16"}</definedName>
    <definedName name="__lk2" localSheetId="14" hidden="1">{"'Sheet1'!$L$16"}</definedName>
    <definedName name="__lk2">{"'Sheet1'!$L$16"}</definedName>
    <definedName name="__lu10">#REF!</definedName>
    <definedName name="__LX100">#REF!</definedName>
    <definedName name="__MAC12">#REF!</definedName>
    <definedName name="__MAC46">#REF!</definedName>
    <definedName name="__MCB600">#REF!</definedName>
    <definedName name="__MCB800">#REF!</definedName>
    <definedName name="__mdc1">#REF!</definedName>
    <definedName name="__mdc2">#REF!</definedName>
    <definedName name="__mh2">#REF!</definedName>
    <definedName name="__mk42">#REF!</definedName>
    <definedName name="__mk65">#REF!</definedName>
    <definedName name="__mnk10">#REF!</definedName>
    <definedName name="__mnk17">#REF!</definedName>
    <definedName name="__mnk9">#REF!</definedName>
    <definedName name="__MoM11">#REF!</definedName>
    <definedName name="__mr20">#REF!</definedName>
    <definedName name="__MVL486">#REF!</definedName>
    <definedName name="__mw2">#REF!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C100">#REF!</definedName>
    <definedName name="__nc150">#REF!</definedName>
    <definedName name="__NC200">#REF!</definedName>
    <definedName name="__nc27">#REF!</definedName>
    <definedName name="__nc3">#REF!</definedName>
    <definedName name="__nc35">#REF!</definedName>
    <definedName name="__nc4">#REF!</definedName>
    <definedName name="__nc50">#REF!</definedName>
    <definedName name="__NCC3">#REF!</definedName>
    <definedName name="__NCC4">#REF!</definedName>
    <definedName name="__NCL100">#REF!</definedName>
    <definedName name="__NCL200">#REF!</definedName>
    <definedName name="__NCL250">#REF!</definedName>
    <definedName name="__NCO150">#REF!</definedName>
    <definedName name="__NCO200">#REF!</definedName>
    <definedName name="__NCO50">#REF!</definedName>
    <definedName name="__neo1">#REF!</definedName>
    <definedName name="__NET2">#REF!</definedName>
    <definedName name="__nin190">#REF!</definedName>
    <definedName name="__NK5" localSheetId="9" hidden="1">{"'Sheet1'!$L$16"}</definedName>
    <definedName name="__NK5" localSheetId="0" hidden="1">{"'Sheet1'!$L$16"}</definedName>
    <definedName name="__NK5" localSheetId="1">{"'Sheet1'!$L$16"}</definedName>
    <definedName name="__NK5" localSheetId="14" hidden="1">{"'Sheet1'!$L$16"}</definedName>
    <definedName name="__NK5">{"'Sheet1'!$L$16"}</definedName>
    <definedName name="__NPV11">#REF!</definedName>
    <definedName name="__npv22">#REF!</definedName>
    <definedName name="__nga3">#REF!</definedName>
    <definedName name="__obt1">#REF!</definedName>
    <definedName name="__obt2">#REF!</definedName>
    <definedName name="__ond100">#REF!</definedName>
    <definedName name="__oto10">#REF!</definedName>
    <definedName name="__oto12">#REF!</definedName>
    <definedName name="__oto5">#REF!</definedName>
    <definedName name="__PA3" localSheetId="0">{"Thuxm2.xls","Sheet1"}</definedName>
    <definedName name="__PA3">{"Thuxm2.xls","Sheet1"}</definedName>
    <definedName name="__pc30">#REF!</definedName>
    <definedName name="__pc40">#REF!</definedName>
    <definedName name="__pcb40">#REF!</definedName>
    <definedName name="__PXB80">#REF!</definedName>
    <definedName name="__Ph30">#REF!</definedName>
    <definedName name="__qa7">#REF!</definedName>
    <definedName name="__qh2">#REF!</definedName>
    <definedName name="__rai20">#REF!</definedName>
    <definedName name="__rai50">#REF!</definedName>
    <definedName name="__Rd1">#REF!</definedName>
    <definedName name="__RHH1">#REF!</definedName>
    <definedName name="__RHH10">#REF!</definedName>
    <definedName name="__RHP1">#REF!</definedName>
    <definedName name="__RHP10">#REF!</definedName>
    <definedName name="__RI1">#REF!</definedName>
    <definedName name="__RI10">#REF!</definedName>
    <definedName name="__RII1">#REF!</definedName>
    <definedName name="__RII10">#REF!</definedName>
    <definedName name="__RIP1">#REF!</definedName>
    <definedName name="__RIP10">#REF!</definedName>
    <definedName name="__rp95">#REF!</definedName>
    <definedName name="__san110">#REF!</definedName>
    <definedName name="__san140">#REF!</definedName>
    <definedName name="__sat10">#REF!</definedName>
    <definedName name="__sat12">#REF!</definedName>
    <definedName name="__sat14">#REF!</definedName>
    <definedName name="__sat16">#REF!</definedName>
    <definedName name="__sat20">#REF!</definedName>
    <definedName name="__Sat27">#REF!</definedName>
    <definedName name="__Sat6">#REF!</definedName>
    <definedName name="__sat8">#REF!</definedName>
    <definedName name="__sc1">#REF!</definedName>
    <definedName name="__SC2">#REF!</definedName>
    <definedName name="__sc3">#REF!</definedName>
    <definedName name="__sl20">#REF!</definedName>
    <definedName name="__sl40">#REF!</definedName>
    <definedName name="__SN3">#REF!</definedName>
    <definedName name="__su45">#REF!</definedName>
    <definedName name="__sua20">#REF!</definedName>
    <definedName name="__sua30">#REF!</definedName>
    <definedName name="__tb2" localSheetId="9" hidden="1">{"'Sheet1'!$L$16"}</definedName>
    <definedName name="__tb2" localSheetId="0" hidden="1">{"'Sheet1'!$L$16"}</definedName>
    <definedName name="__tb2" localSheetId="1">{"'Sheet1'!$L$16"}</definedName>
    <definedName name="__tb2" localSheetId="14" hidden="1">{"'Sheet1'!$L$16"}</definedName>
    <definedName name="__tb2">{"'Sheet1'!$L$16"}</definedName>
    <definedName name="__TBA1">#REF!</definedName>
    <definedName name="__TBA2">#REF!</definedName>
    <definedName name="__TBA3">#REF!</definedName>
    <definedName name="__TBA4">#REF!</definedName>
    <definedName name="__TBA5">#REF!</definedName>
    <definedName name="__TBA6">#REF!</definedName>
    <definedName name="__TBA7">#REF!</definedName>
    <definedName name="__TBA8">#REF!</definedName>
    <definedName name="__TBA9">#REF!</definedName>
    <definedName name="__tct3">#REF!</definedName>
    <definedName name="__tct5">#REF!</definedName>
    <definedName name="__td1" localSheetId="9" hidden="1">{"'Sheet1'!$L$16"}</definedName>
    <definedName name="__td1" localSheetId="0" hidden="1">{"'Sheet1'!$L$16"}</definedName>
    <definedName name="__td1" localSheetId="1">{"'Sheet1'!$L$16"}</definedName>
    <definedName name="__td1" localSheetId="14" hidden="1">{"'Sheet1'!$L$16"}</definedName>
    <definedName name="__td1">{"'Sheet1'!$L$16"}</definedName>
    <definedName name="__TIT1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p2">#REF!</definedName>
    <definedName name="__tt10">#REF!</definedName>
    <definedName name="__tt3" localSheetId="9" hidden="1">{"'Sheet1'!$L$16"}</definedName>
    <definedName name="__tt3" localSheetId="0" hidden="1">{"'Sheet1'!$L$16"}</definedName>
    <definedName name="__tt3" localSheetId="1">{"'Sheet1'!$L$16"}</definedName>
    <definedName name="__tt3" localSheetId="14" hidden="1">{"'Sheet1'!$L$16"}</definedName>
    <definedName name="__tt3">{"'Sheet1'!$L$16"}</definedName>
    <definedName name="__tt30">#REF!</definedName>
    <definedName name="__tt6">#REF!</definedName>
    <definedName name="__tz593">#REF!</definedName>
    <definedName name="__th100">#REF!</definedName>
    <definedName name="__TH160">#REF!</definedName>
    <definedName name="__TH8">#REF!</definedName>
    <definedName name="__TH9">#REF!</definedName>
    <definedName name="__THt7" localSheetId="0">{"Book1","Bang chia luong.xls"}</definedName>
    <definedName name="__THt7">{"Book1","Bang chia luong.xls"}</definedName>
    <definedName name="__tr1">#REF!</definedName>
    <definedName name="__tr2">#REF!</definedName>
    <definedName name="__TR250">#REF!</definedName>
    <definedName name="__tr3">#REF!</definedName>
    <definedName name="__tr375">#REF!</definedName>
    <definedName name="__tr4">#REF!</definedName>
    <definedName name="__ui110">#REF!</definedName>
    <definedName name="__ui140">#REF!</definedName>
    <definedName name="__va1">#REF!</definedName>
    <definedName name="__VAN1">#REF!</definedName>
    <definedName name="__vb1215">#REF!</definedName>
    <definedName name="__vb1224">#REF!</definedName>
    <definedName name="__vb1225">#REF!</definedName>
    <definedName name="__vbt100">#REF!</definedName>
    <definedName name="__vbt150">#REF!</definedName>
    <definedName name="__vbt200">#REF!</definedName>
    <definedName name="__vc1">#REF!</definedName>
    <definedName name="__vc2">#REF!</definedName>
    <definedName name="__vc2121">#REF!</definedName>
    <definedName name="__vc2122">#REF!</definedName>
    <definedName name="__vc2123">#REF!</definedName>
    <definedName name="__vc2124">#REF!</definedName>
    <definedName name="__vc2141">#REF!</definedName>
    <definedName name="__vc2142">#REF!</definedName>
    <definedName name="__vc2143">#REF!</definedName>
    <definedName name="__vc2223">#REF!</definedName>
    <definedName name="__vc3">#REF!</definedName>
    <definedName name="__VC400">#REF!</definedName>
    <definedName name="__vl1">#REF!</definedName>
    <definedName name="__VL100">#REF!</definedName>
    <definedName name="__vl150">#REF!</definedName>
    <definedName name="__VL200">#REF!</definedName>
    <definedName name="__VL250">#REF!</definedName>
    <definedName name="__vl50">#REF!</definedName>
    <definedName name="__VLI150">#REF!</definedName>
    <definedName name="__VLI200">#REF!</definedName>
    <definedName name="__VLI50">#REF!</definedName>
    <definedName name="__vua25">#REF!</definedName>
    <definedName name="__vua30">#REF!</definedName>
    <definedName name="__vua35">#REF!</definedName>
    <definedName name="__xb80">#REF!</definedName>
    <definedName name="__xm30">#REF!</definedName>
    <definedName name="__xm40">#REF!</definedName>
    <definedName name="_1">#N/A</definedName>
    <definedName name="_1000A01">#N/A</definedName>
    <definedName name="_1CAP002">#REF!</definedName>
    <definedName name="_1DATA_DATA2_L">#REF!</definedName>
    <definedName name="_2">#N/A</definedName>
    <definedName name="_2STREO7">#REF!</definedName>
    <definedName name="_40x4">5100</definedName>
    <definedName name="_4DATA_DATA2_L">#REF!</definedName>
    <definedName name="_4GOIC01">#REF!</definedName>
    <definedName name="_4OSLCTT">#REF!</definedName>
    <definedName name="_6BNTTTH">#REF!</definedName>
    <definedName name="_6DCTTBO">#REF!</definedName>
    <definedName name="_6DD24TT">#REF!</definedName>
    <definedName name="_6FCOTBU">#REF!</definedName>
    <definedName name="_6LATUBU">#REF!</definedName>
    <definedName name="_6SDTT24">#REF!</definedName>
    <definedName name="_6TBUDTT">#REF!</definedName>
    <definedName name="_6TDDDTT">#REF!</definedName>
    <definedName name="_6TLTTTH">#REF!</definedName>
    <definedName name="_6TUBUTT">#REF!</definedName>
    <definedName name="_6UCLVIS">#REF!</definedName>
    <definedName name="_7DNCABC">#REF!</definedName>
    <definedName name="_7HDCTBU">#REF!</definedName>
    <definedName name="_7PKTUBU">#REF!</definedName>
    <definedName name="_7TBHT20">#REF!</definedName>
    <definedName name="_7TBHT30">#REF!</definedName>
    <definedName name="_7TDCABC">#REF!</definedName>
    <definedName name="_a">#REF!</definedName>
    <definedName name="_a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>{"Offgrid",#N/A,FALSE,"OFFGRID";"Region",#N/A,FALSE,"REGION";"Offgrid -2",#N/A,FALSE,"OFFGRID";"WTP",#N/A,FALSE,"WTP";"WTP -2",#N/A,FALSE,"WTP";"Project",#N/A,FALSE,"PROJECT";"Summary -2",#N/A,FALSE,"SUMMARY"}</definedName>
    <definedName name="_a2">{"'Sheet1'!$L$16"}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0000">#REF!</definedName>
    <definedName name="_A75000">#REF!</definedName>
    <definedName name="_A85000">#REF!</definedName>
    <definedName name="_abb91">#REF!</definedName>
    <definedName name="_atn1">#REF!</definedName>
    <definedName name="_atn10">#REF!</definedName>
    <definedName name="_atn2">#REF!</definedName>
    <definedName name="_atn3">#REF!</definedName>
    <definedName name="_atn4">#REF!</definedName>
    <definedName name="_atn5">#REF!</definedName>
    <definedName name="_atn6">#REF!</definedName>
    <definedName name="_atn7">#REF!</definedName>
    <definedName name="_atn8">#REF!</definedName>
    <definedName name="_atn9">#REF!</definedName>
    <definedName name="_b2">#REF!</definedName>
    <definedName name="_bac1">#REF!</definedName>
    <definedName name="_bac2">#REF!</definedName>
    <definedName name="_bac3">#REF!</definedName>
    <definedName name="_bac4">#REF!</definedName>
    <definedName name="_btd70">#REF!</definedName>
    <definedName name="_btm10">#REF!</definedName>
    <definedName name="_BTM150">#REF!</definedName>
    <definedName name="_BTM200">#REF!</definedName>
    <definedName name="_BTM250">#REF!</definedName>
    <definedName name="_btM300">#REF!</definedName>
    <definedName name="_BTM50">#REF!</definedName>
    <definedName name="_bua75">#REF!</definedName>
    <definedName name="_cap2005">#REF!</definedName>
    <definedName name="_cau6">#REF!</definedName>
    <definedName name="_cay75">#REF!</definedName>
    <definedName name="_Coc39" localSheetId="9" hidden="1">{"'Sheet1'!$L$16"}</definedName>
    <definedName name="_Coc39" localSheetId="0" hidden="1">{"'Sheet1'!$L$16"}</definedName>
    <definedName name="_Coc39" localSheetId="15" hidden="1">{"'Sheet1'!$L$16"}</definedName>
    <definedName name="_Coc39" localSheetId="1">{"'Sheet1'!$L$16"}</definedName>
    <definedName name="_Coc39" localSheetId="14" hidden="1">{"'Sheet1'!$L$16"}</definedName>
    <definedName name="_Coc39">{"'Sheet1'!$L$16"}</definedName>
    <definedName name="_CON1">#REF!</definedName>
    <definedName name="_CON2">#REF!</definedName>
    <definedName name="_Cot">#REF!</definedName>
    <definedName name="_cs805">#REF!</definedName>
    <definedName name="_CT250">#REF!</definedName>
    <definedName name="_ctd80">#REF!</definedName>
    <definedName name="_Cty501" localSheetId="9" hidden="1">{"'Sheet1'!$L$16"}</definedName>
    <definedName name="_Cty501" localSheetId="0" hidden="1">{"'Sheet1'!$L$16"}</definedName>
    <definedName name="_Cty501" localSheetId="1">{"'Sheet1'!$L$16"}</definedName>
    <definedName name="_Cty501">{"'Sheet1'!$L$16"}</definedName>
    <definedName name="_CVC1">#REF!</definedName>
    <definedName name="_dam16">#REF!</definedName>
    <definedName name="_dam25">#REF!</definedName>
    <definedName name="_dao1">#REF!</definedName>
    <definedName name="_dao2">#REF!</definedName>
    <definedName name="_dap2">#REF!</definedName>
    <definedName name="_day1">#REF!</definedName>
    <definedName name="_day2">#REF!</definedName>
    <definedName name="_DayNeo">#REF!</definedName>
    <definedName name="_dbu1">#REF!</definedName>
    <definedName name="_dbu2">#REF!</definedName>
    <definedName name="_DDC3">#REF!</definedName>
    <definedName name="_ddn400">#REF!</definedName>
    <definedName name="_ddn600">#REF!</definedName>
    <definedName name="_deo1">#REF!</definedName>
    <definedName name="_deo10">#REF!</definedName>
    <definedName name="_deo2">#REF!</definedName>
    <definedName name="_deo3">#REF!</definedName>
    <definedName name="_deo4">#REF!</definedName>
    <definedName name="_deo5">#REF!</definedName>
    <definedName name="_deo6">#REF!</definedName>
    <definedName name="_deo7">#REF!</definedName>
    <definedName name="_deo8">#REF!</definedName>
    <definedName name="_deo9">#REF!</definedName>
    <definedName name="_dgt100">#REF!</definedName>
    <definedName name="_dui15">#REF!</definedName>
    <definedName name="_f">#REF!</definedName>
    <definedName name="_FIL2">#REF!</definedName>
    <definedName name="_Fill" localSheetId="8" hidden="1">#REF!</definedName>
    <definedName name="_Fill" localSheetId="9" hidden="1">#REF!</definedName>
    <definedName name="_Fill" localSheetId="3" hidden="1">#REF!</definedName>
    <definedName name="_Fill" localSheetId="15" hidden="1">#REF!</definedName>
    <definedName name="_Fill" localSheetId="1" hidden="1">#REF!</definedName>
    <definedName name="_Fill">#REF!</definedName>
    <definedName name="_xlnm._FilterDatabase" localSheetId="8" hidden="1">'DG Can'!$A$7:$H$152</definedName>
    <definedName name="_xlnm._FilterDatabase" localSheetId="9" hidden="1">'DG Nuoc'!$A$18:$H$409</definedName>
    <definedName name="_xlnm._FilterDatabase" localSheetId="3" hidden="1">KLCT1!$T$15:$T$41</definedName>
    <definedName name="_xlnm._FilterDatabase" localSheetId="0" hidden="1">'PL01'!$R$9:$R$47</definedName>
    <definedName name="_Goi8" localSheetId="9" hidden="1">{"'Sheet1'!$L$16"}</definedName>
    <definedName name="_Goi8" localSheetId="0" hidden="1">{"'Sheet1'!$L$16"}</definedName>
    <definedName name="_Goi8" localSheetId="15" hidden="1">{"'Sheet1'!$L$16"}</definedName>
    <definedName name="_Goi8" localSheetId="1">{"'Sheet1'!$L$16"}</definedName>
    <definedName name="_Goi8" localSheetId="14" hidden="1">{"'Sheet1'!$L$16"}</definedName>
    <definedName name="_Goi8">{"'Sheet1'!$L$16"}</definedName>
    <definedName name="_gon4">#REF!</definedName>
    <definedName name="_Gra1">#REF!</definedName>
    <definedName name="_Gra2">#REF!</definedName>
    <definedName name="_gxm30">#REF!</definedName>
    <definedName name="_GID1">#REF!</definedName>
    <definedName name="_h">#REF!</definedName>
    <definedName name="_hh1">#REF!</definedName>
    <definedName name="_hh2">#REF!</definedName>
    <definedName name="_hom2">#REF!</definedName>
    <definedName name="_hom4">#REF!</definedName>
    <definedName name="_HSL1">#REF!</definedName>
    <definedName name="_HSL2">#REF!</definedName>
    <definedName name="_HSL4">#REF!</definedName>
    <definedName name="_hsm2">1.1289</definedName>
    <definedName name="_JK4">#REF!</definedName>
    <definedName name="_K146" localSheetId="9" hidden="1">{"'Sheet1'!$L$16"}</definedName>
    <definedName name="_K146" localSheetId="0" hidden="1">{"'Sheet1'!$L$16"}</definedName>
    <definedName name="_K146" localSheetId="15" hidden="1">{"'Sheet1'!$L$16"}</definedName>
    <definedName name="_K146" localSheetId="1">{"'Sheet1'!$L$16"}</definedName>
    <definedName name="_K146" localSheetId="14" hidden="1">{"'Sheet1'!$L$16"}</definedName>
    <definedName name="_K146">{"'Sheet1'!$L$16"}</definedName>
    <definedName name="_Kcdon">#REF!</definedName>
    <definedName name="_Key1" localSheetId="8" hidden="1">#REF!</definedName>
    <definedName name="_Key1" localSheetId="9" hidden="1">#REF!</definedName>
    <definedName name="_Key1" localSheetId="3" hidden="1">#REF!</definedName>
    <definedName name="_Key1" localSheetId="15" hidden="1">#REF!</definedName>
    <definedName name="_Key1" localSheetId="1" hidden="1">#REF!</definedName>
    <definedName name="_Key1" localSheetId="14" hidden="1">#REF!</definedName>
    <definedName name="_Key1">#REF!</definedName>
    <definedName name="_Key2" localSheetId="8" hidden="1">#REF!</definedName>
    <definedName name="_Key2" localSheetId="9" hidden="1">#REF!</definedName>
    <definedName name="_Key2" localSheetId="3" hidden="1">#REF!</definedName>
    <definedName name="_Key2" localSheetId="15" hidden="1">#REF!</definedName>
    <definedName name="_Key2" localSheetId="1" hidden="1">#REF!</definedName>
    <definedName name="_Key2">#REF!</definedName>
    <definedName name="_kl1">#REF!</definedName>
    <definedName name="_KL7">#REF!</definedName>
    <definedName name="_KM188">#REF!</definedName>
    <definedName name="_km189">#REF!</definedName>
    <definedName name="_km190">#REF!</definedName>
    <definedName name="_km191">#REF!</definedName>
    <definedName name="_km192">#REF!</definedName>
    <definedName name="_km193">#REF!</definedName>
    <definedName name="_km194">#REF!</definedName>
    <definedName name="_km195">#REF!</definedName>
    <definedName name="_km196">#REF!</definedName>
    <definedName name="_km197">#REF!</definedName>
    <definedName name="_km198">#REF!</definedName>
    <definedName name="_KyHieu">#REF!</definedName>
    <definedName name="_Lan1" localSheetId="9" hidden="1">{"'Sheet1'!$L$16"}</definedName>
    <definedName name="_Lan1" localSheetId="0" hidden="1">{"'Sheet1'!$L$16"}</definedName>
    <definedName name="_Lan1" localSheetId="15" hidden="1">{"'Sheet1'!$L$16"}</definedName>
    <definedName name="_Lan1" localSheetId="1">{"'Sheet1'!$L$16"}</definedName>
    <definedName name="_Lan1" localSheetId="14" hidden="1">{"'Sheet1'!$L$16"}</definedName>
    <definedName name="_Lan1">{"'Sheet1'!$L$16"}</definedName>
    <definedName name="_LAN3" localSheetId="9" hidden="1">{"'Sheet1'!$L$16"}</definedName>
    <definedName name="_LAN3" localSheetId="0" hidden="1">{"'Sheet1'!$L$16"}</definedName>
    <definedName name="_LAN3" localSheetId="15" hidden="1">{"'Sheet1'!$L$16"}</definedName>
    <definedName name="_LAN3" localSheetId="1">{"'Sheet1'!$L$16"}</definedName>
    <definedName name="_LAN3" localSheetId="14" hidden="1">{"'Sheet1'!$L$16"}</definedName>
    <definedName name="_LAN3">{"'Sheet1'!$L$16"}</definedName>
    <definedName name="_lap1">#REF!</definedName>
    <definedName name="_lap2">#REF!</definedName>
    <definedName name="_lb40">#REF!</definedName>
    <definedName name="_lk2" localSheetId="9" hidden="1">{"'Sheet1'!$L$16"}</definedName>
    <definedName name="_lk2" localSheetId="0" hidden="1">{"'Sheet1'!$L$16"}</definedName>
    <definedName name="_lk2" localSheetId="15" hidden="1">{"'Sheet1'!$L$16"}</definedName>
    <definedName name="_lk2" localSheetId="1">{"'Sheet1'!$L$16"}</definedName>
    <definedName name="_lk2" localSheetId="14" hidden="1">{"'Sheet1'!$L$16"}</definedName>
    <definedName name="_lk2">{"'Sheet1'!$L$16"}</definedName>
    <definedName name="_lu10">#REF!</definedName>
    <definedName name="_LX100">#REF!</definedName>
    <definedName name="_MAC12">#REF!</definedName>
    <definedName name="_MAC46">#REF!</definedName>
    <definedName name="_MCB600">#REF!</definedName>
    <definedName name="_MCB800">#REF!</definedName>
    <definedName name="_mdc1">#REF!</definedName>
    <definedName name="_mdc2">#REF!</definedName>
    <definedName name="_mh2">#REF!</definedName>
    <definedName name="_mk42">#REF!</definedName>
    <definedName name="_mk65">#REF!</definedName>
    <definedName name="_mnk10">#REF!</definedName>
    <definedName name="_mnk17">#REF!</definedName>
    <definedName name="_mnk9">#REF!</definedName>
    <definedName name="_MoM11">#REF!</definedName>
    <definedName name="_Mong">#REF!</definedName>
    <definedName name="_MongCotNeo">#REF!</definedName>
    <definedName name="_MongNeo">#REF!</definedName>
    <definedName name="_mr20">#REF!</definedName>
    <definedName name="_MVL486">#REF!</definedName>
    <definedName name="_mw2">#REF!</definedName>
    <definedName name="_mxd106">#REF!</definedName>
    <definedName name="_mxd118">#REF!</definedName>
    <definedName name="_mxd149">#REF!</definedName>
    <definedName name="_mxd150">#REF!</definedName>
    <definedName name="_mxd151">#REF!</definedName>
    <definedName name="_mxd158">#REF!</definedName>
    <definedName name="_mxd159">#REF!</definedName>
    <definedName name="_mxd161">#REF!</definedName>
    <definedName name="_mxd179">#REF!</definedName>
    <definedName name="_mxd185">#REF!</definedName>
    <definedName name="_mxd200">#REF!</definedName>
    <definedName name="_mxd205">#REF!</definedName>
    <definedName name="_mxd206">#REF!</definedName>
    <definedName name="_mxd207">#REF!</definedName>
    <definedName name="_mxd219">#REF!</definedName>
    <definedName name="_mxd222">#REF!</definedName>
    <definedName name="_mxd225">#REF!</definedName>
    <definedName name="_mxd23">#REF!</definedName>
    <definedName name="_mxd235">#REF!</definedName>
    <definedName name="_mxd239">#REF!</definedName>
    <definedName name="_mxd24">#REF!</definedName>
    <definedName name="_mxd243">#REF!</definedName>
    <definedName name="_mxd255">#REF!</definedName>
    <definedName name="_mxd26">#REF!</definedName>
    <definedName name="_mxd265">#REF!</definedName>
    <definedName name="_mxd272">#REF!</definedName>
    <definedName name="_mxd285">#REF!</definedName>
    <definedName name="_mxd300">#REF!</definedName>
    <definedName name="_mxd342">#REF!</definedName>
    <definedName name="_mxd357">#REF!</definedName>
    <definedName name="_mxd369">#REF!</definedName>
    <definedName name="_mxd371">#REF!</definedName>
    <definedName name="_mxd376">#REF!</definedName>
    <definedName name="_mxd377">#REF!</definedName>
    <definedName name="_mxd38">#REF!</definedName>
    <definedName name="_mxd380">#REF!</definedName>
    <definedName name="_mxd39">#REF!</definedName>
    <definedName name="_mxd393">#REF!</definedName>
    <definedName name="_mxd394">#REF!</definedName>
    <definedName name="_mxd403">#REF!</definedName>
    <definedName name="_mxd409">#REF!</definedName>
    <definedName name="_mxd410">#REF!</definedName>
    <definedName name="_mxd412">#REF!</definedName>
    <definedName name="_mxd415">#REF!</definedName>
    <definedName name="_mxd423">#REF!</definedName>
    <definedName name="_mxd64">#REF!</definedName>
    <definedName name="_mxd67">#REF!</definedName>
    <definedName name="_mxd69">#REF!</definedName>
    <definedName name="_mxd78">#REF!</definedName>
    <definedName name="_NC100">#REF!</definedName>
    <definedName name="_nc150">#REF!</definedName>
    <definedName name="_NC200">#REF!</definedName>
    <definedName name="_nc27">#REF!</definedName>
    <definedName name="_nc3">#REF!</definedName>
    <definedName name="_nc35">#REF!</definedName>
    <definedName name="_nc4">#REF!</definedName>
    <definedName name="_nc50">#REF!</definedName>
    <definedName name="_NCC3">#REF!</definedName>
    <definedName name="_NCC4">#REF!</definedName>
    <definedName name="_NCL100">#REF!</definedName>
    <definedName name="_NCL200">#REF!</definedName>
    <definedName name="_NCL250">#REF!</definedName>
    <definedName name="_NCO150">#REF!</definedName>
    <definedName name="_NCO200">#REF!</definedName>
    <definedName name="_NCO50">#REF!</definedName>
    <definedName name="_neo1">#REF!</definedName>
    <definedName name="_NET2">#REF!</definedName>
    <definedName name="_nin190">#REF!</definedName>
    <definedName name="_NK5" localSheetId="9" hidden="1">{"'Sheet1'!$L$16"}</definedName>
    <definedName name="_NK5" localSheetId="0" hidden="1">{"'Sheet1'!$L$16"}</definedName>
    <definedName name="_NK5" localSheetId="15" hidden="1">{"'Sheet1'!$L$16"}</definedName>
    <definedName name="_NK5" localSheetId="1">{"'Sheet1'!$L$16"}</definedName>
    <definedName name="_NK5" localSheetId="14" hidden="1">{"'Sheet1'!$L$16"}</definedName>
    <definedName name="_NK5">{"'Sheet1'!$L$16"}</definedName>
    <definedName name="_NPV11">#REF!</definedName>
    <definedName name="_npv22">#REF!</definedName>
    <definedName name="_NSO2" localSheetId="9" hidden="1">{"'Sheet1'!$L$16"}</definedName>
    <definedName name="_NSO2" localSheetId="0" hidden="1">{"'Sheet1'!$L$16"}</definedName>
    <definedName name="_NSO2" localSheetId="1">{"'Sheet1'!$L$16"}</definedName>
    <definedName name="_NSO2">{"'Sheet1'!$L$16"}</definedName>
    <definedName name="_nga3">#REF!</definedName>
    <definedName name="_obt1">#REF!</definedName>
    <definedName name="_obt2">#REF!</definedName>
    <definedName name="_ond100">#REF!</definedName>
    <definedName name="_Order1">255</definedName>
    <definedName name="_Order2">255</definedName>
    <definedName name="_oto10">#REF!</definedName>
    <definedName name="_oto12">#REF!</definedName>
    <definedName name="_oto5">#REF!</definedName>
    <definedName name="_PA3" localSheetId="0">{"Thuxm2.xls","Sheet1"}</definedName>
    <definedName name="_PA3">{"Thuxm2.xls","Sheet1"}</definedName>
    <definedName name="_pc30">#REF!</definedName>
    <definedName name="_pc40">#REF!</definedName>
    <definedName name="_pcb40">#REF!</definedName>
    <definedName name="_PXB80">#REF!</definedName>
    <definedName name="_Ph30">#REF!</definedName>
    <definedName name="_qa7">#REF!</definedName>
    <definedName name="_qh2">#REF!</definedName>
    <definedName name="_rai20">#REF!</definedName>
    <definedName name="_rai50">#REF!</definedName>
    <definedName name="_Rd1">#REF!</definedName>
    <definedName name="_RHH1">#REF!</definedName>
    <definedName name="_RHH10">#REF!</definedName>
    <definedName name="_RHP1">#REF!</definedName>
    <definedName name="_RHP10">#REF!</definedName>
    <definedName name="_RI1">#REF!</definedName>
    <definedName name="_RI10">#REF!</definedName>
    <definedName name="_RII1">#REF!</definedName>
    <definedName name="_RII10">#REF!</definedName>
    <definedName name="_RIP1">#REF!</definedName>
    <definedName name="_RIP10">#REF!</definedName>
    <definedName name="_rp95">#REF!</definedName>
    <definedName name="_san110">#REF!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>#REF!</definedName>
    <definedName name="_SC2">#REF!</definedName>
    <definedName name="_sc3">#REF!</definedName>
    <definedName name="_sl20">#REF!</definedName>
    <definedName name="_sl40">#REF!</definedName>
    <definedName name="_SN3">#REF!</definedName>
    <definedName name="_Sort" localSheetId="8" hidden="1">#REF!</definedName>
    <definedName name="_Sort" localSheetId="9" hidden="1">#REF!</definedName>
    <definedName name="_Sort" localSheetId="3" hidden="1">#REF!</definedName>
    <definedName name="_Sort" localSheetId="15" hidden="1">#REF!</definedName>
    <definedName name="_Sort" localSheetId="1" hidden="1">#REF!</definedName>
    <definedName name="_Sort">#REF!</definedName>
    <definedName name="_Su">#REF!</definedName>
    <definedName name="_su45">#REF!</definedName>
    <definedName name="_sua20">#REF!</definedName>
    <definedName name="_sua30">#REF!</definedName>
    <definedName name="_tb2" localSheetId="9" hidden="1">{"'Sheet1'!$L$16"}</definedName>
    <definedName name="_tb2" localSheetId="0" hidden="1">{"'Sheet1'!$L$16"}</definedName>
    <definedName name="_tb2" localSheetId="15" hidden="1">{"'Sheet1'!$L$16"}</definedName>
    <definedName name="_tb2" localSheetId="1">{"'Sheet1'!$L$16"}</definedName>
    <definedName name="_tb2" localSheetId="14" hidden="1">{"'Sheet1'!$L$16"}</definedName>
    <definedName name="_tb2">{"'Sheet1'!$L$16"}</definedName>
    <definedName name="_TBA1">#REF!</definedName>
    <definedName name="_TBA2">#REF!</definedName>
    <definedName name="_TBA3">#REF!</definedName>
    <definedName name="_TBA4">#REF!</definedName>
    <definedName name="_TBA5">#REF!</definedName>
    <definedName name="_TBA6">#REF!</definedName>
    <definedName name="_TBA7">#REF!</definedName>
    <definedName name="_TBA8">#REF!</definedName>
    <definedName name="_TBA9">#REF!</definedName>
    <definedName name="_tct3">#REF!</definedName>
    <definedName name="_tct5">#REF!</definedName>
    <definedName name="_td1" localSheetId="9" hidden="1">{"'Sheet1'!$L$16"}</definedName>
    <definedName name="_td1" localSheetId="0" hidden="1">{"'Sheet1'!$L$16"}</definedName>
    <definedName name="_td1" localSheetId="15" hidden="1">{"'Sheet1'!$L$16"}</definedName>
    <definedName name="_td1" localSheetId="1">{"'Sheet1'!$L$16"}</definedName>
    <definedName name="_td1" localSheetId="14" hidden="1">{"'Sheet1'!$L$16"}</definedName>
    <definedName name="_td1">{"'Sheet1'!$L$16"}</definedName>
    <definedName name="_TIT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p2">#REF!</definedName>
    <definedName name="_tt10">#REF!</definedName>
    <definedName name="_tt3" localSheetId="9" hidden="1">{"'Sheet1'!$L$16"}</definedName>
    <definedName name="_tt3" localSheetId="0" hidden="1">{"'Sheet1'!$L$16"}</definedName>
    <definedName name="_tt3" localSheetId="15" hidden="1">{"'Sheet1'!$L$16"}</definedName>
    <definedName name="_tt3" localSheetId="1">{"'Sheet1'!$L$16"}</definedName>
    <definedName name="_tt3" localSheetId="14" hidden="1">{"'Sheet1'!$L$16"}</definedName>
    <definedName name="_tt3">{"'Sheet1'!$L$16"}</definedName>
    <definedName name="_tt30">#REF!</definedName>
    <definedName name="_tt6">#REF!</definedName>
    <definedName name="_tz593">#REF!</definedName>
    <definedName name="_th100">#REF!</definedName>
    <definedName name="_TH160">#REF!</definedName>
    <definedName name="_TH8">#REF!</definedName>
    <definedName name="_TH9">#REF!</definedName>
    <definedName name="_THt7" localSheetId="0">{"Book1","Bang chia luong.xls"}</definedName>
    <definedName name="_THt7">{"Book1","Bang chia luong.xls"}</definedName>
    <definedName name="_tr1">#REF!</definedName>
    <definedName name="_tr2">#REF!</definedName>
    <definedName name="_TR250">#REF!</definedName>
    <definedName name="_tr3">#REF!</definedName>
    <definedName name="_tr375">#REF!</definedName>
    <definedName name="_tr4">#REF!</definedName>
    <definedName name="_ui110">#REF!</definedName>
    <definedName name="_ui140">#REF!</definedName>
    <definedName name="_va1">#REF!</definedName>
    <definedName name="_VAN1">#REF!</definedName>
    <definedName name="_vb1215">#REF!</definedName>
    <definedName name="_vb1224">#REF!</definedName>
    <definedName name="_vb1225">#REF!</definedName>
    <definedName name="_vbt100">#REF!</definedName>
    <definedName name="_vbt150">#REF!</definedName>
    <definedName name="_vbt200">#REF!</definedName>
    <definedName name="_vc1">#REF!</definedName>
    <definedName name="_vc2">#REF!</definedName>
    <definedName name="_vc2121">#REF!</definedName>
    <definedName name="_vc2122">#REF!</definedName>
    <definedName name="_vc2123">#REF!</definedName>
    <definedName name="_vc2124">#REF!</definedName>
    <definedName name="_vc2141">#REF!</definedName>
    <definedName name="_vc2142">#REF!</definedName>
    <definedName name="_vc2143">#REF!</definedName>
    <definedName name="_vc2223">#REF!</definedName>
    <definedName name="_vc3">#REF!</definedName>
    <definedName name="_VC400">#REF!</definedName>
    <definedName name="_vl1">#REF!</definedName>
    <definedName name="_VL100">#REF!</definedName>
    <definedName name="_vl150">#REF!</definedName>
    <definedName name="_VL200">#REF!</definedName>
    <definedName name="_VL250">#REF!</definedName>
    <definedName name="_vl50">#REF!</definedName>
    <definedName name="_VLI150">#REF!</definedName>
    <definedName name="_VLI200">#REF!</definedName>
    <definedName name="_VLI50">#REF!</definedName>
    <definedName name="_VP1">#REF!</definedName>
    <definedName name="_VP3">#REF!</definedName>
    <definedName name="_VT22">#REF!</definedName>
    <definedName name="_vua25">#REF!</definedName>
    <definedName name="_vua30">#REF!</definedName>
    <definedName name="_vua35">#REF!</definedName>
    <definedName name="_Xa">#REF!</definedName>
    <definedName name="_xb80">#REF!</definedName>
    <definedName name="_xleta.SUM" hidden="1" xlm="1">#NAME?</definedName>
    <definedName name="_xleta.TEXTAFTER" hidden="1" xlm="1">#NAME?</definedName>
    <definedName name="_xleta.TEXTSPLIT" hidden="1" xlm="1">#NAME?</definedName>
    <definedName name="_xm30">#REF!</definedName>
    <definedName name="_xm40">#REF!</definedName>
    <definedName name="_XN253">#REF!</definedName>
    <definedName name="A">#REF!</definedName>
    <definedName name="A.">#REF!</definedName>
    <definedName name="a_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.8N2">#REF!</definedName>
    <definedName name="a1_">#REF!</definedName>
    <definedName name="A120_">#REF!</definedName>
    <definedName name="a2_">#REF!</definedName>
    <definedName name="a277Print_Titles">#REF!</definedName>
    <definedName name="a3_">#REF!</definedName>
    <definedName name="A35_">#REF!</definedName>
    <definedName name="a4_">#REF!</definedName>
    <definedName name="a5_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>#REF!</definedName>
    <definedName name="A95_">#REF!</definedName>
    <definedName name="AA">#REF!</definedName>
    <definedName name="AAA">#REF!</definedName>
    <definedName name="aaaaaaaaaa">#REF!</definedName>
    <definedName name="Ab">#REF!</definedName>
    <definedName name="abc">#REF!</definedName>
    <definedName name="abo">#REF!</definedName>
    <definedName name="ac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o">#REF!</definedName>
    <definedName name="adb">#REF!</definedName>
    <definedName name="Address">#REF!</definedName>
    <definedName name="ADEQ">#REF!</definedName>
    <definedName name="adg">#REF!</definedName>
    <definedName name="æ76">#REF!</definedName>
    <definedName name="Ag_">#REF!</definedName>
    <definedName name="ag142X42">#REF!</definedName>
    <definedName name="ag15F80">#REF!</definedName>
    <definedName name="ag267N59">#REF!</definedName>
    <definedName name="aghswh">#REF!</definedName>
    <definedName name="aî">#REF!</definedName>
    <definedName name="ak">#REF!</definedName>
    <definedName name="akbt">#REF!</definedName>
    <definedName name="Alinh">#REF!</definedName>
    <definedName name="all">#REF!</definedName>
    <definedName name="All_Item">#REF!</definedName>
    <definedName name="ALPIN">#N/A</definedName>
    <definedName name="ALPJYOU">#N/A</definedName>
    <definedName name="ALPTOI">#N/A</definedName>
    <definedName name="Alpha">#REF!</definedName>
    <definedName name="am">#REF!</definedName>
    <definedName name="amiang">#REF!</definedName>
    <definedName name="amm">#REF!</definedName>
    <definedName name="amu">#REF!</definedName>
    <definedName name="an">#REF!</definedName>
    <definedName name="annhhuy">#REF!</definedName>
    <definedName name="anpha">#REF!</definedName>
    <definedName name="anscount">1</definedName>
    <definedName name="ANHTIEN">#REF!</definedName>
    <definedName name="ao">#REF!</definedName>
    <definedName name="AoBok">#REF!</definedName>
    <definedName name="ap">#REF!</definedName>
    <definedName name="Aps">#REF!</definedName>
    <definedName name="Aq">#REF!</definedName>
    <definedName name="AR_DGTN">#REF!</definedName>
    <definedName name="Arial">#REF!</definedName>
    <definedName name="as">#REF!</definedName>
    <definedName name="As_">#REF!</definedName>
    <definedName name="at">#REF!</definedName>
    <definedName name="at1.5">#REF!</definedName>
    <definedName name="atg">#REF!</definedName>
    <definedName name="atgoi">#REF!</definedName>
    <definedName name="ATIEN">#REF!,#REF!</definedName>
    <definedName name="av">#REF!</definedName>
    <definedName name="â" localSheetId="9" hidden="1">{"'Sheet1'!$L$16"}</definedName>
    <definedName name="â" localSheetId="3" hidden="1">{"'Sheet1'!$L$16"}</definedName>
    <definedName name="â" localSheetId="0" hidden="1">{"'Sheet1'!$L$16"}</definedName>
    <definedName name="â" localSheetId="15" hidden="1">{"'Sheet1'!$L$16"}</definedName>
    <definedName name="â" localSheetId="1" hidden="1">{"'Sheet1'!$L$16"}</definedName>
    <definedName name="â" localSheetId="14" hidden="1">{"'Sheet1'!$L$16"}</definedName>
    <definedName name="â">{"'Sheet1'!$L$16"}</definedName>
    <definedName name="B">#REF!</definedName>
    <definedName name="B.cong12BDH">#REF!</definedName>
    <definedName name="B.cong12CNN">#REF!</definedName>
    <definedName name="B.cong12N2">#REF!</definedName>
    <definedName name="B.cong9">#REF!</definedName>
    <definedName name="B.h10">#REF!</definedName>
    <definedName name="B.h11">#REF!</definedName>
    <definedName name="B.h9">#REF!</definedName>
    <definedName name="B.MinBacLieu">#REF!</definedName>
    <definedName name="B.MinDuongHCM">#REF!</definedName>
    <definedName name="B.MinTuyHA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Isc">#REF!</definedName>
    <definedName name="B_ng_dÝnh">#REF!</definedName>
    <definedName name="b1_">#REF!</definedName>
    <definedName name="b11_">#REF!</definedName>
    <definedName name="b2_">#REF!</definedName>
    <definedName name="b3_">#REF!</definedName>
    <definedName name="b4_">#REF!</definedName>
    <definedName name="b5_">#REF!</definedName>
    <definedName name="b6_">#REF!</definedName>
    <definedName name="B6Apha">#REF!</definedName>
    <definedName name="B6beta">#REF!</definedName>
    <definedName name="B6d">#REF!</definedName>
    <definedName name="B6phi">#REF!</definedName>
    <definedName name="b7_">#REF!</definedName>
    <definedName name="B7Csau">#REF!</definedName>
    <definedName name="B7dset">#REF!</definedName>
    <definedName name="B7R">#REF!</definedName>
    <definedName name="bac2.5">#REF!</definedName>
    <definedName name="bac2.7">#REF!</definedName>
    <definedName name="bac3.5">#REF!</definedName>
    <definedName name="bac3.7">#REF!</definedName>
    <definedName name="bac4.5">#REF!</definedName>
    <definedName name="baclaixe">#REF!</definedName>
    <definedName name="bact">#REF!</definedName>
    <definedName name="Bai_ducdam_coc">#REF!</definedName>
    <definedName name="ban">#REF!</definedName>
    <definedName name="ban_dan">#REF!</definedName>
    <definedName name="BanGiamdoc">#REF!</definedName>
    <definedName name="Banketam">#REF!</definedName>
    <definedName name="Bang_cly">#REF!</definedName>
    <definedName name="Bang_CVC">#REF!</definedName>
    <definedName name="BANG_CHI_TIET_THI_NGHIEM_CONG_TO">#REF!</definedName>
    <definedName name="BANG_CHI_TIET_THI_NGHIEM_DZ0.4KV">#REF!</definedName>
    <definedName name="bang_gia">#REF!</definedName>
    <definedName name="BANG_TONG_HOP_CONG_TO">#REF!</definedName>
    <definedName name="BANG_TONG_HOP_DZ0.4KV">#REF!</definedName>
    <definedName name="BANG_TONG_HOP_DZ22KV">#REF!</definedName>
    <definedName name="BANG_TONG_HOP_KHO_BAI">#REF!</definedName>
    <definedName name="BANG_TONG_HOP_TBA">#REF!</definedName>
    <definedName name="Bang_travl">#REF!</definedName>
    <definedName name="bangciti">#REF!</definedName>
    <definedName name="Bangfs">#REF!</definedName>
    <definedName name="BangName">#REF!</definedName>
    <definedName name="Bangtienluong">#REF!</definedName>
    <definedName name="bangtinh">#REF!</definedName>
    <definedName name="baocao2">#REF!</definedName>
    <definedName name="Bar">#REF!</definedName>
    <definedName name="BarData">#REF!</definedName>
    <definedName name="BB">#REF!</definedName>
    <definedName name="Bbb">#REF!</definedName>
    <definedName name="bbe">#REF!</definedName>
    <definedName name="Bbtt">#REF!</definedName>
    <definedName name="Bc">#REF!</definedName>
    <definedName name="bcau">#REF!</definedName>
    <definedName name="Bcb">#REF!</definedName>
    <definedName name="bcnv">#REF!</definedName>
    <definedName name="Bctt">#REF!</definedName>
    <definedName name="bd">#REF!</definedName>
    <definedName name="bdc1.2">#REF!</definedName>
    <definedName name="bdc2.5">#REF!</definedName>
    <definedName name="bdh">#REF!</definedName>
    <definedName name="BDHduongHCM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>{"'Sheet1'!$L$16"}</definedName>
    <definedName name="Be_duc_dam">#REF!</definedName>
    <definedName name="BeaRef">#REF!</definedName>
    <definedName name="begin_creep">#REF!</definedName>
    <definedName name="beta">#REF!</definedName>
    <definedName name="betong">#REF!</definedName>
    <definedName name="betong100">#REF!</definedName>
    <definedName name="betong200">#REF!</definedName>
    <definedName name="BetongM150">#REF!,#REF!</definedName>
    <definedName name="BetongM200">#REF!,#REF!</definedName>
    <definedName name="BetongM50">#REF!,#REF!</definedName>
    <definedName name="Bgc">#REF!</definedName>
    <definedName name="BH">#REF!</definedName>
    <definedName name="BH12BDH">#REF!</definedName>
    <definedName name="BH12CNN">#REF!</definedName>
    <definedName name="BH12N2">#REF!</definedName>
    <definedName name="BH1NII">#REF!</definedName>
    <definedName name="BH2NII">#REF!</definedName>
    <definedName name="BH3NII">#REF!</definedName>
    <definedName name="BH4NII">#REF!</definedName>
    <definedName name="BH5NII">#REF!</definedName>
    <definedName name="BH7NII">#REF!</definedName>
    <definedName name="BHI">#REF!</definedName>
    <definedName name="BHII">#REF!</definedName>
    <definedName name="BHT12TH">#REF!</definedName>
    <definedName name="bia">#REF!</definedName>
    <definedName name="BieuNghiBaiChay">#REF!</definedName>
    <definedName name="Bitum">#REF!</definedName>
    <definedName name="bl">#REF!</definedName>
    <definedName name="bl_">#REF!</definedName>
    <definedName name="blc">#REF!</definedName>
    <definedName name="blop">#REF!</definedName>
    <definedName name="bm">#REF!</definedName>
    <definedName name="BMavuong">#REF!</definedName>
    <definedName name="BMCauDuongSat">#REF!</definedName>
    <definedName name="bmd">#REF!</definedName>
    <definedName name="Bmn">#REF!</definedName>
    <definedName name="BMTuyenong">#REF!</definedName>
    <definedName name="bn">#REF!</definedName>
    <definedName name="Bnc">#REF!</definedName>
    <definedName name="bnhg">BlankMacro1</definedName>
    <definedName name="bo">#REF!</definedName>
    <definedName name="bom">#REF!</definedName>
    <definedName name="Book2">#REF!</definedName>
    <definedName name="BOQ">#REF!</definedName>
    <definedName name="Border1">#REF!</definedName>
    <definedName name="Border2">#REF!</definedName>
    <definedName name="botda">#REF!</definedName>
    <definedName name="brcc">#REF!</definedName>
    <definedName name="Bs">#REF!</definedName>
    <definedName name="Bsb">#REF!</definedName>
    <definedName name="bson">#REF!</definedName>
    <definedName name="Bstt">#REF!</definedName>
    <definedName name="BT">#REF!</definedName>
    <definedName name="BT_125">#REF!</definedName>
    <definedName name="BT_CT_Mong_Mo_Tru_Cau">#REF!</definedName>
    <definedName name="BT200_50">#REF!</definedName>
    <definedName name="bt30_">#REF!</definedName>
    <definedName name="btai">#REF!</definedName>
    <definedName name="btcocM400">#REF!</definedName>
    <definedName name="btchiuaxitm300">#REF!</definedName>
    <definedName name="BTchiuaxm200">#REF!</definedName>
    <definedName name="btga70">#REF!</definedName>
    <definedName name="BTlotm100">#REF!</definedName>
    <definedName name="BTN_CPDD_tuoi_nhua_lot">#REF!</definedName>
    <definedName name="btnit">#REF!</definedName>
    <definedName name="btthuongpham150">#REF!</definedName>
    <definedName name="btthuongpham300">#REF!</definedName>
    <definedName name="bth">#REF!</definedName>
    <definedName name="bu">#REF!</definedName>
    <definedName name="BU_CHENH_LECH_DZ0.4KV">#REF!</definedName>
    <definedName name="BU_CHENH_LECH_DZ22KV">#REF!</definedName>
    <definedName name="BU_CHENH_LECH_TBA">#REF!</definedName>
    <definedName name="bua">#REF!</definedName>
    <definedName name="bùc" localSheetId="0">{"Book1","Dt tonghop.xls"}</definedName>
    <definedName name="bùc">{"Book1","Dt tonghop.xls"}</definedName>
    <definedName name="bulong">#REF!</definedName>
    <definedName name="Bulongma">8700</definedName>
    <definedName name="buoc">#REF!</definedName>
    <definedName name="Bust">#REF!</definedName>
    <definedName name="bv">#REF!</definedName>
    <definedName name="BVCISUMMARY">#REF!</definedName>
    <definedName name="bvt">#REF!</definedName>
    <definedName name="bvtb">#REF!</definedName>
    <definedName name="bvttt">#REF!</definedName>
    <definedName name="bw">#REF!</definedName>
    <definedName name="C.1.1..Phat_tuyen">#REF!</definedName>
    <definedName name="C.1.10..VC_Thu_cong_CG">#REF!</definedName>
    <definedName name="C.1.2..Chat_cay_thu_cong">#REF!</definedName>
    <definedName name="C.1.3..Chat_cay_may">#REF!</definedName>
    <definedName name="C.1.4..Dao_goc_cay">#REF!</definedName>
    <definedName name="C.1.5..Lam_duong_tam">#REF!</definedName>
    <definedName name="C.1.6..Lam_cau_tam">#REF!</definedName>
    <definedName name="C.1.7..Rai_da_chong_lun">#REF!</definedName>
    <definedName name="C.1.8..Lam_kho_tam">#REF!</definedName>
    <definedName name="C.1.8..San_mat_bang">#REF!</definedName>
    <definedName name="C.2.1..VC_Thu_cong">#REF!</definedName>
    <definedName name="C.2.2..VC_T_cong_CG">#REF!</definedName>
    <definedName name="C.2.3..Boc_do">#REF!</definedName>
    <definedName name="C.3.1..Dao_dat_mong_cot">#REF!</definedName>
    <definedName name="C.3.2..Dao_dat_de_dap">#REF!</definedName>
    <definedName name="C.3.3..Dap_dat_mong">#REF!</definedName>
    <definedName name="C.3.4..Dao_dap_TDia">#REF!</definedName>
    <definedName name="C.3.5..Dap_bo_bao">#REF!</definedName>
    <definedName name="C.3.6..Bom_tat_nuoc">#REF!</definedName>
    <definedName name="C.3.7..Dao_bun">#REF!</definedName>
    <definedName name="C.3.8..Dap_cat_CT">#REF!</definedName>
    <definedName name="C.3.9..Dao_pha_da">#REF!</definedName>
    <definedName name="C.4.1.Cot_thep">#REF!</definedName>
    <definedName name="C.4.2..Van_khuon">#REF!</definedName>
    <definedName name="C.4.3..Be_tong">#REF!</definedName>
    <definedName name="C.4.4..Lap_BT_D.San">#REF!</definedName>
    <definedName name="C.4.5..Xay_da_hoc">#REF!</definedName>
    <definedName name="C.4.6..Dong_coc">#REF!</definedName>
    <definedName name="C.4.7..Quet_Bi_tum">#REF!</definedName>
    <definedName name="C.5.1..Lap_cot_thep">#REF!</definedName>
    <definedName name="C.5.2..Lap_cot_BT">#REF!</definedName>
    <definedName name="C.5.3..Lap_dat_xa">#REF!</definedName>
    <definedName name="C.5.4..Lap_tiep_dia">#REF!</definedName>
    <definedName name="C.5.5..Son_sat_thep">#REF!</definedName>
    <definedName name="C.6.1..Lap_su_dung">#REF!</definedName>
    <definedName name="C.6.2..Lap_su_CS">#REF!</definedName>
    <definedName name="C.6.3..Su_chuoi_do">#REF!</definedName>
    <definedName name="C.6.4..Su_chuoi_neo">#REF!</definedName>
    <definedName name="C.6.5..Lap_phu_kien">#REF!</definedName>
    <definedName name="C.6.6..Ep_noi_day">#REF!</definedName>
    <definedName name="C.6.7..KD_vuot_CN">#REF!</definedName>
    <definedName name="C.6.8..Rai_cang_day">#REF!</definedName>
    <definedName name="C.6.9..Cap_quang">#REF!</definedName>
    <definedName name="C.linh12BDH">#REF!</definedName>
    <definedName name="C.linh12CNN">#REF!</definedName>
    <definedName name="C.linh12N2">#REF!</definedName>
    <definedName name="C.linh9">#REF!</definedName>
    <definedName name="C.nhanhP.Nam">#REF!</definedName>
    <definedName name="C.TBachLongVy">#REF!</definedName>
    <definedName name="C.TBomMin">#REF!</definedName>
    <definedName name="C.TDungQuÊt">#REF!</definedName>
    <definedName name="C.TLachbang">#REF!</definedName>
    <definedName name="c_">#REF!</definedName>
    <definedName name="c_1">#REF!</definedName>
    <definedName name="c_2">#REF!</definedName>
    <definedName name="ca">#REF!</definedName>
    <definedName name="ca.1111">#REF!</definedName>
    <definedName name="ca.1111.th">#REF!</definedName>
    <definedName name="CABLE2">#REF!</definedName>
    <definedName name="CACAU">298161</definedName>
    <definedName name="CaMay">#REF!</definedName>
    <definedName name="cap">#REF!</definedName>
    <definedName name="cap_DUL_va_TC">#REF!</definedName>
    <definedName name="cap0.7">#REF!</definedName>
    <definedName name="CAPDAT">#REF!</definedName>
    <definedName name="capphoi">#REF!</definedName>
    <definedName name="cat">#REF!</definedName>
    <definedName name="Category_All">#REF!</definedName>
    <definedName name="CATIN">#N/A</definedName>
    <definedName name="CATJYOU">#N/A</definedName>
    <definedName name="catm">#REF!</definedName>
    <definedName name="catn">#REF!</definedName>
    <definedName name="CATSYU">#N/A</definedName>
    <definedName name="catvang">#REF!</definedName>
    <definedName name="CatVang_HamYen">#REF!</definedName>
    <definedName name="CATREC">#N/A</definedName>
    <definedName name="cau">#REF!</definedName>
    <definedName name="Caunho">#REF!</definedName>
    <definedName name="Cb">#REF!</definedName>
    <definedName name="cc">#REF!</definedName>
    <definedName name="CÇn_cÈu_10_T">#REF!</definedName>
    <definedName name="CCNK">#REF!</definedName>
    <definedName name="CCS">#REF!</definedName>
    <definedName name="cd">#REF!</definedName>
    <definedName name="CDBT">#REF!</definedName>
    <definedName name="cdc">#REF!*1000+1030-100</definedName>
    <definedName name="CDCK">#REF!</definedName>
    <definedName name="CDCN">#REF!</definedName>
    <definedName name="CDCU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MD">#REF!</definedName>
    <definedName name="Cdnum">#REF!</definedName>
    <definedName name="CDP">#REF!</definedName>
    <definedName name="CDT">#REF!</definedName>
    <definedName name="CDTRAMD1">#REF!</definedName>
    <definedName name="CELPNT">#REF!</definedName>
    <definedName name="CELPNT2">#REF!</definedName>
    <definedName name="Céng_gi__trÞ_dù_thÇu_x_y_l_p">#REF!</definedName>
    <definedName name="cfc">#REF!</definedName>
    <definedName name="cfk">#REF!</definedName>
    <definedName name="cgionc">#REF!</definedName>
    <definedName name="cgiovl">#REF!</definedName>
    <definedName name="citidd">#REF!</definedName>
    <definedName name="City">#REF!</definedName>
    <definedName name="CK">#REF!</definedName>
    <definedName name="Ckc">#REF!</definedName>
    <definedName name="CKcongto">#REF!</definedName>
    <definedName name="cknc">#REF!</definedName>
    <definedName name="ckvl">#REF!</definedName>
    <definedName name="CL">#REF!</definedName>
    <definedName name="cl_MCX">#REF!</definedName>
    <definedName name="CLECH_0.4">#REF!</definedName>
    <definedName name="CLIENT">#REF!</definedName>
    <definedName name="CLTMP">#REF!</definedName>
    <definedName name="CLVC">#REF!</definedName>
    <definedName name="clvc1">#REF!</definedName>
    <definedName name="CLVC3">0.1</definedName>
    <definedName name="CLVCTB">#REF!</definedName>
    <definedName name="CLVL">#REF!</definedName>
    <definedName name="CMC">#REF!</definedName>
    <definedName name="cmm">#REF!</definedName>
    <definedName name="cn">#REF!</definedName>
    <definedName name="cñ">#REF!</definedName>
    <definedName name="CN3p">#REF!</definedName>
    <definedName name="CNC">#REF!</definedName>
    <definedName name="CND">#REF!</definedName>
    <definedName name="cne">#REF!</definedName>
    <definedName name="Cñi">#REF!</definedName>
    <definedName name="CNG">#REF!</definedName>
    <definedName name="Co">#REF!</definedName>
    <definedName name="coar">#REF!</definedName>
    <definedName name="COAT">#REF!</definedName>
    <definedName name="coc">#REF!</definedName>
    <definedName name="Coc_60" localSheetId="9" hidden="1">{"'Sheet1'!$L$16"}</definedName>
    <definedName name="Coc_60" localSheetId="3" hidden="1">{"'Sheet1'!$L$16"}</definedName>
    <definedName name="Coc_60" localSheetId="0" hidden="1">{"'Sheet1'!$L$16"}</definedName>
    <definedName name="Coc_60" localSheetId="15" hidden="1">{"'Sheet1'!$L$16"}</definedName>
    <definedName name="Coc_60" localSheetId="1" hidden="1">{"'Sheet1'!$L$16"}</definedName>
    <definedName name="Coc_60" localSheetId="14" hidden="1">{"'Sheet1'!$L$16"}</definedName>
    <definedName name="Coc_60">{"'Sheet1'!$L$16"}</definedName>
    <definedName name="Coc_BTCT">#REF!</definedName>
    <definedName name="Code" localSheetId="8" hidden="1">#REF!</definedName>
    <definedName name="Code" localSheetId="9" hidden="1">#REF!</definedName>
    <definedName name="Code" localSheetId="3" hidden="1">#REF!</definedName>
    <definedName name="Code" localSheetId="15" hidden="1">#REF!</definedName>
    <definedName name="Code" localSheetId="1" hidden="1">#REF!</definedName>
    <definedName name="Code" localSheetId="14" hidden="1">#REF!</definedName>
    <definedName name="Code">#REF!</definedName>
    <definedName name="cogg">#REF!</definedName>
    <definedName name="Cöï_ly_vaän_chuyeãn">#REF!</definedName>
    <definedName name="CÖÏ_LY_VAÄN_CHUYEÅN">#REF!</definedName>
    <definedName name="cokhihoachat">#REF!</definedName>
    <definedName name="Comm">BlankMacro1</definedName>
    <definedName name="COMMON">#REF!</definedName>
    <definedName name="Company">#REF!</definedName>
    <definedName name="CON_EQP_COS">#REF!</definedName>
    <definedName name="CON_EQP_COST">#REF!</definedName>
    <definedName name="Concrete">#REF!</definedName>
    <definedName name="conrua">#REF!</definedName>
    <definedName name="CONST_EQ">#REF!</definedName>
    <definedName name="Continue">#REF!</definedName>
    <definedName name="Cong_HM_DTCT">#REF!</definedName>
    <definedName name="Cong_M_DTCT">#REF!</definedName>
    <definedName name="Cong_NC_DTCT">#REF!</definedName>
    <definedName name="Cong_suat">#REF!</definedName>
    <definedName name="Cong_VL_DTCT">#REF!</definedName>
    <definedName name="Cong10">#REF!</definedName>
    <definedName name="Cong11">#REF!</definedName>
    <definedName name="Cong1NII">#REF!</definedName>
    <definedName name="cong1x15">#REF!</definedName>
    <definedName name="cong2.7">#REF!</definedName>
    <definedName name="Cong2NII">#REF!</definedName>
    <definedName name="cong3.0">#REF!</definedName>
    <definedName name="cong3.5">#REF!</definedName>
    <definedName name="Cong3NII">#REF!</definedName>
    <definedName name="Cong4NII">#REF!</definedName>
    <definedName name="Cong5NII">#REF!</definedName>
    <definedName name="Cong7NII">#REF!</definedName>
    <definedName name="CongI">#REF!</definedName>
    <definedName name="CongII">#REF!</definedName>
    <definedName name="CongIII">#REF!</definedName>
    <definedName name="CongT12TH">#REF!</definedName>
    <definedName name="Coretest">1000000</definedName>
    <definedName name="cos">#REF!</definedName>
    <definedName name="COT">#REF!</definedName>
    <definedName name="Cot_thep">#REF!</definedName>
    <definedName name="cot12b">#REF!</definedName>
    <definedName name="cot7.5">#REF!</definedName>
    <definedName name="cot8.5">#REF!</definedName>
    <definedName name="cotpha">#REF!</definedName>
    <definedName name="Cotsatma">9726</definedName>
    <definedName name="cotthep_1">8600+500</definedName>
    <definedName name="Cotthepma">9726</definedName>
    <definedName name="Country">#REF!</definedName>
    <definedName name="COVER">#REF!</definedName>
    <definedName name="covet">#REF!</definedName>
    <definedName name="CPC">#REF!</definedName>
    <definedName name="cpcbsx">#REF!</definedName>
    <definedName name="CPCNT">#REF!</definedName>
    <definedName name="cpd">#REF!</definedName>
    <definedName name="cpdd">#REF!</definedName>
    <definedName name="cpdd2">#REF!</definedName>
    <definedName name="cpkhac">#REF!</definedName>
    <definedName name="cpmtc">#REF!</definedName>
    <definedName name="cpnc">#REF!</definedName>
    <definedName name="cptt">#REF!</definedName>
    <definedName name="CPVC100">#REF!</definedName>
    <definedName name="CPVC1KM">#REF!</definedName>
    <definedName name="CPVCDN">#REF!</definedName>
    <definedName name="cpvl">#REF!</definedName>
    <definedName name="CRD">#REF!</definedName>
    <definedName name="CRIT1">#REF!</definedName>
    <definedName name="CRIT10">#REF!</definedName>
    <definedName name="CRIT2">#REF!</definedName>
    <definedName name="CRIT3">#REF!</definedName>
    <definedName name="CRIT4">#REF!</definedName>
    <definedName name="CRIT5">#REF!</definedName>
    <definedName name="CRIT6">#REF!</definedName>
    <definedName name="CRIT7">#REF!</definedName>
    <definedName name="CRIT8">#REF!</definedName>
    <definedName name="CRIT9">#REF!</definedName>
    <definedName name="_xlnm.Criteria">#REF!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5">#REF!</definedName>
    <definedName name="CS_80S">#REF!</definedName>
    <definedName name="CS_STD">#REF!</definedName>
    <definedName name="CS_XS">#REF!</definedName>
    <definedName name="CS_XXS">#REF!</definedName>
    <definedName name="CSau">#REF!</definedName>
    <definedName name="csd3p">#REF!</definedName>
    <definedName name="csddg1p">#REF!</definedName>
    <definedName name="csddt1p">#REF!</definedName>
    <definedName name="csht3p">#REF!</definedName>
    <definedName name="ct">#REF!</definedName>
    <definedName name="CT_03">#REF!</definedName>
    <definedName name="CT_50">#REF!</definedName>
    <definedName name="CT_MCX">#REF!</definedName>
    <definedName name="CT0.4">#REF!</definedName>
    <definedName name="ct3_">#REF!</definedName>
    <definedName name="ct5_">#REF!</definedName>
    <definedName name="CTBacLieu">#REF!</definedName>
    <definedName name="ctbb">#REF!</definedName>
    <definedName name="CTBomMin">#REF!</definedName>
    <definedName name="CTBT">#REF!</definedName>
    <definedName name="CTBT1">#REF!</definedName>
    <definedName name="CTBT2">#REF!</definedName>
    <definedName name="CTCT">#REF!</definedName>
    <definedName name="CTCT1" localSheetId="9" hidden="1">{"'Sheet1'!$L$16"}</definedName>
    <definedName name="CTCT1" localSheetId="3" hidden="1">{"'Sheet1'!$L$16"}</definedName>
    <definedName name="CTCT1" localSheetId="0" hidden="1">{"'Sheet1'!$L$16"}</definedName>
    <definedName name="CTCT1" localSheetId="15" hidden="1">{"'Sheet1'!$L$16"}</definedName>
    <definedName name="CTCT1" localSheetId="1" hidden="1">{"'Sheet1'!$L$16"}</definedName>
    <definedName name="CTCT1" localSheetId="14" hidden="1">{"'Sheet1'!$L$16"}</definedName>
    <definedName name="CTCT1">{"'Sheet1'!$L$16"}</definedName>
    <definedName name="ctdg">#REF!</definedName>
    <definedName name="ctdn9697">#REF!</definedName>
    <definedName name="CTDungQuat">#REF!</definedName>
    <definedName name="CTduongHCM">#REF!</definedName>
    <definedName name="ctgt">#REF!</definedName>
    <definedName name="cti3x15">#REF!</definedName>
    <definedName name="ctiep">#REF!</definedName>
    <definedName name="CTieu_H">#REF!</definedName>
    <definedName name="CTieuXB">#REF!</definedName>
    <definedName name="ctinh">#REF!</definedName>
    <definedName name="CTLachBang">#REF!</definedName>
    <definedName name="CTNC">#REF!</definedName>
    <definedName name="cto">#REF!</definedName>
    <definedName name="CTVL">#REF!</definedName>
    <definedName name="CTHaiVan">#REF!</definedName>
    <definedName name="CTHT">#REF!</definedName>
    <definedName name="cu">#REF!</definedName>
    <definedName name="CU_LY">#REF!</definedName>
    <definedName name="cu_ly_1">#REF!</definedName>
    <definedName name="CU_LY_VAN_CHUYEN_GIA_QUYEN">#REF!</definedName>
    <definedName name="CU_LY_VAN_CHUYEN_THU_CONG">#REF!</definedName>
    <definedName name="cui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oc">#REF!</definedName>
    <definedName name="cuoc_vc">#REF!</definedName>
    <definedName name="Cuoc_vc_1">#REF!</definedName>
    <definedName name="CURRENCY">#REF!</definedName>
    <definedName name="Current">#REF!</definedName>
    <definedName name="cut">#REF!</definedName>
    <definedName name="cv">#REF!</definedName>
    <definedName name="CVC">#REF!</definedName>
    <definedName name="cvkhac">#REF!</definedName>
    <definedName name="cvl">#REF!</definedName>
    <definedName name="cx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cle">#REF!</definedName>
    <definedName name="cycle2">#REF!</definedName>
    <definedName name="CH">#REF!</definedName>
    <definedName name="chay1">#REF!</definedName>
    <definedName name="chay10">#REF!</definedName>
    <definedName name="chay2">#REF!</definedName>
    <definedName name="chay3">#REF!</definedName>
    <definedName name="chay4">#REF!</definedName>
    <definedName name="chay5">#REF!</definedName>
    <definedName name="chay6">#REF!</definedName>
    <definedName name="chay7">#REF!</definedName>
    <definedName name="chay8">#REF!</definedName>
    <definedName name="chay9">#REF!</definedName>
    <definedName name="chhtnc">#REF!</definedName>
    <definedName name="chhtvl">#REF!</definedName>
    <definedName name="chi_tiÕt_vËt_liÖu___nh_n_c_ng___m_y_thi_c_ng">#REF!</definedName>
    <definedName name="chiemhoa">#REF!</definedName>
    <definedName name="Chiet_khau">#REF!</definedName>
    <definedName name="chitietdao">#REF!</definedName>
    <definedName name="chnc">#REF!</definedName>
    <definedName name="Chohuu">#REF!,#REF!,#REF!,#REF!,#REF!,#REF!,#REF!,#REF!,#REF!,#REF!,#REF!</definedName>
    <definedName name="Chu">#REF!</definedName>
    <definedName name="Chu_dau_tu">#REF!</definedName>
    <definedName name="chung">66</definedName>
    <definedName name="chvl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_Céng_trùc_tiÕp___a___b__c">#REF!</definedName>
    <definedName name="d_1">#REF!</definedName>
    <definedName name="d_2">#REF!</definedName>
    <definedName name="d_3">#REF!</definedName>
    <definedName name="d_4">#REF!</definedName>
    <definedName name="D_7101A_B">#REF!</definedName>
    <definedName name="D_Gia">#REF!</definedName>
    <definedName name="D_L">#REF!</definedName>
    <definedName name="D_y__ay">#REF!</definedName>
    <definedName name="d0.5x1">#REF!</definedName>
    <definedName name="d1x2">#REF!</definedName>
    <definedName name="D1x49">#REF!</definedName>
    <definedName name="D1x49x49">#REF!</definedName>
    <definedName name="d1x6">#REF!</definedName>
    <definedName name="d24nc">#REF!</definedName>
    <definedName name="d24vl">#REF!</definedName>
    <definedName name="d2x4">#REF!</definedName>
    <definedName name="D4.0">#REF!</definedName>
    <definedName name="d4_">#REF!</definedName>
    <definedName name="d4x6">#REF!</definedName>
    <definedName name="d5_">#REF!</definedName>
    <definedName name="da">#REF!</definedName>
    <definedName name="da_hoc_xay">#REF!</definedName>
    <definedName name="da0.5x1">#REF!</definedName>
    <definedName name="da05x1">#REF!</definedName>
    <definedName name="da1x2">#REF!</definedName>
    <definedName name="da2x1">#REF!</definedName>
    <definedName name="Da2x4">#REF!</definedName>
    <definedName name="Da4x6">#REF!</definedName>
    <definedName name="dacat">#REF!</definedName>
    <definedName name="dadad">#REF!</definedName>
    <definedName name="dadas">#REF!</definedName>
    <definedName name="dadem">55000*1.3+22000</definedName>
    <definedName name="dads" localSheetId="9" hidden="1">{"'Sheet1'!$L$16"}</definedName>
    <definedName name="dads" localSheetId="0" hidden="1">{"'Sheet1'!$L$16"}</definedName>
    <definedName name="dads" localSheetId="1">{"'Sheet1'!$L$16"}</definedName>
    <definedName name="dads">{"'Sheet1'!$L$16"}</definedName>
    <definedName name="dah">#REF!</definedName>
    <definedName name="dahb">#REF!</definedName>
    <definedName name="dahg">#REF!</definedName>
    <definedName name="dahnlt">#REF!</definedName>
    <definedName name="dahoc">#REF!</definedName>
    <definedName name="dam">78000</definedName>
    <definedName name="dam_cau_BTCT">#REF!</definedName>
    <definedName name="Dam33_Bdien">#REF!</definedName>
    <definedName name="Dam33va24m">#REF!</definedName>
    <definedName name="Damhop">#REF!</definedName>
    <definedName name="DamHop33m">#REF!</definedName>
    <definedName name="DamThepTraBong">#REF!</definedName>
    <definedName name="Dan_dung">#REF!</definedName>
    <definedName name="DaName">#REF!</definedName>
    <definedName name="dao">#REF!</definedName>
    <definedName name="dao_dap_dat">#REF!</definedName>
    <definedName name="dao1.25">#REF!</definedName>
    <definedName name="daolay">#REF!</definedName>
    <definedName name="DaoMe">#REF!</definedName>
    <definedName name="daotd">#REF!</definedName>
    <definedName name="dap">#REF!</definedName>
    <definedName name="daptd">#REF!</definedName>
    <definedName name="DAT">#REF!</definedName>
    <definedName name="data">#REF!</definedName>
    <definedName name="DATA_DATA2_List">#REF!</definedName>
    <definedName name="data1" localSheetId="3" hidden="1">#REF!</definedName>
    <definedName name="data1" localSheetId="1" hidden="1">#REF!</definedName>
    <definedName name="data1" localSheetId="14" hidden="1">#REF!</definedName>
    <definedName name="data1">#REF!</definedName>
    <definedName name="Data11">#REF!</definedName>
    <definedName name="data2" localSheetId="3" hidden="1">#REF!</definedName>
    <definedName name="data2" localSheetId="1" hidden="1">#REF!</definedName>
    <definedName name="data2" localSheetId="14" hidden="1">#REF!</definedName>
    <definedName name="data2">#REF!</definedName>
    <definedName name="data3" localSheetId="8" hidden="1">#REF!</definedName>
    <definedName name="data3" localSheetId="9" hidden="1">#REF!</definedName>
    <definedName name="data3" localSheetId="3" hidden="1">#REF!</definedName>
    <definedName name="data3" localSheetId="15" hidden="1">#REF!</definedName>
    <definedName name="data3" localSheetId="1" hidden="1">#REF!</definedName>
    <definedName name="data3" localSheetId="14" hidden="1">#REF!</definedName>
    <definedName name="data3">#REF!</definedName>
    <definedName name="Data41">#REF!</definedName>
    <definedName name="_xlnm.Database">#REF!</definedName>
    <definedName name="DataFilter">#REF!</definedName>
    <definedName name="DataSort">#REF!</definedName>
    <definedName name="datden">#REF!</definedName>
    <definedName name="dau">#REF!</definedName>
    <definedName name="dauchi">#REF!</definedName>
    <definedName name="day">#REF!</definedName>
    <definedName name="daybuoc">#REF!</definedName>
    <definedName name="db">#REF!</definedName>
    <definedName name="DBASE">#REF!</definedName>
    <definedName name="dbln">#REF!</definedName>
    <definedName name="DBT">#REF!</definedName>
    <definedName name="dbuoc">#REF!</definedName>
    <definedName name="dc">#REF!</definedName>
    <definedName name="dcc">#REF!</definedName>
    <definedName name="dcct">#REF!</definedName>
    <definedName name="dcl">#REF!</definedName>
    <definedName name="DCL_22">12117600</definedName>
    <definedName name="DCL_35">25490000</definedName>
    <definedName name="dcoc">#REF!</definedName>
    <definedName name="dctc35">#REF!</definedName>
    <definedName name="dchay">#REF!</definedName>
    <definedName name="DD">#REF!</definedName>
    <definedName name="dd0.5x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D">#REF!</definedName>
    <definedName name="DDDS">#REF!</definedName>
    <definedName name="dden">#REF!</definedName>
    <definedName name="ddhtnc">#REF!</definedName>
    <definedName name="ddhtvl">#REF!</definedName>
    <definedName name="ddia">#REF!</definedName>
    <definedName name="ddien">#REF!</definedName>
    <definedName name="DDM">#REF!</definedName>
    <definedName name="DDS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efault">#REF!</definedName>
    <definedName name="DEFINENAME">#REF!</definedName>
    <definedName name="den_bu">#REF!</definedName>
    <definedName name="denbu">#REF!</definedName>
    <definedName name="det">#REF!</definedName>
    <definedName name="Det32x3">#REF!</definedName>
    <definedName name="Det35x3">#REF!</definedName>
    <definedName name="Det40x4">#REF!</definedName>
    <definedName name="Det50x5">#REF!</definedName>
    <definedName name="Det63x6">#REF!</definedName>
    <definedName name="Det75x6">#REF!</definedName>
    <definedName name="df">#REF!</definedName>
    <definedName name="df_">#REF!</definedName>
    <definedName name="dfas">#REF!</definedName>
    <definedName name="dfcr">#REF!</definedName>
    <definedName name="dfcrs">#REF!</definedName>
    <definedName name="dfes">#REF!</definedName>
    <definedName name="dffr">#REF!</definedName>
    <definedName name="dfpf">#REF!</definedName>
    <definedName name="dfs">#REF!</definedName>
    <definedName name="dfsh">#REF!</definedName>
    <definedName name="DFv">#REF!</definedName>
    <definedName name="DG">#REF!</definedName>
    <definedName name="DG_M_C_X">#REF!</definedName>
    <definedName name="dgbdII">#REF!</definedName>
    <definedName name="DGCocKhoanNhoi">#REF!</definedName>
    <definedName name="DGCocOng_D1M">#REF!</definedName>
    <definedName name="DGCT_L.SON1">#REF!</definedName>
    <definedName name="DGCTDam33">#REF!</definedName>
    <definedName name="DGCTdamKhungT">#REF!</definedName>
    <definedName name="DGCTI592">#REF!</definedName>
    <definedName name="DGCTMatCauLanCan">#REF!</definedName>
    <definedName name="DGCTPhanDuoi">#REF!</definedName>
    <definedName name="DGM">#REF!</definedName>
    <definedName name="dgnc">#REF!</definedName>
    <definedName name="dgqndn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lcau">#REF!</definedName>
    <definedName name="DGVT">#REF!</definedName>
    <definedName name="DGIA">#REF!</definedName>
    <definedName name="DGIA2">#REF!</definedName>
    <definedName name="dh">#REF!</definedName>
    <definedName name="dhoa">#REF!</definedName>
    <definedName name="dhom">#REF!</definedName>
    <definedName name="di">#REF!</definedName>
    <definedName name="DICH11">#REF!</definedName>
    <definedName name="dich22">#REF!</definedName>
    <definedName name="dien" localSheetId="9" hidden="1">{"'Sheet1'!$L$16"}</definedName>
    <definedName name="dien" localSheetId="3" hidden="1">{"'Sheet1'!$L$16"}</definedName>
    <definedName name="dien" localSheetId="0" hidden="1">{"'Sheet1'!$L$16"}</definedName>
    <definedName name="dien" localSheetId="15" hidden="1">{"'Sheet1'!$L$16"}</definedName>
    <definedName name="dien" localSheetId="1" hidden="1">{"'Sheet1'!$L$16"}</definedName>
    <definedName name="dien" localSheetId="14" hidden="1">{"'Sheet1'!$L$16"}</definedName>
    <definedName name="dien">{"'Sheet1'!$L$16"}</definedName>
    <definedName name="Dien_Luong_nam">#REF!</definedName>
    <definedName name="Dien_nang_so_cap">#REF!</definedName>
    <definedName name="Dien_nang_thu_cap">#REF!</definedName>
    <definedName name="diengiai" localSheetId="9" hidden="1">{"'Sheet1'!$L$16"}</definedName>
    <definedName name="diengiai" localSheetId="3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1" hidden="1">{"'Sheet1'!$L$16"}</definedName>
    <definedName name="diengiai" localSheetId="14" hidden="1">{"'Sheet1'!$L$16"}</definedName>
    <definedName name="diengiai">{"'Sheet1'!$L$16"}</definedName>
    <definedName name="Diezel">#REF!</definedName>
    <definedName name="dinh">#REF!</definedName>
    <definedName name="dinhdia">#REF!</definedName>
    <definedName name="dinhmu">#REF!</definedName>
    <definedName name="Discount" localSheetId="8" hidden="1">#REF!</definedName>
    <definedName name="Discount" localSheetId="9" hidden="1">#REF!</definedName>
    <definedName name="Discount" localSheetId="3" hidden="1">#REF!</definedName>
    <definedName name="Discount" localSheetId="15" hidden="1">#REF!</definedName>
    <definedName name="Discount" localSheetId="1" hidden="1">#REF!</definedName>
    <definedName name="Discount" localSheetId="14" hidden="1">#REF!</definedName>
    <definedName name="Discount">#REF!</definedName>
    <definedName name="display_area_2" localSheetId="3" hidden="1">#REF!</definedName>
    <definedName name="display_area_2" localSheetId="1" hidden="1">#REF!</definedName>
    <definedName name="display_area_2" localSheetId="14" hidden="1">#REF!</definedName>
    <definedName name="display_area_2">#REF!</definedName>
    <definedName name="djsks">BlankMacro1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C">#REF!</definedName>
    <definedName name="dls">#REF!</definedName>
    <definedName name="DM">#REF!</definedName>
    <definedName name="dm1.">#REF!</definedName>
    <definedName name="dm2.">#REF!</definedName>
    <definedName name="dm56bxd">#REF!</definedName>
    <definedName name="dmoi">#REF!</definedName>
    <definedName name="dmz">#REF!</definedName>
    <definedName name="DN">#REF!</definedName>
    <definedName name="dno">#REF!</definedName>
    <definedName name="DÑt45x4">#REF!</definedName>
    <definedName name="dobt">#REF!</definedName>
    <definedName name="DOC">#REF!</definedName>
    <definedName name="Document_array" localSheetId="0">{"KL NUTGIAO(L2).xls","Sheet1"}</definedName>
    <definedName name="Document_array">{"KL NUTGIAO(L2).xls","Sheet1"}</definedName>
    <definedName name="Documents_array">#REF!</definedName>
    <definedName name="DoiSCCoDong">#REF!</definedName>
    <definedName name="DON_GIA_3282">#REF!</definedName>
    <definedName name="DON_GIA_3283">#REF!</definedName>
    <definedName name="DON_GIA_3285">#REF!</definedName>
    <definedName name="DON_GIA_VAN_CHUYEN_36">#REF!</definedName>
    <definedName name="DonGiaDamMabey">#REF!</definedName>
    <definedName name="Dong_coc">#REF!</definedName>
    <definedName name="dongia">#REF!</definedName>
    <definedName name="dongia1">#REF!</definedName>
    <definedName name="Dongnai07">#REF!</definedName>
    <definedName name="DoorWindow">#REF!</definedName>
    <definedName name="dowel">105*USD</definedName>
    <definedName name="dp">#REF!</definedName>
    <definedName name="dps">#REF!</definedName>
    <definedName name="drg">#REF!</definedName>
    <definedName name="Dry">#REF!</definedName>
    <definedName name="dry.">#REF!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ct3pnc">#REF!</definedName>
    <definedName name="dsct3pvl">#REF!</definedName>
    <definedName name="dsd" localSheetId="0" hidden="1">{"'Sheet1'!$L$16"}</definedName>
    <definedName name="dsd">{"'Sheet1'!$L$16"}</definedName>
    <definedName name="dsds" localSheetId="0" hidden="1">{"'Sheet1'!$L$16"}</definedName>
    <definedName name="dsds">{"'Sheet1'!$L$16"}</definedName>
    <definedName name="dsdsdsds" localSheetId="9" hidden="1">{"'boi duong nang nhoc'!$A$1"}</definedName>
    <definedName name="dsdsdsds" localSheetId="3" hidden="1">{"'boi duong nang nhoc'!$A$1"}</definedName>
    <definedName name="dsdsdsds" localSheetId="0" hidden="1">{"'boi duong nang nhoc'!$A$1"}</definedName>
    <definedName name="dsdsdsds" localSheetId="15" hidden="1">{"'boi duong nang nhoc'!$A$1"}</definedName>
    <definedName name="dsdsdsds" localSheetId="1" hidden="1">{"'boi duong nang nhoc'!$A$1"}</definedName>
    <definedName name="dsdsdsds" localSheetId="14" hidden="1">{"'boi duong nang nhoc'!$A$1"}</definedName>
    <definedName name="dsdsdsds">{"'boi duong nang nhoc'!$A$1"}</definedName>
    <definedName name="DSet">#REF!</definedName>
    <definedName name="DSS">#REF!</definedName>
    <definedName name="DSUMDATA">#REF!</definedName>
    <definedName name="dt">#REF!</definedName>
    <definedName name="dtd">#REF!</definedName>
    <definedName name="DTT">#REF!</definedName>
    <definedName name="dttdb">#REF!</definedName>
    <definedName name="dttdg">#REF!</definedName>
    <definedName name="Dù__n_n_ng_cÊp_c__I_t_o_quèc_lé_6">#REF!</definedName>
    <definedName name="Dù_kiÕn_kinh_phÝ">#REF!</definedName>
    <definedName name="DU_TOAN_CHI_TIET_CONG_TO">#REF!</definedName>
    <definedName name="DU_TOAN_CHI_TIET_DZ22KV">#REF!</definedName>
    <definedName name="DU_TOAN_CHI_TIET_KHO_BAI">#REF!</definedName>
    <definedName name="dui1.5">#REF!</definedName>
    <definedName name="duong">#REF!</definedName>
    <definedName name="Duong_dau_cau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CDHaiVan">#REF!</definedName>
    <definedName name="DuongHCM">#REF!</definedName>
    <definedName name="DUT">#REF!</definedName>
    <definedName name="dutoan">#REF!</definedName>
    <definedName name="DutoanDongmo">#REF!</definedName>
    <definedName name="DV">#REF!</definedName>
    <definedName name="DX">#REF!</definedName>
    <definedName name="DY">#REF!</definedName>
    <definedName name="DYÕ">#REF!</definedName>
    <definedName name="dz">#REF!</definedName>
    <definedName name="ĐẠI_DIỆN_ĐƠN_VỊ_LẬP">#REF!</definedName>
    <definedName name="e">#REF!</definedName>
    <definedName name="ë">#REF!</definedName>
    <definedName name="e_">#REF!</definedName>
    <definedName name="e__">#REF!</definedName>
    <definedName name="e__Chi_phÝ_chung___NC">#REF!</definedName>
    <definedName name="E_p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rthwork">#REF!</definedName>
    <definedName name="EBT">#REF!</definedName>
    <definedName name="ec_">#REF!</definedName>
    <definedName name="Ecdc">#REF!</definedName>
    <definedName name="EDR">#REF!</definedName>
    <definedName name="ee">#REF!</definedName>
    <definedName name="efs">#REF!</definedName>
    <definedName name="EIRR11">#REF!</definedName>
    <definedName name="EIRR22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v">#REF!</definedName>
    <definedName name="Email">#REF!</definedName>
    <definedName name="emb">#REF!</definedName>
    <definedName name="en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p">#REF!</definedName>
    <definedName name="EQI">#REF!</definedName>
    <definedName name="ert">#REF!</definedName>
    <definedName name="es">#REF!</definedName>
    <definedName name="ESC">#REF!</definedName>
    <definedName name="ESL">#REF!</definedName>
    <definedName name="ESR">#REF!</definedName>
    <definedName name="ETCDC">#REF!</definedName>
    <definedName name="EVNB">#REF!</definedName>
    <definedName name="ewfQ">#REF!</definedName>
    <definedName name="EWRHURTK">#REF!</definedName>
    <definedName name="ex">#REF!</definedName>
    <definedName name="EXPORT">#REF!</definedName>
    <definedName name="_xlnm.Extract">#REF!</definedName>
    <definedName name="f">#REF!</definedName>
    <definedName name="F.10">#REF!</definedName>
    <definedName name="F.7">#REF!</definedName>
    <definedName name="F.8">#REF!</definedName>
    <definedName name="F.9">#REF!</definedName>
    <definedName name="f__Céng___d___e">#REF!</definedName>
    <definedName name="F_1">#REF!</definedName>
    <definedName name="F_10">#REF!</definedName>
    <definedName name="F_11">#REF!</definedName>
    <definedName name="F_12">#REF!</definedName>
    <definedName name="F_13">#REF!</definedName>
    <definedName name="F_14">#REF!</definedName>
    <definedName name="F_2">#REF!</definedName>
    <definedName name="F_3">#REF!</definedName>
    <definedName name="F_4">#REF!</definedName>
    <definedName name="F_5">#REF!</definedName>
    <definedName name="F_6">#REF!</definedName>
    <definedName name="F_7">#REF!</definedName>
    <definedName name="F_8">#REF!</definedName>
    <definedName name="F_9">#REF!</definedName>
    <definedName name="F_CongDon">MAX(#REF!)+#REF!</definedName>
    <definedName name="F_ChonMong" localSheetId="0">IF(LEFT(#REF!,2)="NG",#REF!&amp;_MongCotNeo&amp;IF(#REF!&gt;12,"a",""),IF(LEFT(#REF!,3)="NCD","2MT-4",VLOOKUP(#REF!,_Mong,MATCH(#REF!,KcTieuChuan,0)+1,0)))</definedName>
    <definedName name="F_ChonMong">IF(LEFT(#REF!,2)="NG",#REF!&amp;_MongCotNeo&amp;IF(#REF!&gt;12,"a",""),IF(LEFT(#REF!,3)="NCD","2MT-4",VLOOKUP(#REF!,_Mong,MATCH(#REF!,KcTieuChuan,0)+1,0)))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6.001">#REF!</definedName>
    <definedName name="F6.002">#REF!</definedName>
    <definedName name="F6.003">#REF!</definedName>
    <definedName name="F6.004">#REF!</definedName>
    <definedName name="f92F56">#REF!</definedName>
    <definedName name="FACTOR">#REF!</definedName>
    <definedName name="Fax">#REF!</definedName>
    <definedName name="fb">#REF!</definedName>
    <definedName name="fbsdggdsf" localSheetId="0">{"DZ-TDTB2.XLS","Dcksat.xls"}</definedName>
    <definedName name="fbsdggdsf">{"DZ-TDTB2.XLS","Dcksat.xls"}</definedName>
    <definedName name="fc">#REF!</definedName>
    <definedName name="fc_">#REF!</definedName>
    <definedName name="fcds">#REF!</definedName>
    <definedName name="fcir">#REF!</definedName>
    <definedName name="FCode" localSheetId="3" hidden="1">#REF!</definedName>
    <definedName name="FCode" localSheetId="1" hidden="1">#REF!</definedName>
    <definedName name="FCode" localSheetId="14" hidden="1">#REF!</definedName>
    <definedName name="FCode">#REF!</definedName>
    <definedName name="fd" localSheetId="0" hidden="1">{"'Sheet1'!$L$16"}</definedName>
    <definedName name="fd">{"'Sheet1'!$L$16"}</definedName>
    <definedName name="FDR">#REF!</definedName>
    <definedName name="ff" localSheetId="9" hidden="1">{"'Sheet1'!$L$16"}</definedName>
    <definedName name="ff" localSheetId="0" hidden="1">{"'Sheet1'!$L$16"}</definedName>
    <definedName name="ff" localSheetId="1">{"'Sheet1'!$L$16"}</definedName>
    <definedName name="ff">{"'Sheet1'!$L$16"}</definedName>
    <definedName name="ff_">#REF!</definedName>
    <definedName name="fff" localSheetId="0" hidden="1">{"'Sheet1'!$L$16"}</definedName>
    <definedName name="fff">{"'Sheet1'!$L$16"}</definedName>
    <definedName name="ffs">#REF!</definedName>
    <definedName name="fg" localSheetId="9" hidden="1">{"'Sheet1'!$L$16"}</definedName>
    <definedName name="fg" localSheetId="3" hidden="1">{"'Sheet1'!$L$16"}</definedName>
    <definedName name="fg" localSheetId="0" hidden="1">{"'Sheet1'!$L$16"}</definedName>
    <definedName name="fg" localSheetId="15" hidden="1">{"'Sheet1'!$L$16"}</definedName>
    <definedName name="fg" localSheetId="1" hidden="1">{"'Sheet1'!$L$16"}</definedName>
    <definedName name="fg" localSheetId="14" hidden="1">{"'Sheet1'!$L$16"}</definedName>
    <definedName name="fg">{"'Sheet1'!$L$16"}</definedName>
    <definedName name="Fi">#REF!</definedName>
    <definedName name="FI_12">4820</definedName>
    <definedName name="FIL">#REF!</definedName>
    <definedName name="FILE">#REF!</definedName>
    <definedName name="fine">#REF!</definedName>
    <definedName name="FinishWork">#REF!</definedName>
    <definedName name="FIT">BlankMacro1</definedName>
    <definedName name="FITT2">BlankMacro1</definedName>
    <definedName name="FITTING2">BlankMacro1</definedName>
    <definedName name="fk">#REF!</definedName>
    <definedName name="fl">#REF!</definedName>
    <definedName name="FLG">BlankMacro1</definedName>
    <definedName name="Flv">#REF!</definedName>
    <definedName name="Fng">#REF!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S">#REF!</definedName>
    <definedName name="fsb">#REF!</definedName>
    <definedName name="fsdfdsf" localSheetId="9" hidden="1">{"'Sheet1'!$L$16"}</definedName>
    <definedName name="fsdfdsf" localSheetId="3" hidden="1">{"'Sheet1'!$L$16"}</definedName>
    <definedName name="fsdfdsf" localSheetId="0" hidden="1">{"'Sheet1'!$L$16"}</definedName>
    <definedName name="fsdfdsf" localSheetId="15" hidden="1">{"'Sheet1'!$L$16"}</definedName>
    <definedName name="fsdfdsf" localSheetId="1" hidden="1">{"'Sheet1'!$L$16"}</definedName>
    <definedName name="fsdfdsf" localSheetId="14" hidden="1">{"'Sheet1'!$L$16"}</definedName>
    <definedName name="fsdfdsf">{"'Sheet1'!$L$16"}</definedName>
    <definedName name="fse">#REF!</definedName>
    <definedName name="fsgsg" localSheetId="9" hidden="1">{"'Sheet1'!$L$16"}</definedName>
    <definedName name="fsgsg" localSheetId="0" hidden="1">{"'Sheet1'!$L$16"}</definedName>
    <definedName name="fsgsg" localSheetId="1">{"'Sheet1'!$L$16"}</definedName>
    <definedName name="fsgsg">{"'Sheet1'!$L$16"}</definedName>
    <definedName name="fso">#REF!</definedName>
    <definedName name="fsu">#REF!</definedName>
    <definedName name="fsy">#REF!</definedName>
    <definedName name="ftd">#REF!</definedName>
    <definedName name="fth">#REF!</definedName>
    <definedName name="Full">#REF!</definedName>
    <definedName name="fv">#REF!</definedName>
    <definedName name="fy">#REF!</definedName>
    <definedName name="Fy_">#REF!</definedName>
    <definedName name="fys">#REF!</definedName>
    <definedName name="g">#REF!</definedName>
    <definedName name="G.vl.nc.m">#REF!</definedName>
    <definedName name="g_">#REF!</definedName>
    <definedName name="g__Thu_nhËp_chÞu_thuÕ_tÝnh_tr_íc___f">#REF!</definedName>
    <definedName name="g_1">#REF!</definedName>
    <definedName name="G_2">#REF!</definedName>
    <definedName name="g_3">#REF!</definedName>
    <definedName name="G_4">#REF!</definedName>
    <definedName name="G_C">#REF!</definedName>
    <definedName name="G_ME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2.000">#REF!</definedName>
    <definedName name="G2.010">#REF!</definedName>
    <definedName name="G2.020">#REF!</definedName>
    <definedName name="G2.030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0g40">#REF!</definedName>
    <definedName name="ga">#REF!</definedName>
    <definedName name="gach">#REF!</definedName>
    <definedName name="gachblock">#REF!</definedName>
    <definedName name="gachllatnen30x30">#REF!</definedName>
    <definedName name="gachllatnen40x40">#REF!</definedName>
    <definedName name="gachllatnen50x50">#REF!</definedName>
    <definedName name="GAHT">#REF!</definedName>
    <definedName name="gama">#REF!</definedName>
    <definedName name="gamatc">#REF!</definedName>
    <definedName name="GanhHaoBacLieu">#REF!</definedName>
    <definedName name="gas">#REF!</definedName>
    <definedName name="Gb">#REF!</definedName>
    <definedName name="gc">#REF!</definedName>
    <definedName name="GC_CT">#REF!</definedName>
    <definedName name="GC_CT1">#REF!</definedName>
    <definedName name="gcHT">#REF!</definedName>
    <definedName name="gcm">#REF!</definedName>
    <definedName name="gchi">#REF!</definedName>
    <definedName name="gd">#REF!</definedName>
    <definedName name="GdoanName">#REF!</definedName>
    <definedName name="ge">#REF!</definedName>
    <definedName name="geff">#REF!</definedName>
    <definedName name="geo">#REF!</definedName>
    <definedName name="GETVAR">#REF!</definedName>
    <definedName name="gg">#REF!</definedName>
    <definedName name="ghichu">#REF!</definedName>
    <definedName name="ghip">#REF!</definedName>
    <definedName name="gl3p">#REF!</definedName>
    <definedName name="Glazing">#REF!</definedName>
    <definedName name="glc">#REF!</definedName>
    <definedName name="GM">#REF!</definedName>
    <definedName name="GNC">#REF!</definedName>
    <definedName name="Gnd">#REF!</definedName>
    <definedName name="go">#REF!</definedName>
    <definedName name="GoBack">#REF!</definedName>
    <definedName name="goc">#REF!</definedName>
    <definedName name="Goc50x5">#REF!</definedName>
    <definedName name="GocTieuChuan">#REF!</definedName>
    <definedName name="goch">#REF!</definedName>
    <definedName name="gochong">#REF!</definedName>
    <definedName name="Goi_460_310_50">65</definedName>
    <definedName name="Goi_500_350_78_1750">120</definedName>
    <definedName name="Goichau_320_470_96_1500">320</definedName>
    <definedName name="Goichau_RP_3_F_3500">750</definedName>
    <definedName name="Goichau_RP_3_F_5500">1100</definedName>
    <definedName name="Goichau_RP_4_F_20000">4600</definedName>
    <definedName name="Goichau_RP_6_G_5500">1300</definedName>
    <definedName name="Goichau_RP_7_G_20000">5500</definedName>
    <definedName name="Goichau_RP_8_F_20000">4200</definedName>
    <definedName name="govk">#REF!</definedName>
    <definedName name="gps">#REF!</definedName>
    <definedName name="GPT_GROUNDING_PT">#REF!</definedName>
    <definedName name="grC">#REF!</definedName>
    <definedName name="grD">#REF!</definedName>
    <definedName name="GS">#REF!</definedName>
    <definedName name="GS.CD">#REF!</definedName>
    <definedName name="GS.NAME">#REF!</definedName>
    <definedName name="Gtb">#REF!</definedName>
    <definedName name="gtbtt">#REF!</definedName>
    <definedName name="gtc">#REF!</definedName>
    <definedName name="gtst">#REF!</definedName>
    <definedName name="GTXL">#REF!</definedName>
    <definedName name="GTXL_1">#REF!</definedName>
    <definedName name="GTRI">#REF!</definedName>
    <definedName name="gv">#REF!</definedName>
    <definedName name="gvk">#REF!</definedName>
    <definedName name="gvl">#REF!</definedName>
    <definedName name="gvt">#REF!</definedName>
    <definedName name="Gxl">#REF!</definedName>
    <definedName name="GXLC">#REF!</definedName>
    <definedName name="gxltt">#REF!</definedName>
    <definedName name="GXMAX">#REF!</definedName>
    <definedName name="GXMIN">#REF!</definedName>
    <definedName name="GYMAX">#REF!</definedName>
    <definedName name="GYMIN">#REF!</definedName>
    <definedName name="gia">#REF!</definedName>
    <definedName name="Gia_ban_dien_sc">#REF!</definedName>
    <definedName name="Gia_ban_dien_tc">#REF!</definedName>
    <definedName name="GIA_CU_LY_VAN_CHUYEN">#REF!</definedName>
    <definedName name="GIA_LANGSON">#REF!</definedName>
    <definedName name="Gia_tien">#REF!</definedName>
    <definedName name="gia_tien_1">#REF!</definedName>
    <definedName name="gia_tien_2">#REF!</definedName>
    <definedName name="gia_tien_3">#REF!</definedName>
    <definedName name="gia_tien_BTN">#REF!</definedName>
    <definedName name="GIA_THANH_VAN_CHUYEN_1M3_BE_TONG">#REF!</definedName>
    <definedName name="GIA_XEPANGHIENG_Q">#REF!</definedName>
    <definedName name="giaca">#REF!</definedName>
    <definedName name="GiaCaMay">#REF!</definedName>
    <definedName name="giacong">#REF!</definedName>
    <definedName name="GiaHaNoiT2_2002_Q">#REF!</definedName>
    <definedName name="Giamdoc">#REF!</definedName>
    <definedName name="gielau">#REF!</definedName>
    <definedName name="Giocong">#REF!</definedName>
    <definedName name="gipa5">#REF!</definedName>
    <definedName name="h" localSheetId="0" hidden="1">{"'Sheet1'!$L$16"}</definedName>
    <definedName name="h" localSheetId="1">{"'Sheet1'!$L$16"}</definedName>
    <definedName name="h">{"'Sheet1'!$L$16"}</definedName>
    <definedName name="H.">#REF!</definedName>
    <definedName name="h.2">#REF!</definedName>
    <definedName name="h_d">#REF!</definedName>
    <definedName name="h_Gi__trÞ_x_y_l_p_tr_íc_thuÕ___f___g">#REF!</definedName>
    <definedName name="H0.001">#REF!</definedName>
    <definedName name="H0.011">#REF!</definedName>
    <definedName name="H0.021">#REF!</definedName>
    <definedName name="H0.031">#REF!</definedName>
    <definedName name="H0.4">#REF!</definedName>
    <definedName name="h1_">#REF!</definedName>
    <definedName name="h2_">#REF!</definedName>
    <definedName name="h3_">#REF!</definedName>
    <definedName name="h4_">#REF!</definedName>
    <definedName name="h5_">#REF!</definedName>
    <definedName name="h6_">#REF!</definedName>
    <definedName name="h7.5">#REF!</definedName>
    <definedName name="h7_">#REF!</definedName>
    <definedName name="H7_5b">#REF!</definedName>
    <definedName name="h8.5">#REF!</definedName>
    <definedName name="Ha">#REF!</definedName>
    <definedName name="haa" localSheetId="9" hidden="1">{"'Sheet1'!$L$16"}</definedName>
    <definedName name="haa" localSheetId="0" hidden="1">{"'Sheet1'!$L$16"}</definedName>
    <definedName name="haa" localSheetId="1">{"'Sheet1'!$L$16"}</definedName>
    <definedName name="haa">{"'Sheet1'!$L$16"}</definedName>
    <definedName name="hai" localSheetId="9" hidden="1">{"'Sheet1'!$L$16"}</definedName>
    <definedName name="hai" localSheetId="3" hidden="1">{"'Sheet1'!$L$16"}</definedName>
    <definedName name="hai" localSheetId="0" hidden="1">{"'Sheet1'!$L$16"}</definedName>
    <definedName name="hai" localSheetId="15" hidden="1">{"'Sheet1'!$L$16"}</definedName>
    <definedName name="hai" localSheetId="1" hidden="1">{"'Sheet1'!$L$16"}</definedName>
    <definedName name="hai" localSheetId="14" hidden="1">{"'Sheet1'!$L$16"}</definedName>
    <definedName name="hai">{"'Sheet1'!$L$16"}</definedName>
    <definedName name="Hamyen">#REF!</definedName>
    <definedName name="han">#REF!</definedName>
    <definedName name="Hanoi">#REF!</definedName>
    <definedName name="Hang_muc_khac">#REF!</definedName>
    <definedName name="hb">#REF!</definedName>
    <definedName name="Hbb">#REF!</definedName>
    <definedName name="HBC">#REF!</definedName>
    <definedName name="hbd">#REF!</definedName>
    <definedName name="hbe">#REF!</definedName>
    <definedName name="HBL">#REF!</definedName>
    <definedName name="hbo">#REF!</definedName>
    <definedName name="Hbtt">#REF!</definedName>
    <definedName name="hc">#REF!</definedName>
    <definedName name="Hcb">#REF!</definedName>
    <definedName name="HCM">#REF!</definedName>
    <definedName name="HCPH">#REF!</definedName>
    <definedName name="HCS">#REF!</definedName>
    <definedName name="Hctt">#REF!</definedName>
    <definedName name="HCU">#REF!</definedName>
    <definedName name="Hd">#REF!</definedName>
    <definedName name="Hdb">#REF!</definedName>
    <definedName name="HDC">#REF!</definedName>
    <definedName name="HDCCT">#REF!</definedName>
    <definedName name="HDCD">#REF!</definedName>
    <definedName name="Hdinh">#REF!</definedName>
    <definedName name="Hdtt">#REF!</definedName>
    <definedName name="HDU">#REF!</definedName>
    <definedName name="HE_SO_KHO_KHAN_CANG_DAY">#REF!</definedName>
    <definedName name="Heä_soá_laép_xaø_H">1.7</definedName>
    <definedName name="heä_soá_sình_laày">#REF!</definedName>
    <definedName name="Hello">#REF!</definedName>
    <definedName name="Hematcau">#REF!</definedName>
    <definedName name="HeSLNIITH">#REF!</definedName>
    <definedName name="HeSo_Nam">#REF!</definedName>
    <definedName name="hesoK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at">#REF!</definedName>
    <definedName name="hhcv">#REF!</definedName>
    <definedName name="HHda">#REF!</definedName>
    <definedName name="hhda4x6">#REF!</definedName>
    <definedName name="hhhh">#REF!</definedName>
    <definedName name="HHIC">#REF!</definedName>
    <definedName name="hhsc">#REF!</definedName>
    <definedName name="HHT">#REF!</definedName>
    <definedName name="hhtd">#REF!</definedName>
    <definedName name="HHxm">#REF!</definedName>
    <definedName name="hi">#REF!</definedName>
    <definedName name="HiddenRows" localSheetId="3" hidden="1">#REF!</definedName>
    <definedName name="HiddenRows" localSheetId="1" hidden="1">#REF!</definedName>
    <definedName name="HiddenRows" localSheetId="14" hidden="1">#REF!</definedName>
    <definedName name="HiddenRows">#REF!</definedName>
    <definedName name="hien">#REF!</definedName>
    <definedName name="hj">#REF!</definedName>
    <definedName name="HKE">#REF!</definedName>
    <definedName name="HKL">#REF!</definedName>
    <definedName name="HKLHI">#REF!</definedName>
    <definedName name="HKLL">#REF!</definedName>
    <definedName name="HKLLLO">#REF!</definedName>
    <definedName name="HLC">#REF!</definedName>
    <definedName name="HLIC">#REF!</definedName>
    <definedName name="HLU">#REF!</definedName>
    <definedName name="HLW">#REF!</definedName>
    <definedName name="HM">#REF!</definedName>
    <definedName name="HM_1">#REF!</definedName>
    <definedName name="HM_2">#REF!</definedName>
    <definedName name="Hmong">#REF!</definedName>
    <definedName name="hmot">#REF!</definedName>
    <definedName name="hn">#REF!</definedName>
    <definedName name="hoc">55000</definedName>
    <definedName name="HOME_MANP">#REF!</definedName>
    <definedName name="HOMEOFFICE_COST">#REF!</definedName>
    <definedName name="Hp">#REF!</definedName>
    <definedName name="Hp.">#REF!</definedName>
    <definedName name="Hpl">#REF!</definedName>
    <definedName name="HR">#REF!</definedName>
    <definedName name="hr_">#REF!</definedName>
    <definedName name="HRC">#REF!</definedName>
    <definedName name="hs">#REF!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">#REF!</definedName>
    <definedName name="hsdc">#REF!</definedName>
    <definedName name="hsdc1">#REF!</definedName>
    <definedName name="HSDD">#REF!</definedName>
    <definedName name="HSDN">2.5</definedName>
    <definedName name="hsdt">#REF!</definedName>
    <definedName name="HSHH">#REF!</definedName>
    <definedName name="HSHHUT">#REF!</definedName>
    <definedName name="hsk">#REF!</definedName>
    <definedName name="HSKK">#REF!</definedName>
    <definedName name="hskk1">#REF!</definedName>
    <definedName name="HSL">#REF!</definedName>
    <definedName name="HSlanxe">#REF!</definedName>
    <definedName name="HSLCNN">#REF!</definedName>
    <definedName name="hslx">#REF!</definedName>
    <definedName name="hsm">#REF!</definedName>
    <definedName name="HSMTC">#REF!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ßm4">#REF!</definedName>
    <definedName name="hstb">#REF!</definedName>
    <definedName name="hstdtk">#REF!</definedName>
    <definedName name="Hstt">#REF!</definedName>
    <definedName name="hsthep">#REF!</definedName>
    <definedName name="hsUd">#REF!</definedName>
    <definedName name="HSVC1">#REF!</definedName>
    <definedName name="HSVC2">#REF!</definedName>
    <definedName name="HSVC3">#REF!</definedName>
    <definedName name="HsVCVLTH">#REF!</definedName>
    <definedName name="hsvl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d">#REF!</definedName>
    <definedName name="htlm" localSheetId="9" hidden="1">{"'Sheet1'!$L$16"}</definedName>
    <definedName name="htlm" localSheetId="3" hidden="1">{"'Sheet1'!$L$16"}</definedName>
    <definedName name="htlm" localSheetId="0" hidden="1">{"'Sheet1'!$L$16"}</definedName>
    <definedName name="htlm" localSheetId="15" hidden="1">{"'Sheet1'!$L$16"}</definedName>
    <definedName name="htlm" localSheetId="1" hidden="1">{"'Sheet1'!$L$16"}</definedName>
    <definedName name="htlm" localSheetId="14" hidden="1">{"'Sheet1'!$L$16"}</definedName>
    <definedName name="htlm">{"'Sheet1'!$L$16"}</definedName>
    <definedName name="html" localSheetId="9" hidden="1">{"'Sheet1'!$L$16"}</definedName>
    <definedName name="html" localSheetId="3" hidden="1">{"'Sheet1'!$L$16"}</definedName>
    <definedName name="html" localSheetId="0" hidden="1">{"'Sheet1'!$L$16"}</definedName>
    <definedName name="html" localSheetId="15" hidden="1">{"'Sheet1'!$L$16"}</definedName>
    <definedName name="html" localSheetId="1" hidden="1">{"'Sheet1'!$L$16"}</definedName>
    <definedName name="html" localSheetId="14" hidden="1">{"'Sheet1'!$L$16"}</definedName>
    <definedName name="html">{"'Sheet1'!$L$16"}</definedName>
    <definedName name="HTML_CodePage">950</definedName>
    <definedName name="HTML_Control" localSheetId="9" hidden="1">{"'Sheet1'!$L$16"}</definedName>
    <definedName name="HTML_Control" localSheetId="3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" hidden="1">{"'Sheet1'!$L$16"}</definedName>
    <definedName name="HTML_Control" localSheetId="14" hidden="1">{"'Sheet1'!$L$16"}</definedName>
    <definedName name="HTML_Control">{"'Sheet1'!$L$16"}</definedName>
    <definedName name="HTML_Description">""</definedName>
    <definedName name="HTML_Email">""</definedName>
    <definedName name="HTML_Header">"Sheet1"</definedName>
    <definedName name="HTML_LastUpdate">"2000/9/14"</definedName>
    <definedName name="HTML_LineAfter">FALSE</definedName>
    <definedName name="HTML_LineBefore">FALSE</definedName>
    <definedName name="HTML_Name">"J.C.WONG"</definedName>
    <definedName name="HTML_OBDlg2">TRUE</definedName>
    <definedName name="HTML_OBDlg4">TRUE</definedName>
    <definedName name="HTML_OS">0</definedName>
    <definedName name="HTML_PathFile">"C:\2689\Q\國內\00q3961台化龍德PTA3建造\MyHTML.htm"</definedName>
    <definedName name="HTML_Title">"00Q3961-SUM"</definedName>
    <definedName name="HTNC">#REF!</definedName>
    <definedName name="HTS">#REF!</definedName>
    <definedName name="htth">#REF!</definedName>
    <definedName name="HTU">#REF!</definedName>
    <definedName name="HTVL">#REF!</definedName>
    <definedName name="Hthan">#REF!</definedName>
    <definedName name="hung" localSheetId="9" hidden="1">{"'Sheet1'!$L$16"}</definedName>
    <definedName name="hung" localSheetId="3" hidden="1">{"'Sheet1'!$L$16"}</definedName>
    <definedName name="hung" localSheetId="0" hidden="1">{"'Sheet1'!$L$16"}</definedName>
    <definedName name="hung" localSheetId="15" hidden="1">{"'Sheet1'!$L$16"}</definedName>
    <definedName name="hung" localSheetId="1" hidden="1">{"'Sheet1'!$L$16"}</definedName>
    <definedName name="hung" localSheetId="14" hidden="1">{"'Sheet1'!$L$16"}</definedName>
    <definedName name="hung">{"'Sheet1'!$L$16"}</definedName>
    <definedName name="huong">#REF!</definedName>
    <definedName name="huy" localSheetId="9" hidden="1">{"'Sheet1'!$L$16"}</definedName>
    <definedName name="huy" localSheetId="3" hidden="1">{"'Sheet1'!$L$16"}</definedName>
    <definedName name="huy" localSheetId="0" hidden="1">{"'Sheet1'!$L$16"}</definedName>
    <definedName name="huy" localSheetId="15" hidden="1">{"'Sheet1'!$L$16"}</definedName>
    <definedName name="huy" localSheetId="1" hidden="1">{"'Sheet1'!$L$16"}</definedName>
    <definedName name="huy" localSheetId="14" hidden="1">{"'Sheet1'!$L$16"}</definedName>
    <definedName name="huy">{"'Sheet1'!$L$16"}</definedName>
    <definedName name="HV">#REF!</definedName>
    <definedName name="HVBC">#REF!</definedName>
    <definedName name="HVC">#REF!</definedName>
    <definedName name="HVL">#REF!</definedName>
    <definedName name="HVP">#REF!</definedName>
    <definedName name="hvt">#REF!</definedName>
    <definedName name="hvtb">#REF!</definedName>
    <definedName name="hvttt">#REF!</definedName>
    <definedName name="I">#REF!</definedName>
    <definedName name="i_">#REF!</definedName>
    <definedName name="i__ThuÕ_VAT___h">#REF!</definedName>
    <definedName name="I_A">#REF!</definedName>
    <definedName name="I_B">#REF!</definedName>
    <definedName name="I_c">#REF!</definedName>
    <definedName name="I_p">#REF!</definedName>
    <definedName name="I2É6">#REF!</definedName>
    <definedName name="Ic">#REF!</definedName>
    <definedName name="IDLAB_COST">#REF!</definedName>
    <definedName name="Ig">#REF!</definedName>
    <definedName name="II_A">#REF!</definedName>
    <definedName name="II_B">#REF!</definedName>
    <definedName name="II_c">#REF!</definedName>
    <definedName name="III_a">#REF!</definedName>
    <definedName name="III_B">#REF!</definedName>
    <definedName name="III_c">#REF!</definedName>
    <definedName name="im">#REF!</definedName>
    <definedName name="IMPORT">#REF!</definedName>
    <definedName name="Impulse">540000</definedName>
    <definedName name="IND_LAB">#REF!</definedName>
    <definedName name="INDMANP">#REF!</definedName>
    <definedName name="INF">#REF!</definedName>
    <definedName name="INPUT">#REF!</definedName>
    <definedName name="INPUT1">#REF!</definedName>
    <definedName name="inputCosti">#REF!</definedName>
    <definedName name="inputLf">#REF!</definedName>
    <definedName name="inputWTP">#REF!</definedName>
    <definedName name="INT">#REF!</definedName>
    <definedName name="InteriorWork">#REF!</definedName>
    <definedName name="Ing">#REF!</definedName>
    <definedName name="IO">#REF!</definedName>
    <definedName name="is">#REF!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h1.5">#REF!</definedName>
    <definedName name="ithg">#REF!</definedName>
    <definedName name="ithgoi">#REF!</definedName>
    <definedName name="iv">#REF!</definedName>
    <definedName name="IWTP">#REF!</definedName>
    <definedName name="j">#REF!</definedName>
    <definedName name="j356C8">#REF!</definedName>
    <definedName name="jhnjnn">#REF!</definedName>
    <definedName name="Joint_100">205</definedName>
    <definedName name="Joint_150">520</definedName>
    <definedName name="Joint_50">110</definedName>
    <definedName name="Joint_Box_100">850</definedName>
    <definedName name="Joint_Super_T_100">185</definedName>
    <definedName name="k" localSheetId="0" hidden="1">{"Offgrid",#N/A,FALSE,"OFFGRID";"Region",#N/A,FALSE,"REGION";"Offgrid -2",#N/A,FALSE,"OFFGRID";"WTP",#N/A,FALSE,"WTP";"WTP -2",#N/A,FALSE,"WTP";"Project",#N/A,FALSE,"PROJECT";"Summary -2",#N/A,FALSE,"SUMMARY"}</definedName>
    <definedName name="k" localSheetId="1">{"Offgrid",#N/A,FALSE,"OFFGRID";"Region",#N/A,FALSE,"REGION";"Offgrid -2",#N/A,FALSE,"OFFGRID";"WTP",#N/A,FALSE,"WTP";"WTP -2",#N/A,FALSE,"WTP";"Project",#N/A,FALSE,"PROJECT";"Summary -2",#N/A,FALSE,"SUMMARY"}</definedName>
    <definedName name="k">{"Offgrid",#N/A,FALSE,"OFFGRID";"Region",#N/A,FALSE,"REGION";"Offgrid -2",#N/A,FALSE,"OFFGRID";"WTP",#N/A,FALSE,"WTP";"WTP -2",#N/A,FALSE,"WTP";"Project",#N/A,FALSE,"PROJECT";"Summary -2",#N/A,FALSE,"SUMMARY"}</definedName>
    <definedName name="k_">#REF!</definedName>
    <definedName name="K_1">#REF!</definedName>
    <definedName name="K_2">#REF!</definedName>
    <definedName name="k_Céng_gi__trÞ_x_y_l_p_sau_thuÕ___h___i">#REF!</definedName>
    <definedName name="K_L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A">#REF!</definedName>
    <definedName name="KAE">#REF!</definedName>
    <definedName name="KAS">#REF!</definedName>
    <definedName name="kcdd">#REF!</definedName>
    <definedName name="kcong">#REF!</definedName>
    <definedName name="KcTieuChuan">#REF!</definedName>
    <definedName name="ke">#REF!</definedName>
    <definedName name="kecot">#REF!</definedName>
    <definedName name="ketcau">#REF!</definedName>
    <definedName name="Kf">#REF!</definedName>
    <definedName name="kiem">#REF!</definedName>
    <definedName name="Kiem_tra_trung_ten">#REF!</definedName>
    <definedName name="KINH_PHI_DEN_BU">#REF!</definedName>
    <definedName name="KINH_PHI_DZ0.4KV">#REF!</definedName>
    <definedName name="KINH_PHI_KHAO_SAT__LAP_BCNCKT__TKKTTC">#REF!</definedName>
    <definedName name="KINH_PHI_KHO_BAI">#REF!</definedName>
    <definedName name="KINH_PHI_TBA">#REF!</definedName>
    <definedName name="kj">#REF!</definedName>
    <definedName name="kkk">#REF!</definedName>
    <definedName name="kl">#REF!</definedName>
    <definedName name="KL_1">#REF!</definedName>
    <definedName name="KL_2">#REF!</definedName>
    <definedName name="KL_C">#REF!</definedName>
    <definedName name="KL_cau">#REF!</definedName>
    <definedName name="kl_ME">#REF!</definedName>
    <definedName name="KLC">#REF!</definedName>
    <definedName name="klcau">#REF!</definedName>
    <definedName name="klctbb">#REF!</definedName>
    <definedName name="kld">#REF!</definedName>
    <definedName name="kldd1p">#REF!</definedName>
    <definedName name="kldd3p">#REF!</definedName>
    <definedName name="KLduonggiaods" localSheetId="9" hidden="1">{"'Sheet1'!$L$16"}</definedName>
    <definedName name="KLduonggiaods" localSheetId="3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1" hidden="1">{"'Sheet1'!$L$16"}</definedName>
    <definedName name="KLduonggiaods" localSheetId="14" hidden="1">{"'Sheet1'!$L$16"}</definedName>
    <definedName name="KLduonggiaods">{"'Sheet1'!$L$16"}</definedName>
    <definedName name="klsdfjzljlaj">#REF!</definedName>
    <definedName name="KLtru">#REF!</definedName>
    <definedName name="Km_2" localSheetId="0">'PL01'!$D$1:$G$47</definedName>
    <definedName name="kmong">#REF!</definedName>
    <definedName name="kno">#REF!</definedName>
    <definedName name="Kng">#REF!</definedName>
    <definedName name="ko">#REF!</definedName>
    <definedName name="kp1ph">#REF!</definedName>
    <definedName name="Ks">#REF!</definedName>
    <definedName name="ktc">#REF!</definedName>
    <definedName name="Kte">#REF!</definedName>
    <definedName name="KTTRAMD1">#REF!</definedName>
    <definedName name="KTHD">#REF!</definedName>
    <definedName name="kthuat">#REF!</definedName>
    <definedName name="KtraXau">#REF!</definedName>
    <definedName name="kv">#REF!</definedName>
    <definedName name="KVC">#REF!</definedName>
    <definedName name="Kxc">#REF!</definedName>
    <definedName name="Kxp">#REF!</definedName>
    <definedName name="kyhhj">BlankMacro1</definedName>
    <definedName name="kh">#REF!</definedName>
    <definedName name="khac">2</definedName>
    <definedName name="khanang">#REF!</definedName>
    <definedName name="KHAV8">#REF!</definedName>
    <definedName name="KHAV9">#REF!</definedName>
    <definedName name="kheve">#REF!</definedName>
    <definedName name="KHHC8">#REF!</definedName>
    <definedName name="KHldatcat">#REF!</definedName>
    <definedName name="khoan">#REF!</definedName>
    <definedName name="Khocau">#REF!</definedName>
    <definedName name="KHOI_LUONG_DAT_DAO_DAP">#REF!</definedName>
    <definedName name="khong">#REF!</definedName>
    <definedName name="khongtruotgia" localSheetId="9" hidden="1">{"'Sheet1'!$L$16"}</definedName>
    <definedName name="khongtruotgia" localSheetId="0" hidden="1">{"'Sheet1'!$L$16"}</definedName>
    <definedName name="khongtruotgia" localSheetId="1">{"'Sheet1'!$L$16"}</definedName>
    <definedName name="khongtruotgia">{"'Sheet1'!$L$16"}</definedName>
    <definedName name="Khung">#REF!</definedName>
    <definedName name="KhuyenmaiUPS">"AutoShape 264"</definedName>
    <definedName name="l">#REF!</definedName>
    <definedName name="l_1">#REF!</definedName>
    <definedName name="l_dn">#REF!</definedName>
    <definedName name="l1d">#REF!</definedName>
    <definedName name="L63x6">5800</definedName>
    <definedName name="LABEL">#REF!</definedName>
    <definedName name="laisuat">#REF!</definedName>
    <definedName name="lan">#REF!</definedName>
    <definedName name="Lantrai">#REF!</definedName>
    <definedName name="lao_keo_dam_cau">#REF!</definedName>
    <definedName name="LaoLapDam">#REF!</definedName>
    <definedName name="LAP_DAT_TBA">#REF!</definedName>
    <definedName name="lapa">#REF!</definedName>
    <definedName name="lapb">#REF!</definedName>
    <definedName name="lapc">#REF!</definedName>
    <definedName name="LargerSpan">IF(#REF!&gt;#REF!,#REF!,#REF!)</definedName>
    <definedName name="lbe">#REF!</definedName>
    <definedName name="Lbqd">#REF!</definedName>
    <definedName name="LBS_22">107800000</definedName>
    <definedName name="Lc">#REF!</definedName>
    <definedName name="lcd">#REF!</definedName>
    <definedName name="lcn">#REF!</definedName>
    <definedName name="Lcoc">#REF!</definedName>
    <definedName name="Ld">#REF!</definedName>
    <definedName name="Ldatcat">#REF!</definedName>
    <definedName name="Ldinh">#REF!</definedName>
    <definedName name="ldn">#REF!</definedName>
    <definedName name="leffer">#REF!</definedName>
    <definedName name="Lf">#REF!</definedName>
    <definedName name="Lggd">#REF!</definedName>
    <definedName name="Lggt">#REF!</definedName>
    <definedName name="LH">#REF!</definedName>
    <definedName name="LHD">#REF!</definedName>
    <definedName name="LHDS">#REF!</definedName>
    <definedName name="LHS">#REF!</definedName>
    <definedName name="LiendanhCAVICO">#REF!</definedName>
    <definedName name="LiendanhVUTRAC">#REF!</definedName>
    <definedName name="LIET_KE_VI_TRI_DZ0.4KV">#REF!</definedName>
    <definedName name="LIET_KE_VI_TRI_DZ22KV">#REF!</definedName>
    <definedName name="Linh10">#REF!</definedName>
    <definedName name="Linh11">#REF!</definedName>
    <definedName name="Linh1NII">#REF!</definedName>
    <definedName name="Linh2NII">#REF!</definedName>
    <definedName name="Linh3NII">#REF!</definedName>
    <definedName name="Linh4NII">#REF!</definedName>
    <definedName name="Linh5NII">#REF!</definedName>
    <definedName name="Linh7NII">#REF!</definedName>
    <definedName name="LinhI">#REF!</definedName>
    <definedName name="LinhII">#REF!</definedName>
    <definedName name="LinhIII">#REF!</definedName>
    <definedName name="LinhT12TH">#REF!</definedName>
    <definedName name="Ll">#REF!</definedName>
    <definedName name="LLD">#REF!</definedName>
    <definedName name="LLDS">#REF!</definedName>
    <definedName name="Lmk">#REF!</definedName>
    <definedName name="Lmong">#REF!</definedName>
    <definedName name="ln">#REF!</definedName>
    <definedName name="Lnsc">#REF!</definedName>
    <definedName name="lntt">#REF!</definedName>
    <definedName name="lnh">#REF!</definedName>
    <definedName name="lnhuan">#REF!</definedName>
    <definedName name="Lo">#REF!</definedName>
    <definedName name="loai">#REF!</definedName>
    <definedName name="LOAI_DUONG">#REF!</definedName>
    <definedName name="Loaiday">#REF!</definedName>
    <definedName name="LoaixeH">#REF!</definedName>
    <definedName name="LoaixeXB">#REF!</definedName>
    <definedName name="LOCATION">#REF!</definedName>
    <definedName name="lón2">#REF!</definedName>
    <definedName name="lón3">#REF!</definedName>
    <definedName name="lón5">#REF!</definedName>
    <definedName name="long">[0]!long</definedName>
    <definedName name="lonhuan">#REF!</definedName>
    <definedName name="LOOP">#REF!</definedName>
    <definedName name="Lp">#REF!</definedName>
    <definedName name="LRMC">#REF!</definedName>
    <definedName name="lrung25">#REF!</definedName>
    <definedName name="Ls">#REF!</definedName>
    <definedName name="lsb">#REF!</definedName>
    <definedName name="lsbn">#REF!</definedName>
    <definedName name="lset">#REF!</definedName>
    <definedName name="Lt">#REF!</definedName>
    <definedName name="Ltt">#REF!</definedName>
    <definedName name="Lthan">#REF!</definedName>
    <definedName name="LThanh">#REF!</definedName>
    <definedName name="Luanthanh">#REF!</definedName>
    <definedName name="lulop16">#REF!</definedName>
    <definedName name="lulop25">#REF!</definedName>
    <definedName name="lÜnh">#REF!</definedName>
    <definedName name="luoicua">#REF!</definedName>
    <definedName name="luonglaixe">#REF!</definedName>
    <definedName name="lurung15">#REF!</definedName>
    <definedName name="luth10">#REF!</definedName>
    <definedName name="Luyen">#REF!</definedName>
    <definedName name="lv">#REF!</definedName>
    <definedName name="lv.">#REF!</definedName>
    <definedName name="lVC">#REF!</definedName>
    <definedName name="lvr">#REF!</definedName>
    <definedName name="lvr.">#REF!</definedName>
    <definedName name="LX100N">#REF!</definedName>
    <definedName name="lxenang">#REF!</definedName>
    <definedName name="m">#REF!</definedName>
    <definedName name="m__Chi_phÝ_kh_c_phôc_vô_thi_c_ng____k">#REF!</definedName>
    <definedName name="m_1">#REF!</definedName>
    <definedName name="m_2">#REF!</definedName>
    <definedName name="m_3">#REF!</definedName>
    <definedName name="m_4">#REF!</definedName>
    <definedName name="M_CSCT">#REF!</definedName>
    <definedName name="M_TD">#REF!</definedName>
    <definedName name="M0.4">#REF!</definedName>
    <definedName name="m1_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H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_DML">#REF!</definedName>
    <definedName name="Ma3pnc">#REF!</definedName>
    <definedName name="Ma3pvl">#REF!</definedName>
    <definedName name="Maa3pnc">#REF!</definedName>
    <definedName name="Maa3pvl">#REF!</definedName>
    <definedName name="MACRO">#REF!</definedName>
    <definedName name="MAJ_CON_EQP">#REF!</definedName>
    <definedName name="Masonry">#REF!</definedName>
    <definedName name="MAT">#REF!</definedName>
    <definedName name="Mat_cau">#REF!</definedName>
    <definedName name="matit">#REF!</definedName>
    <definedName name="MATK_M">#N/A</definedName>
    <definedName name="may">#REF!</definedName>
    <definedName name="May_khoan_4.5_KW">#REF!</definedName>
    <definedName name="May_khoan_BT_1.5KW">#REF!</definedName>
    <definedName name="May_nÐn_khÝ_4_m3_ph">#REF!</definedName>
    <definedName name="mazut">#REF!</definedName>
    <definedName name="mb">#REF!</definedName>
    <definedName name="Mba1p">#REF!</definedName>
    <definedName name="Mba3p">#REF!</definedName>
    <definedName name="mbac">#REF!</definedName>
    <definedName name="Mbb3p">#REF!</definedName>
    <definedName name="mbbt5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gd">#REF!</definedName>
    <definedName name="mcgds7">#REF!</definedName>
    <definedName name="MCquaduong">#REF!</definedName>
    <definedName name="Mcr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alWork">#REF!</definedName>
    <definedName name="MF">#REF!</definedName>
    <definedName name="mfto1">#REF!</definedName>
    <definedName name="mfto2">#REF!</definedName>
    <definedName name="mg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h">#REF!</definedName>
    <definedName name="mgn">#REF!</definedName>
    <definedName name="mh">#REF!</definedName>
    <definedName name="mi">#REF!</definedName>
    <definedName name="MIH">#REF!</definedName>
    <definedName name="minh" localSheetId="9" hidden="1">{"'Sheet1'!$L$16"}</definedName>
    <definedName name="minh" localSheetId="0" hidden="1">{"'Sheet1'!$L$16"}</definedName>
    <definedName name="minh" localSheetId="1">{"'Sheet1'!$L$16"}</definedName>
    <definedName name="minh">{"'Sheet1'!$L$16"}</definedName>
    <definedName name="mis">#REF!</definedName>
    <definedName name="MiscellaneousWork">#REF!</definedName>
    <definedName name="mix">#REF!</definedName>
    <definedName name="ML">#REF!</definedName>
    <definedName name="ml_">#REF!</definedName>
    <definedName name="mlc">#REF!</definedName>
    <definedName name="mmid">#REF!</definedName>
    <definedName name="mmm">#REF!</definedName>
    <definedName name="MN">#REF!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3" hidden="1">{"'Sheet1'!$L$16"}</definedName>
    <definedName name="mo" localSheetId="0" hidden="1">{"'Sheet1'!$L$16"}</definedName>
    <definedName name="mo" localSheetId="15" hidden="1">{"'Sheet1'!$L$16"}</definedName>
    <definedName name="mo" localSheetId="1" hidden="1">{"'Sheet1'!$L$16"}</definedName>
    <definedName name="mo" localSheetId="14" hidden="1">{"'Sheet1'!$L$16"}</definedName>
    <definedName name="mo">{"'Sheet1'!$L$16"}</definedName>
    <definedName name="Mo_BinhDien">#REF!</definedName>
    <definedName name="Mo5_BinhDien">#REF!</definedName>
    <definedName name="MODIFY">#REF!</definedName>
    <definedName name="Mods">#REF!</definedName>
    <definedName name="Moi">#REF!</definedName>
    <definedName name="MoM0">#REF!</definedName>
    <definedName name="mong">#REF!</definedName>
    <definedName name="mophanchi">#REF!</definedName>
    <definedName name="Morong">#REF!</definedName>
    <definedName name="Morong4054_85">#REF!</definedName>
    <definedName name="morong4054_98">#REF!</definedName>
    <definedName name="mot">#REF!</definedName>
    <definedName name="mp1x25">#REF!</definedName>
    <definedName name="mqt">#REF!</definedName>
    <definedName name="mR">#REF!</definedName>
    <definedName name="ms">#REF!</definedName>
    <definedName name="mstn_b">#REF!</definedName>
    <definedName name="mstn_cnv">#REF!</definedName>
    <definedName name="MTC">#REF!</definedName>
    <definedName name="MTC1P">#REF!</definedName>
    <definedName name="MTC3P">#REF!</definedName>
    <definedName name="Mtccau">#REF!</definedName>
    <definedName name="mtcdg">#REF!</definedName>
    <definedName name="MTCLD">#REF!</definedName>
    <definedName name="MTCMB">#REF!</definedName>
    <definedName name="MTCNT">#REF!</definedName>
    <definedName name="MTCHC">#REF!</definedName>
    <definedName name="MTMAC12">#REF!</definedName>
    <definedName name="MTN">#REF!</definedName>
    <definedName name="mtr">#REF!</definedName>
    <definedName name="mtram">#REF!</definedName>
    <definedName name="Mtran">#REF!</definedName>
    <definedName name="Mu">#REF!</definedName>
    <definedName name="Mu_">#REF!</definedName>
    <definedName name="MVC">#REF!</definedName>
    <definedName name="mw_">#REF!</definedName>
    <definedName name="mw1_">#REF!</definedName>
    <definedName name="mx">#REF!</definedName>
    <definedName name="myle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t">#REF!</definedName>
    <definedName name="n1pintnc">#REF!</definedName>
    <definedName name="n1pintvl">#REF!</definedName>
    <definedName name="n1ping">#REF!</definedName>
    <definedName name="n1pingnc">#REF!</definedName>
    <definedName name="n1ping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am_khoi_cong">#REF!</definedName>
    <definedName name="Name">#REF!</definedName>
    <definedName name="Nc">#REF!</definedName>
    <definedName name="nc.4">#REF!</definedName>
    <definedName name="nc_betong200">#REF!</definedName>
    <definedName name="nc_btm10">#REF!</definedName>
    <definedName name="nc_cotpha">#REF!</definedName>
    <definedName name="NC_CSCT">#REF!</definedName>
    <definedName name="NC_CTXD">#REF!</definedName>
    <definedName name="NC_RD">#REF!</definedName>
    <definedName name="NC_TD">#REF!</definedName>
    <definedName name="nc12m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2">#REF!</definedName>
    <definedName name="nc3.5">#REF!</definedName>
    <definedName name="nc3.7">#REF!</definedName>
    <definedName name="nc3_5">#REF!</definedName>
    <definedName name="nc3p">#REF!</definedName>
    <definedName name="nc4.5">#REF!</definedName>
    <definedName name="NCBD">#REF!</definedName>
    <definedName name="NCBD100">#REF!</definedName>
    <definedName name="NCBD200">#REF!</definedName>
    <definedName name="NCBD250">#REF!</definedName>
    <definedName name="NCC2.7">#REF!</definedName>
    <definedName name="ncc3.5">#REF!</definedName>
    <definedName name="ncc3.7">#REF!</definedName>
    <definedName name="NCcap0.7">#REF!</definedName>
    <definedName name="NCcap1">#REF!</definedName>
    <definedName name="nccs">#REF!</definedName>
    <definedName name="ncdd">#REF!</definedName>
    <definedName name="NCDD2">#REF!</definedName>
    <definedName name="ncdg">#REF!</definedName>
    <definedName name="NCGF">#REF!</definedName>
    <definedName name="ncgff">#REF!</definedName>
    <definedName name="NCKT">#REF!</definedName>
    <definedName name="NCLD">#REF!</definedName>
    <definedName name="NCNCS">#REF!</definedName>
    <definedName name="NCPP">#REF!</definedName>
    <definedName name="ncsu">#REF!</definedName>
    <definedName name="nctn">#REF!</definedName>
    <definedName name="nctr">#REF!</definedName>
    <definedName name="nctram">#REF!</definedName>
    <definedName name="NCVC">#REF!</definedName>
    <definedName name="NCVC_BD">#REF!</definedName>
    <definedName name="NCVC100">#REF!</definedName>
    <definedName name="NCVC200">#REF!</definedName>
    <definedName name="NCVC250">#REF!</definedName>
    <definedName name="NCVC3P">#REF!</definedName>
    <definedName name="NCHC">#REF!</definedName>
    <definedName name="nd">#REF!</definedName>
    <definedName name="ndc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XT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ng1p">#REF!</definedName>
    <definedName name="ningnc1p">#REF!</definedName>
    <definedName name="ningvl1p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apName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s">#REF!</definedName>
    <definedName name="nn">#REF!</definedName>
    <definedName name="nn1p">#REF!</definedName>
    <definedName name="nn3p">#REF!</definedName>
    <definedName name="nnn">#REF!</definedName>
    <definedName name="nnnc">#REF!</definedName>
    <definedName name="nnnc3p">#REF!</definedName>
    <definedName name="nnvl">#REF!</definedName>
    <definedName name="nnvl3p">#REF!</definedName>
    <definedName name="No">#REF!</definedName>
    <definedName name="No.9" localSheetId="9" hidden="1">{"'Sheet1'!$L$16"}</definedName>
    <definedName name="No.9" localSheetId="0" hidden="1">{"'Sheet1'!$L$16"}</definedName>
    <definedName name="No.9" localSheetId="1">{"'Sheet1'!$L$16"}</definedName>
    <definedName name="No.9">{"'Sheet1'!$L$16"}</definedName>
    <definedName name="np">#REF!</definedName>
    <definedName name="Nps">#REF!</definedName>
    <definedName name="Nq">#REF!</definedName>
    <definedName name="nqd">#REF!</definedName>
    <definedName name="nr">#REF!</definedName>
    <definedName name="ns">#REF!</definedName>
    <definedName name="ns.">#REF!</definedName>
    <definedName name="ns..">#REF!</definedName>
    <definedName name="nsc">#REF!</definedName>
    <definedName name="nsk">#REF!</definedName>
    <definedName name="NsoatName">#REF!</definedName>
    <definedName name="NT">#REF!</definedName>
    <definedName name="NT.CD">#REF!</definedName>
    <definedName name="NT.NAME">#REF!</definedName>
    <definedName name="NToS">#REF!</definedName>
    <definedName name="nuoc">#REF!</definedName>
    <definedName name="nv">#REF!</definedName>
    <definedName name="nx">#REF!</definedName>
    <definedName name="nxc">#REF!</definedName>
    <definedName name="nxmtc">#REF!</definedName>
    <definedName name="ng">#REF!</definedName>
    <definedName name="ng1.">#REF!</definedName>
    <definedName name="ng2.">#REF!</definedName>
    <definedName name="NH">#REF!</definedName>
    <definedName name="Nhan_xet_cua_dai">"Picture 1"</definedName>
    <definedName name="Nhancong">#REF!</definedName>
    <definedName name="Nhansu">#REF!</definedName>
    <definedName name="nhfffd" localSheetId="0">{"DZ-TDTB2.XLS","Dcksat.xls"}</definedName>
    <definedName name="nhfffd">{"DZ-TDTB2.XLS","Dcksat.xls"}</definedName>
    <definedName name="nhn">#REF!</definedName>
    <definedName name="nhnnc">#REF!</definedName>
    <definedName name="nhnvl">#REF!</definedName>
    <definedName name="nhom2">#REF!</definedName>
    <definedName name="nhomxe">#REF!</definedName>
    <definedName name="NHot">#REF!</definedName>
    <definedName name="nhu">#REF!</definedName>
    <definedName name="nhua">#REF!</definedName>
    <definedName name="nhuad">#REF!</definedName>
    <definedName name="Nhuadan">#REF!</definedName>
    <definedName name="nhuaduong">#REF!</definedName>
    <definedName name="Nhucaudonvi">#REF!</definedName>
    <definedName name="o">#REF!</definedName>
    <definedName name="O_M">#REF!</definedName>
    <definedName name="Ö135">#REF!</definedName>
    <definedName name="OD">#REF!</definedName>
    <definedName name="ODC">#REF!</definedName>
    <definedName name="ODS">#REF!</definedName>
    <definedName name="ODU">#REF!</definedName>
    <definedName name="OM">#REF!</definedName>
    <definedName name="OMC">#REF!</definedName>
    <definedName name="OME">#REF!</definedName>
    <definedName name="OMW">#REF!</definedName>
    <definedName name="ong">#REF!</definedName>
    <definedName name="ong_cong_duc_san">#REF!</definedName>
    <definedName name="Ong_cong_hinh_hop_do_tai_cho">#REF!</definedName>
    <definedName name="ongnhua">#REF!</definedName>
    <definedName name="OOM">#REF!</definedName>
    <definedName name="ophom">#REF!</definedName>
    <definedName name="ORD">#REF!</definedName>
    <definedName name="OrderTable" localSheetId="8" hidden="1">#REF!</definedName>
    <definedName name="OrderTable" localSheetId="9" hidden="1">#REF!</definedName>
    <definedName name="OrderTable" localSheetId="3" hidden="1">#REF!</definedName>
    <definedName name="OrderTable" localSheetId="15" hidden="1">#REF!</definedName>
    <definedName name="OrderTable" localSheetId="1" hidden="1">#REF!</definedName>
    <definedName name="OrderTable" localSheetId="14" hidden="1">#REF!</definedName>
    <definedName name="OrderTable">#REF!</definedName>
    <definedName name="ORF">#REF!</definedName>
    <definedName name="osc">#REF!</definedName>
    <definedName name="oto2.5">#REF!</definedName>
    <definedName name="oton">#REF!</definedName>
    <definedName name="otonuoc5">#REF!</definedName>
    <definedName name="otonhua7">#REF!</definedName>
    <definedName name="otothung5">#REF!</definedName>
    <definedName name="OTHER_PANEL">#REF!</definedName>
    <definedName name="OtherWork">#REF!</definedName>
    <definedName name="Óu75">#REF!</definedName>
    <definedName name="oxy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>#REF!</definedName>
    <definedName name="Painting">#REF!</definedName>
    <definedName name="pbl">#REF!</definedName>
    <definedName name="pbla">#REF!</definedName>
    <definedName name="PChe">#REF!</definedName>
    <definedName name="Pd">#REF!</definedName>
    <definedName name="PdoanName">#REF!</definedName>
    <definedName name="PEJM">#REF!</definedName>
    <definedName name="PF">#REF!</definedName>
    <definedName name="PileSize">#REF!</definedName>
    <definedName name="PileType">#REF!</definedName>
    <definedName name="PIP">BlankMacro1</definedName>
    <definedName name="PIPE2">BlankMacro1</definedName>
    <definedName name="PL_???___P.B.___REST_P.B._????">#REF!</definedName>
    <definedName name="PL_指示燈___P.B.___REST_P.B._壓扣開關">#REF!</definedName>
    <definedName name="pl020.0201">#REF!</definedName>
    <definedName name="Plaster">#REF!</definedName>
    <definedName name="plh">#REF!</definedName>
    <definedName name="plm">#REF!</definedName>
    <definedName name="PLOT">#REF!</definedName>
    <definedName name="plv">#REF!</definedName>
    <definedName name="PLvuaBT">#REF!</definedName>
    <definedName name="PM">#REF!</definedName>
    <definedName name="pmh" localSheetId="0">phm</definedName>
    <definedName name="pmh">phm</definedName>
    <definedName name="PPP">BlankMacro1</definedName>
    <definedName name="PRC">#REF!</definedName>
    <definedName name="PRICE">#REF!</definedName>
    <definedName name="PRICE1">#REF!</definedName>
    <definedName name="Prin1">#REF!</definedName>
    <definedName name="Prin10">#REF!</definedName>
    <definedName name="Prin11">#REF!</definedName>
    <definedName name="Prin12">#REF!</definedName>
    <definedName name="Prin13">#REF!</definedName>
    <definedName name="Prin14">#REF!</definedName>
    <definedName name="Prin15">#REF!</definedName>
    <definedName name="Prin16">#REF!</definedName>
    <definedName name="Prin17">#REF!</definedName>
    <definedName name="Prin18">#REF!</definedName>
    <definedName name="Prin19">#REF!</definedName>
    <definedName name="Prin2">#REF!</definedName>
    <definedName name="Prin20">#REF!</definedName>
    <definedName name="Prin21">#REF!</definedName>
    <definedName name="Prin3">#REF!</definedName>
    <definedName name="Prin4">#REF!</definedName>
    <definedName name="Prin5">#REF!</definedName>
    <definedName name="Prin5a">#REF!</definedName>
    <definedName name="Prin6">#REF!</definedName>
    <definedName name="Prin7">#REF!</definedName>
    <definedName name="Prin8">#REF!</definedName>
    <definedName name="Prin9">#REF!</definedName>
    <definedName name="_xlnm.Print_Area" localSheetId="8">'DG Can'!$A$1:$H$127</definedName>
    <definedName name="_xlnm.Print_Area" localSheetId="9">'DG Nuoc'!$A$1:$H$138</definedName>
    <definedName name="_xlnm.Print_Area" localSheetId="7">'Gia DT TC'!$A$1:$K$27</definedName>
    <definedName name="_xlnm.Print_Area" localSheetId="3">KLCT1!$A$10:$J$48</definedName>
    <definedName name="_xlnm.Print_Area" localSheetId="0">'PL01'!$C$1:$Q$47</definedName>
    <definedName name="_xlnm.Print_Area" localSheetId="1">THKL!$A$10:$G$33</definedName>
    <definedName name="_xlnm.Print_Area" localSheetId="5">'THKP-TC'!$A$1:$F$35</definedName>
    <definedName name="_xlnm.Print_Area" localSheetId="12">THNK_C!$A$1:$U$18</definedName>
    <definedName name="_xlnm.Print_Area" localSheetId="10">'VL-NC-M'!$A$78:$F$101,'VL-NC-M'!$A$1:$F$66</definedName>
    <definedName name="_xlnm.Print_Area">#REF!</definedName>
    <definedName name="Print_Area_MI">#REF!</definedName>
    <definedName name="_xlnm.Print_Titles" localSheetId="7">'Gia DT TC'!$9:$10</definedName>
    <definedName name="_xlnm.Print_Titles" localSheetId="0">'PL01'!$6:$8</definedName>
    <definedName name="_xlnm.Print_Titles" localSheetId="12">THNK_C!$5:$6</definedName>
    <definedName name="_xlnm.Print_Titles">#REF!</definedName>
    <definedName name="Print_Titles_MI">#REF!</definedName>
    <definedName name="PRINTA">#REF!</definedName>
    <definedName name="PRINTB">#REF!</definedName>
    <definedName name="PRINTC">#REF!</definedName>
    <definedName name="Pro_Soil">#REF!</definedName>
    <definedName name="ProdForm" localSheetId="8" hidden="1">#REF!</definedName>
    <definedName name="ProdForm" localSheetId="9" hidden="1">#REF!</definedName>
    <definedName name="ProdForm" localSheetId="3" hidden="1">#REF!</definedName>
    <definedName name="ProdForm" localSheetId="15" hidden="1">#REF!</definedName>
    <definedName name="ProdForm" localSheetId="1" hidden="1">#REF!</definedName>
    <definedName name="ProdForm" localSheetId="14" hidden="1">#REF!</definedName>
    <definedName name="ProdForm">#REF!</definedName>
    <definedName name="Product" localSheetId="8" hidden="1">#REF!</definedName>
    <definedName name="Product" localSheetId="9" hidden="1">#REF!</definedName>
    <definedName name="Product" localSheetId="3" hidden="1">#REF!</definedName>
    <definedName name="Product" localSheetId="15" hidden="1">#REF!</definedName>
    <definedName name="Product" localSheetId="1" hidden="1">#REF!</definedName>
    <definedName name="Product" localSheetId="14" hidden="1">#REF!</definedName>
    <definedName name="Product">#REF!</definedName>
    <definedName name="PROJ">#REF!</definedName>
    <definedName name="PROPOSAL">#REF!</definedName>
    <definedName name="pse">#REF!</definedName>
    <definedName name="pso">#REF!</definedName>
    <definedName name="pt">#REF!</definedName>
    <definedName name="PT_Duong">#REF!</definedName>
    <definedName name="ptbc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1">#REF!</definedName>
    <definedName name="PTNC">#REF!</definedName>
    <definedName name="PTST">#REF!</definedName>
    <definedName name="PTVT">#REF!</definedName>
    <definedName name="ptran">#REF!</definedName>
    <definedName name="Pu">#REF!</definedName>
    <definedName name="pvd">#REF!</definedName>
    <definedName name="pw">#REF!</definedName>
    <definedName name="phada">#REF!</definedName>
    <definedName name="PHAN_DIEN_DZ0.4KV">#REF!</definedName>
    <definedName name="PHAN_DIEN_TBA">#REF!</definedName>
    <definedName name="PHAN_MUA_SAM_DZ0.4KV">#REF!</definedName>
    <definedName name="PHC">#REF!</definedName>
    <definedName name="phgnc">#REF!</definedName>
    <definedName name="phi">#REF!</definedName>
    <definedName name="phm">#REF!</definedName>
    <definedName name="Phone">#REF!</definedName>
    <definedName name="PhongChinhtri">#REF!</definedName>
    <definedName name="PhongHanhchinh">#REF!</definedName>
    <definedName name="PhongKeHoach">#REF!</definedName>
    <definedName name="PhongKinhteDuAn">#REF!</definedName>
    <definedName name="PhongKyThuat">#REF!</definedName>
    <definedName name="PhongKhoach">#REF!</definedName>
    <definedName name="PhongTaiChinh">#REF!</definedName>
    <definedName name="PhongTCLDTL">#REF!</definedName>
    <definedName name="PhongTochuc">#REF!</definedName>
    <definedName name="Phô_lôc_tæng_khèi_l_îng_l_p__Æt_ho_n_th_nh">#REF!</definedName>
    <definedName name="phu_luc_vua">#REF!</definedName>
    <definedName name="phugia">#REF!</definedName>
    <definedName name="phugiabt">#REF!</definedName>
    <definedName name="phugiavua">#REF!</definedName>
    <definedName name="Q">#REF!</definedName>
    <definedName name="Q_sudung">#REF!</definedName>
    <definedName name="qc">#REF!</definedName>
    <definedName name="Qfd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>#REF!</definedName>
    <definedName name="qhCu">#REF!</definedName>
    <definedName name="QL">#REF!</definedName>
    <definedName name="Qn">#REF!</definedName>
    <definedName name="qq">#REF!</definedName>
    <definedName name="Qsong">#REF!</definedName>
    <definedName name="qt010.0111">#REF!</definedName>
    <definedName name="qt010.0112">#REF!</definedName>
    <definedName name="qt010.0113">#REF!</definedName>
    <definedName name="qt010.0114">#REF!</definedName>
    <definedName name="qt010.0121">#REF!</definedName>
    <definedName name="qt010.0122">#REF!</definedName>
    <definedName name="qt010.0123">#REF!</definedName>
    <definedName name="qt010.0124">#REF!</definedName>
    <definedName name="qt010.0201">#REF!</definedName>
    <definedName name="qt010.0202">#REF!</definedName>
    <definedName name="qt010.0203">#REF!</definedName>
    <definedName name="qt010.0204">#REF!</definedName>
    <definedName name="qt010.0301">#REF!</definedName>
    <definedName name="qt010.0302">#REF!</definedName>
    <definedName name="qt020.0101">#REF!</definedName>
    <definedName name="qt020.0102">#REF!</definedName>
    <definedName name="qt020.0103">#REF!</definedName>
    <definedName name="qt020.0104">#REF!</definedName>
    <definedName name="qt020.0201">#REF!</definedName>
    <definedName name="qt020.0301">#REF!</definedName>
    <definedName name="qt020.0302">#REF!</definedName>
    <definedName name="qt020.0303">#REF!</definedName>
    <definedName name="qt020.0304">#REF!</definedName>
    <definedName name="qt020.0321">#REF!</definedName>
    <definedName name="qt020.0322">#REF!</definedName>
    <definedName name="qt020.0323">#REF!</definedName>
    <definedName name="qt020.0324">#REF!</definedName>
    <definedName name="qt020.0401">#REF!</definedName>
    <definedName name="qt020.0402">#REF!</definedName>
    <definedName name="qt020.0403">#REF!</definedName>
    <definedName name="qt020.0404">#REF!</definedName>
    <definedName name="qt020.050">#REF!</definedName>
    <definedName name="qt020.0601">#REF!</definedName>
    <definedName name="qt020.0602">#REF!</definedName>
    <definedName name="qt020.0701">#REF!</definedName>
    <definedName name="qt020.0702">#REF!</definedName>
    <definedName name="qt020.0703">#REF!</definedName>
    <definedName name="qt020.0704">#REF!</definedName>
    <definedName name="qt020.0801">#REF!</definedName>
    <definedName name="qt020.0802">#REF!</definedName>
    <definedName name="qt020.0803">#REF!</definedName>
    <definedName name="qt020.0804.">#REF!</definedName>
    <definedName name="qt030.0101">#REF!</definedName>
    <definedName name="qt030.0102">#REF!</definedName>
    <definedName name="qt030.0103">#REF!</definedName>
    <definedName name="qt030.0201">#REF!</definedName>
    <definedName name="qt030.0202">#REF!</definedName>
    <definedName name="qt030.0203">#REF!</definedName>
    <definedName name="qt030.0301">#REF!</definedName>
    <definedName name="qt030.0302">#REF!</definedName>
    <definedName name="qt030.0303">#REF!</definedName>
    <definedName name="qt030.0304">#REF!</definedName>
    <definedName name="qt030.0401">#REF!</definedName>
    <definedName name="qt030.0402">#REF!</definedName>
    <definedName name="qt030.0403">#REF!</definedName>
    <definedName name="qt030.0501">#REF!</definedName>
    <definedName name="qt030.0502">#REF!</definedName>
    <definedName name="qt030.0503">#REF!</definedName>
    <definedName name="qt030.0601">#REF!</definedName>
    <definedName name="qt030.0602">#REF!</definedName>
    <definedName name="qt030.0603">#REF!</definedName>
    <definedName name="qt030.0701">#REF!</definedName>
    <definedName name="qt030.0702">#REF!</definedName>
    <definedName name="qt030.0703">#REF!</definedName>
    <definedName name="qt202.0201">#REF!</definedName>
    <definedName name="qtc_ng">#REF!</definedName>
    <definedName name="qtc_tinh">#REF!</definedName>
    <definedName name="qtcgdII">#REF!</definedName>
    <definedName name="qtd">#REF!</definedName>
    <definedName name="qtdm">#REF!</definedName>
    <definedName name="qtt_ng">#REF!</definedName>
    <definedName name="qtt_tinh">#REF!</definedName>
    <definedName name="qttgdII">#REF!</definedName>
    <definedName name="QƯ">#REF!</definedName>
    <definedName name="QỪGYH">#REF!</definedName>
    <definedName name="qx">#REF!</definedName>
    <definedName name="Qxenang">#REF!</definedName>
    <definedName name="qu">#REF!</definedName>
    <definedName name="quan.P12" localSheetId="9" hidden="1">{"'Sheet1'!$L$16"}</definedName>
    <definedName name="quan.P12" localSheetId="0" hidden="1">{"'Sheet1'!$L$16"}</definedName>
    <definedName name="quan.P12" localSheetId="1">{"'Sheet1'!$L$16"}</definedName>
    <definedName name="quan.P12">{"'Sheet1'!$L$16"}</definedName>
    <definedName name="quehan">#REF!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ib">#REF!</definedName>
    <definedName name="raim">#REF!</definedName>
    <definedName name="Rain">#REF!</definedName>
    <definedName name="rain.">#REF!</definedName>
    <definedName name="rate">14000</definedName>
    <definedName name="RCArea" localSheetId="8" hidden="1">#REF!</definedName>
    <definedName name="RCArea" localSheetId="9" hidden="1">#REF!</definedName>
    <definedName name="RCArea" localSheetId="3" hidden="1">#REF!</definedName>
    <definedName name="RCArea" localSheetId="15" hidden="1">#REF!</definedName>
    <definedName name="RCArea" localSheetId="1" hidden="1">#REF!</definedName>
    <definedName name="RCArea" localSheetId="14" hidden="1">#REF!</definedName>
    <definedName name="RCArea">#REF!</definedName>
    <definedName name="Rcc">#REF!</definedName>
    <definedName name="RCF">#REF!</definedName>
    <definedName name="RCKM">#REF!</definedName>
    <definedName name="Rcsd">#REF!</definedName>
    <definedName name="Rctc">#REF!</definedName>
    <definedName name="Rctt">#REF!</definedName>
    <definedName name="rcz">#REF!</definedName>
    <definedName name="RDEC">#REF!</definedName>
    <definedName name="RDEFF">#REF!</definedName>
    <definedName name="RDFC">#REF!</definedName>
    <definedName name="RDFU">#REF!</definedName>
    <definedName name="RDLIF">#REF!</definedName>
    <definedName name="RDOM">#REF!</definedName>
    <definedName name="RDPC">#REF!</definedName>
    <definedName name="rdpcf">#REF!</definedName>
    <definedName name="RDRC">#REF!</definedName>
    <definedName name="RDRF">#REF!</definedName>
    <definedName name="RECOUT">#N/A</definedName>
    <definedName name="REG">#REF!</definedName>
    <definedName name="retÎtettt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GLIF">#REF!</definedName>
    <definedName name="rh">#REF!</definedName>
    <definedName name="RHEC">#REF!</definedName>
    <definedName name="RHEFF">#REF!</definedName>
    <definedName name="RHHC">#REF!</definedName>
    <definedName name="RHLIF">#REF!</definedName>
    <definedName name="RHOM">#REF!</definedName>
    <definedName name="RIR">#REF!</definedName>
    <definedName name="Rk">#REF!</definedName>
    <definedName name="RLF">#REF!</definedName>
    <definedName name="RLKM">#REF!</definedName>
    <definedName name="RLL">#REF!</definedName>
    <definedName name="RLOM">#REF!</definedName>
    <definedName name="Rn">#REF!</definedName>
    <definedName name="rnp">#REF!</definedName>
    <definedName name="RoofingWork">#REF!</definedName>
    <definedName name="RoundUps">#REF!</definedName>
    <definedName name="rps">#REF!</definedName>
    <definedName name="RPHEC">#REF!</definedName>
    <definedName name="RPHLIF">#REF!</definedName>
    <definedName name="RPHOM">#REF!</definedName>
    <definedName name="RPHPC">#REF!</definedName>
    <definedName name="RR">#REF!</definedName>
    <definedName name="RSBC">#REF!</definedName>
    <definedName name="RSBLIF">#REF!</definedName>
    <definedName name="RSD">#REF!</definedName>
    <definedName name="RSIC">#REF!</definedName>
    <definedName name="RSIN">#REF!</definedName>
    <definedName name="RSLIF">#REF!</definedName>
    <definedName name="RSOM">#REF!</definedName>
    <definedName name="RSPI">#REF!</definedName>
    <definedName name="RSSC">#REF!</definedName>
    <definedName name="RT">#REF!</definedName>
    <definedName name="RTC">#REF!</definedName>
    <definedName name="RTT">#REF!</definedName>
    <definedName name="Ru">#REF!</definedName>
    <definedName name="RWTPlo">#REF!</definedName>
    <definedName name="RWTPhi">#REF!</definedName>
    <definedName name="s">#REF!</definedName>
    <definedName name="s.">#REF!</definedName>
    <definedName name="s_">#REF!</definedName>
    <definedName name="s3tb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d" localSheetId="9" hidden="1">{"'Sheet1'!$L$16"}</definedName>
    <definedName name="sad" localSheetId="0" hidden="1">{"'Sheet1'!$L$16"}</definedName>
    <definedName name="sad" localSheetId="1">{"'Sheet1'!$L$16"}</definedName>
    <definedName name="sad">{"'Sheet1'!$L$16"}</definedName>
    <definedName name="San_truoc">#REF!</definedName>
    <definedName name="sand">#REF!</definedName>
    <definedName name="sat">#REF!</definedName>
    <definedName name="satt">#REF!</definedName>
    <definedName name="satu">#REF!</definedName>
    <definedName name="sau">#REF!</definedName>
    <definedName name="SB">#REF!</definedName>
    <definedName name="sbase">#REF!</definedName>
    <definedName name="sbc">#REF!</definedName>
    <definedName name="sbet">#REF!</definedName>
    <definedName name="Sc">#REF!</definedName>
    <definedName name="scan">#REF!</definedName>
    <definedName name="scao98">#REF!</definedName>
    <definedName name="scn">#REF!</definedName>
    <definedName name="scr">#REF!</definedName>
    <definedName name="SCH">#REF!</definedName>
    <definedName name="sd" localSheetId="9" hidden="1">{"'Sheet1'!$L$16"}</definedName>
    <definedName name="sd" localSheetId="0" hidden="1">{"'Sheet1'!$L$16"}</definedName>
    <definedName name="sd" localSheetId="1">{"'Sheet1'!$L$16"}</definedName>
    <definedName name="sd">{"'Sheet1'!$L$16"}</definedName>
    <definedName name="sd¸d" localSheetId="9" hidden="1">{"'Sheet1'!$L$16"}</definedName>
    <definedName name="sd¸d" localSheetId="0" hidden="1">{"'Sheet1'!$L$16"}</definedName>
    <definedName name="sd¸d" localSheetId="1">{"'Sheet1'!$L$16"}</definedName>
    <definedName name="sd¸d">{"'Sheet1'!$L$16"}</definedName>
    <definedName name="sd3p">#REF!</definedName>
    <definedName name="SDDL">#REF!</definedName>
    <definedName name="sdf">#REF!</definedName>
    <definedName name="SDMONG">#REF!</definedName>
    <definedName name="sdo">#REF!</definedName>
    <definedName name="sds" localSheetId="9" hidden="1">{"'Sheet1'!$L$16"}</definedName>
    <definedName name="sds" localSheetId="0" hidden="1">{"'Sheet1'!$L$16"}</definedName>
    <definedName name="sds" localSheetId="1">{"'Sheet1'!$L$16"}</definedName>
    <definedName name="sds">{"'Sheet1'!$L$16"}</definedName>
    <definedName name="sdz" localSheetId="9" hidden="1">{"'Sheet1'!$L$16"}</definedName>
    <definedName name="sdz" localSheetId="0" hidden="1">{"'Sheet1'!$L$16"}</definedName>
    <definedName name="sdz" localSheetId="1">{"'Sheet1'!$L$16"}</definedName>
    <definedName name="sdz">{"'Sheet1'!$L$16"}</definedName>
    <definedName name="seet2" localSheetId="9" hidden="1">{"'Sheet1'!$L$16"}</definedName>
    <definedName name="seet2" localSheetId="0" hidden="1">{"'Sheet1'!$L$16"}</definedName>
    <definedName name="seet2" localSheetId="1">{"'Sheet1'!$L$16"}</definedName>
    <definedName name="seet2">{"'Sheet1'!$L$16"}</definedName>
    <definedName name="SETVAR">#REF!</definedName>
    <definedName name="sg">#REF!</definedName>
    <definedName name="sg1.">#REF!</definedName>
    <definedName name="sg2.">#REF!</definedName>
    <definedName name="sghegh">BlankMacro1</definedName>
    <definedName name="sgl">#REF!</definedName>
    <definedName name="sgnc">#REF!</definedName>
    <definedName name="sgvl">#REF!</definedName>
    <definedName name="shd">#REF!</definedName>
    <definedName name="Sheet1">#REF!</definedName>
    <definedName name="sho">#REF!</definedName>
    <definedName name="sht">#REF!</definedName>
    <definedName name="sht3p">#REF!</definedName>
    <definedName name="sieucao">#REF!</definedName>
    <definedName name="SIGN">#REF!</definedName>
    <definedName name="sin">#REF!</definedName>
    <definedName name="singg">#REF!</definedName>
    <definedName name="SIZE">#REF!</definedName>
    <definedName name="skd">#REF!</definedName>
    <definedName name="skt">#REF!</definedName>
    <definedName name="SL_CRD">#REF!</definedName>
    <definedName name="SL_CRS">#REF!</definedName>
    <definedName name="SL_CS">#REF!</definedName>
    <definedName name="SL_DD">#REF!</definedName>
    <definedName name="slot">#REF!</definedName>
    <definedName name="SM">#REF!</definedName>
    <definedName name="smin">#REF!</definedName>
    <definedName name="sn">#REF!</definedName>
    <definedName name="Sng">#REF!</definedName>
    <definedName name="soc3p">#REF!</definedName>
    <definedName name="soho">#REF!</definedName>
    <definedName name="soi">#REF!</definedName>
    <definedName name="Soi_HamYen">#REF!</definedName>
    <definedName name="soigai">#REF!</definedName>
    <definedName name="SoilType">#REF!</definedName>
    <definedName name="Solan">#REF!</definedName>
    <definedName name="solieu">#REF!</definedName>
    <definedName name="son">#REF!</definedName>
    <definedName name="sonduong">#REF!</definedName>
    <definedName name="SORT">#REF!</definedName>
    <definedName name="SORT_AREA">#REF!</definedName>
    <definedName name="Sosanh2" localSheetId="9" hidden="1">{"'Sheet1'!$L$16"}</definedName>
    <definedName name="Sosanh2" localSheetId="3" hidden="1">{"'Sheet1'!$L$16"}</definedName>
    <definedName name="Sosanh2" localSheetId="0" hidden="1">{"'Sheet1'!$L$16"}</definedName>
    <definedName name="Sosanh2" localSheetId="15" hidden="1">{"'Sheet1'!$L$16"}</definedName>
    <definedName name="Sosanh2" localSheetId="1" hidden="1">{"'Sheet1'!$L$16"}</definedName>
    <definedName name="Sosanh2" localSheetId="14" hidden="1">{"'Sheet1'!$L$16"}</definedName>
    <definedName name="Sosanh2">{"'Sheet1'!$L$16"}</definedName>
    <definedName name="SP">#REF!</definedName>
    <definedName name="Spanner_Auto_File">"C:\My Documents\tinh cdo.x2a"</definedName>
    <definedName name="SPEC">#REF!</definedName>
    <definedName name="SpecialPrice" localSheetId="8" hidden="1">#REF!</definedName>
    <definedName name="SpecialPrice" localSheetId="9" hidden="1">#REF!</definedName>
    <definedName name="SpecialPrice" localSheetId="3" hidden="1">#REF!</definedName>
    <definedName name="SpecialPrice" localSheetId="15" hidden="1">#REF!</definedName>
    <definedName name="SpecialPrice" localSheetId="1" hidden="1">#REF!</definedName>
    <definedName name="SpecialPrice" localSheetId="14" hidden="1">#REF!</definedName>
    <definedName name="SpecialPrice">#REF!</definedName>
    <definedName name="SPECSUMMARY">#REF!</definedName>
    <definedName name="spk1p">#REF!</definedName>
    <definedName name="spk3p">#REF!</definedName>
    <definedName name="ss">#REF!</definedName>
    <definedName name="sss">#REF!</definedName>
    <definedName name="ST">#REF!</definedName>
    <definedName name="st3p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c">#REF!</definedName>
    <definedName name="str">#REF!</definedName>
    <definedName name="SU">#REF!</definedName>
    <definedName name="sub">#REF!</definedName>
    <definedName name="SUL">#REF!</definedName>
    <definedName name="SUMMARY">#REF!</definedName>
    <definedName name="sur">#REF!</definedName>
    <definedName name="sv">#REF!</definedName>
    <definedName name="SVC">#REF!</definedName>
    <definedName name="svn">#REF!</definedName>
    <definedName name="SX_Lapthao_khungV_Sdao">#REF!</definedName>
    <definedName name="SXDam24mA">#REF!</definedName>
    <definedName name="SXdam24mB">#REF!</definedName>
    <definedName name="SXDam33mBien">#REF!</definedName>
    <definedName name="SXdam33mGiua">#REF!</definedName>
    <definedName name="T">#REF!</definedName>
    <definedName name="t_1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ch_NghinTy">#REF!</definedName>
    <definedName name="Taikhoan">#REF!</definedName>
    <definedName name="tamdan">#REF!</definedName>
    <definedName name="TAMTINH">#REF!</definedName>
    <definedName name="Tan_suat">#REF!</definedName>
    <definedName name="Tanphu">#REF!</definedName>
    <definedName name="taun">#REF!</definedName>
    <definedName name="tavet">#REF!</definedName>
    <definedName name="TaxTV">10%</definedName>
    <definedName name="TaxXL">5%</definedName>
    <definedName name="tb">#REF!</definedName>
    <definedName name="TB_CS">#REF!</definedName>
    <definedName name="TBA">#REF!</definedName>
    <definedName name="tbao" localSheetId="9" hidden="1">{"'Sheet1'!$L$16"}</definedName>
    <definedName name="tbao" localSheetId="3" hidden="1">{"'Sheet1'!$L$16"}</definedName>
    <definedName name="tbao" localSheetId="0" hidden="1">{"'Sheet1'!$L$16"}</definedName>
    <definedName name="tbao" localSheetId="15" hidden="1">{"'Sheet1'!$L$16"}</definedName>
    <definedName name="tbao" localSheetId="1" hidden="1">{"'Sheet1'!$L$16"}</definedName>
    <definedName name="tbao" localSheetId="14" hidden="1">{"'Sheet1'!$L$16"}</definedName>
    <definedName name="tbao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8" hidden="1">#REF!</definedName>
    <definedName name="tbl_ProdInfo" localSheetId="9" hidden="1">#REF!</definedName>
    <definedName name="tbl_ProdInfo" localSheetId="3" hidden="1">#REF!</definedName>
    <definedName name="tbl_ProdInfo" localSheetId="15" hidden="1">#REF!</definedName>
    <definedName name="tbl_ProdInfo" localSheetId="1" hidden="1">#REF!</definedName>
    <definedName name="tbl_ProdInfo" localSheetId="14" hidden="1">#REF!</definedName>
    <definedName name="tbl_ProdInfo">#REF!</definedName>
    <definedName name="tbmc">#REF!</definedName>
    <definedName name="tbtr">#REF!</definedName>
    <definedName name="tbtram">#REF!</definedName>
    <definedName name="TC">#REF!</definedName>
    <definedName name="TC_NHANH1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ia">#REF!</definedName>
    <definedName name="tdnc">#REF!</definedName>
    <definedName name="tdnc1p">#REF!</definedName>
    <definedName name="tdnc3p">#REF!</definedName>
    <definedName name="tdt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ecco" localSheetId="9" hidden="1">{"'Sheet1'!$L$16"}</definedName>
    <definedName name="tecco" localSheetId="0" hidden="1">{"'Sheet1'!$L$16"}</definedName>
    <definedName name="tecco" localSheetId="1">{"'Sheet1'!$L$16"}</definedName>
    <definedName name="tecco">{"'Sheet1'!$L$16"}</definedName>
    <definedName name="TemporaryWork">#REF!</definedName>
    <definedName name="TEN">#REF!</definedName>
    <definedName name="Ten_du_an">#REF!</definedName>
    <definedName name="TenCap">#REF!</definedName>
    <definedName name="tenduong">#REF!</definedName>
    <definedName name="tenvung">#REF!</definedName>
    <definedName name="TG">#REF!</definedName>
    <definedName name="TI">#REF!</definedName>
    <definedName name="Tien">#REF!</definedName>
    <definedName name="TIENLUONG">#REF!</definedName>
    <definedName name="Tiepdia">#REF!</definedName>
    <definedName name="Tiepdiama">9500</definedName>
    <definedName name="TIEU_HAO_VAT_TU_DZ0.4KV">#REF!</definedName>
    <definedName name="TIEU_HAO_VAT_TU_DZ22KV">#REF!</definedName>
    <definedName name="TIEU_HAO_VAT_TU_TBA">#REF!</definedName>
    <definedName name="TileStone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nh">#REF!</definedName>
    <definedName name="tinhqd">#REF!</definedName>
    <definedName name="TIT">#REF!</definedName>
    <definedName name="TITAN">#REF!</definedName>
    <definedName name="TK">#REF!</definedName>
    <definedName name="TkCto">#REF!</definedName>
    <definedName name="TKP">#REF!</definedName>
    <definedName name="TL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">#REF!</definedName>
    <definedName name="Tle">#REF!</definedName>
    <definedName name="Tle_1">#REF!</definedName>
    <definedName name="tlon18">#REF!</definedName>
    <definedName name="TLR">#REF!</definedName>
    <definedName name="TLTT_UOT7">#REF!</definedName>
    <definedName name="TLV">100%</definedName>
    <definedName name="TLY">#REF!</definedName>
    <definedName name="TMDT1">#REF!</definedName>
    <definedName name="TMDT2">#REF!</definedName>
    <definedName name="TMDTmoi">#REF!</definedName>
    <definedName name="tmm1.5">#REF!</definedName>
    <definedName name="tmmg">#REF!</definedName>
    <definedName name="TMProtection">#REF!</definedName>
    <definedName name="TN">#REF!</definedName>
    <definedName name="tn1pinnc">#REF!</definedName>
    <definedName name="tn2mhnnc">#REF!</definedName>
    <definedName name="TNCM">#REF!</definedName>
    <definedName name="TNCTtinhtruoc">#REF!</definedName>
    <definedName name="tnignc">#REF!</definedName>
    <definedName name="tnin190nc">#REF!</definedName>
    <definedName name="tnlnc">#REF!</definedName>
    <definedName name="tnnnc">#REF!</definedName>
    <definedName name="TNNT">#REF!</definedName>
    <definedName name="tno">#REF!</definedName>
    <definedName name="tnhnnc">#REF!</definedName>
    <definedName name="tnho10">#REF!</definedName>
    <definedName name="tnho18">#REF!</definedName>
    <definedName name="toadocap">#REF!</definedName>
    <definedName name="ton">#REF!</definedName>
    <definedName name="Tonmai">#REF!</definedName>
    <definedName name="Tong">#REF!</definedName>
    <definedName name="TONG_GIA_TRI_CONG_TRINH">#REF!</definedName>
    <definedName name="TONG_HOP_THI_NGHIEM_DZ0.4KV">#REF!</definedName>
    <definedName name="TONG_HOP_THI_NGHIEM_DZ22KV">#REF!</definedName>
    <definedName name="TONG_KE_TBA">#REF!</definedName>
    <definedName name="tongdt">#REF!</definedName>
    <definedName name="Top">#REF!</definedName>
    <definedName name="totb">#REF!</definedName>
    <definedName name="totb1">#REF!</definedName>
    <definedName name="totb2">#REF!</definedName>
    <definedName name="totb3">#REF!</definedName>
    <definedName name="totb4">#REF!</definedName>
    <definedName name="totb5">#REF!</definedName>
    <definedName name="totb6">#REF!</definedName>
    <definedName name="totbtoi">#REF!</definedName>
    <definedName name="tp">#REF!</definedName>
    <definedName name="TPLRP">#REF!</definedName>
    <definedName name="ts">#REF!</definedName>
    <definedName name="tsI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i">#REF!</definedName>
    <definedName name="TTai1">#REF!</definedName>
    <definedName name="ttam">#REF!</definedName>
    <definedName name="ttbt">#REF!</definedName>
    <definedName name="TTCto">#REF!</definedName>
    <definedName name="TTDD">#REF!+#REF!+#REF!</definedName>
    <definedName name="TTDD1P">#REF!</definedName>
    <definedName name="TTDD3P">#REF!</definedName>
    <definedName name="ttdd3pct">#REF!</definedName>
    <definedName name="TTDDCT3p">#REF!</definedName>
    <definedName name="TTDKKH">#REF!</definedName>
    <definedName name="TTDZ">#REF!</definedName>
    <definedName name="TTDZ04">#REF!</definedName>
    <definedName name="TTK3p">#REF!</definedName>
    <definedName name="TTLo62">#REF!</definedName>
    <definedName name="tto">#REF!</definedName>
    <definedName name="ttoxtp">#REF!</definedName>
    <definedName name="ttpt">#REF!</definedName>
    <definedName name="ttt">#REF!</definedName>
    <definedName name="tttb">#REF!</definedName>
    <definedName name="TTTR">#REF!</definedName>
    <definedName name="tthi">#REF!</definedName>
    <definedName name="ttronmk">#REF!</definedName>
    <definedName name="Tuong_chan">#REF!</definedName>
    <definedName name="TuVan">#REF!</definedName>
    <definedName name="tuyennhanh" localSheetId="9" hidden="1">{"'Sheet1'!$L$16"}</definedName>
    <definedName name="tuyennhanh" localSheetId="3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1" hidden="1">{"'Sheet1'!$L$16"}</definedName>
    <definedName name="tuyennhanh" localSheetId="14" hidden="1">{"'Sheet1'!$L$16"}</definedName>
    <definedName name="tuyennhanh">{"'Sheet1'!$L$16"}</definedName>
    <definedName name="tuyequang">#REF!</definedName>
    <definedName name="tv75nc">#REF!</definedName>
    <definedName name="tv75vl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_gia">#REF!</definedName>
    <definedName name="ty_le">#REF!</definedName>
    <definedName name="Ty_Le_1">#REF!</definedName>
    <definedName name="ty_le_2">#REF!</definedName>
    <definedName name="ty_le_3">#REF!</definedName>
    <definedName name="ty_le_BTN">#REF!</definedName>
    <definedName name="Ty_le1">#REF!</definedName>
    <definedName name="TYT">BlankMacro1</definedName>
    <definedName name="th">#REF!</definedName>
    <definedName name="th3x15">#REF!</definedName>
    <definedName name="thai">#REF!</definedName>
    <definedName name="thang">#REF!</definedName>
    <definedName name="thanh" localSheetId="9" hidden="1">{"'Sheet1'!$L$16"}</definedName>
    <definedName name="thanh" localSheetId="3" hidden="1">{"'Sheet1'!$L$16"}</definedName>
    <definedName name="thanh" localSheetId="0" hidden="1">{"'Sheet1'!$L$16"}</definedName>
    <definedName name="thanh" localSheetId="15" hidden="1">{"'Sheet1'!$L$16"}</definedName>
    <definedName name="thanh" localSheetId="1" hidden="1">{"'Sheet1'!$L$16"}</definedName>
    <definedName name="thanh" localSheetId="14" hidden="1">{"'Sheet1'!$L$16"}</definedName>
    <definedName name="thanh">{"'Sheet1'!$L$16"}</definedName>
    <definedName name="Thanh_LC_tayvin">#REF!</definedName>
    <definedName name="THANHTIEN">#REF!</definedName>
    <definedName name="ThanhXuan110">#REF!</definedName>
    <definedName name="thdt">#REF!</definedName>
    <definedName name="THDT_CT_XOM_NOI">#REF!</definedName>
    <definedName name="THDT_HT_DAO_THUONG">#REF!</definedName>
    <definedName name="THDT_HT_XOM_NOI">#REF!</definedName>
    <definedName name="THDT_NPP_XOM_NOI">#REF!</definedName>
    <definedName name="THDT_TBA_XOM_NOI">#REF!</definedName>
    <definedName name="theodoicoc35">#REF!</definedName>
    <definedName name="Thep">#REF!</definedName>
    <definedName name="thep10">#REF!</definedName>
    <definedName name="thep18">#REF!</definedName>
    <definedName name="thep2025">#REF!</definedName>
    <definedName name="thep8">#REF!</definedName>
    <definedName name="thepA2">#REF!</definedName>
    <definedName name="thepban">#REF!</definedName>
    <definedName name="thepbuoc">#REF!</definedName>
    <definedName name="thepcdc">#REF!</definedName>
    <definedName name="ThepDet32x3">#REF!</definedName>
    <definedName name="ThepDet35x3">#REF!</definedName>
    <definedName name="ThepDet40x4">#REF!</definedName>
    <definedName name="ThepDet45x4">#REF!</definedName>
    <definedName name="ThepDet50x5">#REF!</definedName>
    <definedName name="ThepDet63x6">#REF!</definedName>
    <definedName name="ThepDet75x6">#REF!</definedName>
    <definedName name="thepDet75x7">#REF!</definedName>
    <definedName name="ThepGoc32x32x3">#REF!</definedName>
    <definedName name="ThepGoc35x35x3">#REF!</definedName>
    <definedName name="ThepGoc40x40x4">#REF!</definedName>
    <definedName name="ThepGoc45x45x4">#REF!</definedName>
    <definedName name="ThepGoc50x50x5">#REF!</definedName>
    <definedName name="ThepGoc63x63x6">#REF!</definedName>
    <definedName name="ThepGoc75x6">#REF!</definedName>
    <definedName name="ThepGoc75x75x6">#REF!</definedName>
    <definedName name="thepluoi">#REF!</definedName>
    <definedName name="thepma">10500</definedName>
    <definedName name="thepmakem">#REF!</definedName>
    <definedName name="theptam">#REF!</definedName>
    <definedName name="theptb">#REF!</definedName>
    <definedName name="theptron1">#REF!</definedName>
    <definedName name="theptronc2">#REF!</definedName>
    <definedName name="ThepTronD10D18">#REF!</definedName>
    <definedName name="ThepTronD6D8">#REF!</definedName>
    <definedName name="thepU">#REF!</definedName>
    <definedName name="thepxa">#REF!</definedName>
    <definedName name="thephinh">#REF!</definedName>
    <definedName name="THGO1pnc">#REF!</definedName>
    <definedName name="thht">#REF!</definedName>
    <definedName name="THI">#REF!</definedName>
    <definedName name="THIETBI">#REF!</definedName>
    <definedName name="thinh">#REF!</definedName>
    <definedName name="THK">#REF!</definedName>
    <definedName name="THKP160">#REF!</definedName>
    <definedName name="thkp3">#REF!</definedName>
    <definedName name="ThongKeCau">#REF!</definedName>
    <definedName name="THop2">#REF!</definedName>
    <definedName name="THopTBA">#REF!</definedName>
    <definedName name="THTLMcap">#REF!</definedName>
    <definedName name="thtt">#REF!</definedName>
    <definedName name="thtr15">#REF!</definedName>
    <definedName name="THU">#REF!</definedName>
    <definedName name="thucthanh">#REF!</definedName>
    <definedName name="thue">#REF!</definedName>
    <definedName name="Thuong22BDH">#REF!</definedName>
    <definedName name="Thuong22CNN">#REF!</definedName>
    <definedName name="Thuong22N2">#REF!</definedName>
    <definedName name="ThuongNII30">#REF!</definedName>
    <definedName name="THUYETMINH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M_su_dung_cau">#REF!</definedName>
    <definedName name="tra_don_gia">#REF!</definedName>
    <definedName name="Tra_don_gia_KS">#REF!</definedName>
    <definedName name="Tra_DTCT">#REF!</definedName>
    <definedName name="Tra_GTXLST">#REF!</definedName>
    <definedName name="Tra_gia">#REF!</definedName>
    <definedName name="Tra_gia_KS">#REF!</definedName>
    <definedName name="Tra_gia_VLKS">#REF!</definedName>
    <definedName name="Tra_phan_tram">#REF!</definedName>
    <definedName name="Tra_T_le_1">#REF!</definedName>
    <definedName name="Tra_tim_hang_mucPT_trung">#REF!</definedName>
    <definedName name="Tra_TL">#REF!</definedName>
    <definedName name="Tra_TT">#REF!</definedName>
    <definedName name="Tra_ty_le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b">#REF!</definedName>
    <definedName name="Tracp">#REF!</definedName>
    <definedName name="TraDAH_H">#REF!</definedName>
    <definedName name="TRADE2">#REF!</definedName>
    <definedName name="tram">#REF!</definedName>
    <definedName name="tram100">#REF!</definedName>
    <definedName name="tram1x25">#REF!</definedName>
    <definedName name="tram20">#REF!</definedName>
    <definedName name="tram22">#REF!</definedName>
    <definedName name="TRANSFORMER">#REF!</definedName>
    <definedName name="TraQ">#REF!</definedName>
    <definedName name="TraTH">#REF!</definedName>
    <definedName name="Trave">#REF!</definedName>
    <definedName name="TRAvH">#REF!</definedName>
    <definedName name="TRAVL">#REF!</definedName>
    <definedName name="TrÇn_V_n_Hanh">#REF!</definedName>
    <definedName name="tron250">#REF!</definedName>
    <definedName name="tronasp">#REF!</definedName>
    <definedName name="tronbt">#REF!</definedName>
    <definedName name="TronD10D18">#REF!</definedName>
    <definedName name="TronD6D8">#REF!</definedName>
    <definedName name="tronv80">#REF!</definedName>
    <definedName name="trt">#REF!</definedName>
    <definedName name="tru_can">#REF!</definedName>
    <definedName name="tru10mtc">#REF!</definedName>
    <definedName name="Tru4_Bdien">#REF!</definedName>
    <definedName name="tru8mtc">#REF!</definedName>
    <definedName name="trung">{"Thuxm2.xls","Sheet1"}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u">#N/A</definedName>
    <definedName name="unitt">BlankMacro1</definedName>
    <definedName name="UNL">#REF!</definedName>
    <definedName name="UNG">#REF!</definedName>
    <definedName name="UNGII">#REF!</definedName>
    <definedName name="UNGIII">#REF!</definedName>
    <definedName name="upnoc">#REF!</definedName>
    <definedName name="USCT">#REF!</definedName>
    <definedName name="USCTKU">#REF!</definedName>
    <definedName name="USKC">#REF!</definedName>
    <definedName name="USNC">#REF!</definedName>
    <definedName name="uu">#REF!</definedName>
    <definedName name="v">#REF!</definedName>
    <definedName name="V.">#REF!</definedName>
    <definedName name="V.1">#REF!</definedName>
    <definedName name="V.10">#REF!</definedName>
    <definedName name="V.11">#REF!</definedName>
    <definedName name="V.12">#REF!</definedName>
    <definedName name="V.13">#REF!</definedName>
    <definedName name="V.14">#REF!</definedName>
    <definedName name="V.15">#REF!</definedName>
    <definedName name="V.16">#REF!</definedName>
    <definedName name="V.17">#REF!</definedName>
    <definedName name="V.18">#REF!</definedName>
    <definedName name="V.2">#REF!</definedName>
    <definedName name="V.3">#REF!</definedName>
    <definedName name="V.4">#REF!</definedName>
    <definedName name="V.5">#REF!</definedName>
    <definedName name="V.6">#REF!</definedName>
    <definedName name="V.7">#REF!</definedName>
    <definedName name="V.8">#REF!</definedName>
    <definedName name="V.9">#REF!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i_ni_l_ng">#REF!</definedName>
    <definedName name="V_n_phßng_c_ng_ty">#REF!</definedName>
    <definedName name="v100v">#REF!</definedName>
    <definedName name="v75d">#REF!</definedName>
    <definedName name="VA">#REF!</definedName>
    <definedName name="VAÄT_LIEÄU">"nhandongia"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N">#REF!</definedName>
    <definedName name="VAN_CHUYEN_DUONG_DAI_DZ0.4KV">#REF!</definedName>
    <definedName name="VAN_CHUYEN_DUONG_DAI_DZ22KV">#REF!</definedName>
    <definedName name="VAN_CHUYEN_VAT_TU_CHUNG">#REF!</definedName>
    <definedName name="VAN_TRUNG_CHUYEN_VAT_TU_CHUNG">#REF!</definedName>
    <definedName name="vanchuyencoc">#REF!</definedName>
    <definedName name="vankhuon">#REF!</definedName>
    <definedName name="Vanphong">#REF!</definedName>
    <definedName name="VaoCtyNIITH">#REF!</definedName>
    <definedName name="VaoctrNIITH">#REF!</definedName>
    <definedName name="VARIINST">#REF!</definedName>
    <definedName name="VARIPURC">#REF!</definedName>
    <definedName name="VAT">#REF!</definedName>
    <definedName name="VAT_LIEU_DEN_CHAN_CONG_TRINH">#REF!</definedName>
    <definedName name="VATM" localSheetId="9" hidden="1">{"'Sheet1'!$L$16"}</definedName>
    <definedName name="VATM" localSheetId="3" hidden="1">{"'Sheet1'!$L$16"}</definedName>
    <definedName name="VATM" localSheetId="0" hidden="1">{"'Sheet1'!$L$16"}</definedName>
    <definedName name="VATM" localSheetId="15" hidden="1">{"'Sheet1'!$L$16"}</definedName>
    <definedName name="VATM" localSheetId="1" hidden="1">{"'Sheet1'!$L$16"}</definedName>
    <definedName name="VATM" localSheetId="14" hidden="1">{"'Sheet1'!$L$16"}</definedName>
    <definedName name="VATM">{"'Sheet1'!$L$16"}</definedName>
    <definedName name="vb1215vd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#REF!</definedName>
    <definedName name="vca">#REF!</definedName>
    <definedName name="VCC">#REF!</definedName>
    <definedName name="vccat">#REF!</definedName>
    <definedName name="vccat0.4">#REF!</definedName>
    <definedName name="vccot">#REF!</definedName>
    <definedName name="vccot.">#REF!</definedName>
    <definedName name="vccot0.4">#REF!</definedName>
    <definedName name="vccot35">#REF!</definedName>
    <definedName name="VCD">#REF!</definedName>
    <definedName name="vcda">#REF!</definedName>
    <definedName name="vcda0.4">#REF!</definedName>
    <definedName name="vcday">#REF!</definedName>
    <definedName name="vcdbt">#REF!</definedName>
    <definedName name="vcdc">#REF!</definedName>
    <definedName name="vcdc.">#REF!</definedName>
    <definedName name="VCDC400">#REF!</definedName>
    <definedName name="vcdd">#REF!</definedName>
    <definedName name="VCDD3p">#REF!</definedName>
    <definedName name="vcdt">#REF!</definedName>
    <definedName name="vcdtb">#REF!</definedName>
    <definedName name="vcdungcu">#REF!</definedName>
    <definedName name="vcdungcu0.4">#REF!</definedName>
    <definedName name="vcdungcu35">#REF!</definedName>
    <definedName name="vcgo">#REF!</definedName>
    <definedName name="vcgo0.4">#REF!</definedName>
    <definedName name="Vci">#REF!</definedName>
    <definedName name="vcnuoc">#REF!</definedName>
    <definedName name="vcnuoc0.4">#REF!</definedName>
    <definedName name="vcphukien">#REF!</definedName>
    <definedName name="VCS">#REF!</definedName>
    <definedName name="vcsat0.4">#REF!</definedName>
    <definedName name="vcsat35">#REF!</definedName>
    <definedName name="vcsu">#REF!</definedName>
    <definedName name="vct">#REF!</definedName>
    <definedName name="vctb">#REF!</definedName>
    <definedName name="VCTT">#REF!</definedName>
    <definedName name="vctre">#REF!</definedName>
    <definedName name="VCVBT1">#REF!</definedName>
    <definedName name="VCVBT2">#REF!</definedName>
    <definedName name="Vcw">#REF!</definedName>
    <definedName name="vcxa">#REF!</definedName>
    <definedName name="vcxm">#REF!</definedName>
    <definedName name="vcxm0.4">#REF!</definedName>
    <definedName name="VCHT">#REF!</definedName>
    <definedName name="VD">#REF!</definedName>
    <definedName name="vd3p">#REF!</definedName>
    <definedName name="VDCLY">#REF!</definedName>
    <definedName name="vdkt">#REF!</definedName>
    <definedName name="Vf">#REF!</definedName>
    <definedName name="vgho">{"'Sheet1'!$L$16"}</definedName>
    <definedName name="Vi">#REF!</definedName>
    <definedName name="Vietri">#REF!</definedName>
    <definedName name="VIEW">#REF!</definedName>
    <definedName name="vk">#REF!</definedName>
    <definedName name="vkcauthang">#REF!</definedName>
    <definedName name="vksan">#REF!</definedName>
    <definedName name="vl">#REF!</definedName>
    <definedName name="VL_cau">#REF!</definedName>
    <definedName name="VL_CSC">#REF!</definedName>
    <definedName name="VL_CSCT">#REF!</definedName>
    <definedName name="VL_CTXD">#REF!</definedName>
    <definedName name="VL_RD">#REF!</definedName>
    <definedName name="VL_TD">#REF!</definedName>
    <definedName name="vl1p">#REF!</definedName>
    <definedName name="vl3p">#REF!</definedName>
    <definedName name="vlc">#REF!</definedName>
    <definedName name="Vlcap0.7">#REF!</definedName>
    <definedName name="VLcap1">#REF!</definedName>
    <definedName name="vlcau">#REF!</definedName>
    <definedName name="vlctbb">#REF!</definedName>
    <definedName name="vld">#REF!</definedName>
    <definedName name="vldd">#REF!</definedName>
    <definedName name="vldg">#REF!</definedName>
    <definedName name="vldn400">#REF!</definedName>
    <definedName name="vldn600">#REF!</definedName>
    <definedName name="VLHC">#REF!</definedName>
    <definedName name="VLIEU">#REF!</definedName>
    <definedName name="VLM">#REF!</definedName>
    <definedName name="vlp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n1.">#REF!</definedName>
    <definedName name="vn2.">#REF!</definedName>
    <definedName name="VND">#REF!</definedName>
    <definedName name="voi">#REF!</definedName>
    <definedName name="Von_dau_tu_thuan">#REF!</definedName>
    <definedName name="Vp">#REF!</definedName>
    <definedName name="Vr">#REF!</definedName>
    <definedName name="vr3p">#REF!</definedName>
    <definedName name="Vs">#REF!</definedName>
    <definedName name="VT">#REF!</definedName>
    <definedName name="vt0.8">#REF!</definedName>
    <definedName name="vt1pbs">#REF!</definedName>
    <definedName name="vtbs">#REF!</definedName>
    <definedName name="Vu">#REF!</definedName>
    <definedName name="Vu_">#REF!</definedName>
    <definedName name="vua_75">#REF!</definedName>
    <definedName name="vung">#REF!</definedName>
    <definedName name="vv">#REF!</definedName>
    <definedName name="vvv">#REF!</definedName>
    <definedName name="VX">#REF!</definedName>
    <definedName name="vxuan">#REF!</definedName>
    <definedName name="W">#REF!</definedName>
    <definedName name="Wgct">#REF!</definedName>
    <definedName name="Wgkt">#REF!</definedName>
    <definedName name="WIRE1">5</definedName>
    <definedName name="wl">#REF!</definedName>
    <definedName name="wrn.chi._.tiÆt." localSheetId="9" hidden="1">{#N/A,#N/A,FALSE,"Chi tiÆt"}</definedName>
    <definedName name="wrn.chi._.tiÆt." localSheetId="3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" hidden="1">{#N/A,#N/A,FALSE,"Chi tiÆt"}</definedName>
    <definedName name="wrn.chi._.tiÆt." localSheetId="14" hidden="1">{#N/A,#N/A,FALSE,"Chi tiÆt"}</definedName>
    <definedName name="wrn.chi._.tiÆt." localSheetId="10" hidden="1">{#N/A,#N/A,FALSE,"Chi tiÆt"}</definedName>
    <definedName name="wrn.chi._.tiÆt.">{#N/A,#N/A,FALSE,"Chi tiÆt"}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>{"Offgrid",#N/A,FALSE,"OFFGRID";"Region",#N/A,FALSE,"REGION";"Offgrid -2",#N/A,FALSE,"OFFGRID";"WTP",#N/A,FALSE,"WTP";"WTP -2",#N/A,FALSE,"WTP";"Project",#N/A,FALSE,"PROJECT";"Summary -2",#N/A,FALSE,"SUMMARY"}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>{"Offgrid",#N/A,FALSE,"OFFGRID";"Region",#N/A,FALSE,"REGION";"Offgrid -2",#N/A,FALSE,"OFFGRID";"WTP",#N/A,FALSE,"WTP";"WTP -2",#N/A,FALSE,"WTP";"Project",#N/A,FALSE,"PROJECT";"Summary -2",#N/A,FALSE,"SUMMARY"}</definedName>
    <definedName name="Ws">#REF!</definedName>
    <definedName name="WSD">#REF!</definedName>
    <definedName name="WSDS">#REF!</definedName>
    <definedName name="Wss">#REF!</definedName>
    <definedName name="Wst">#REF!</definedName>
    <definedName name="wt">#REF!</definedName>
    <definedName name="x">#REF!</definedName>
    <definedName name="x_list">#REF!</definedName>
    <definedName name="X_ng">#REF!</definedName>
    <definedName name="X0.4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t">#REF!</definedName>
    <definedName name="x1pintnc">#REF!</definedName>
    <definedName name="X1pINTvc">#REF!</definedName>
    <definedName name="x1pintvl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ang">#REF!</definedName>
    <definedName name="xat">#REF!</definedName>
    <definedName name="xaydung">#REF!</definedName>
    <definedName name="xbt">#REF!</definedName>
    <definedName name="xc">#REF!</definedName>
    <definedName name="XCCT">0.5</definedName>
    <definedName name="xcp">#REF!</definedName>
    <definedName name="xct">#REF!</definedName>
    <definedName name="xd0.6">#REF!</definedName>
    <definedName name="xd1.3">#REF!</definedName>
    <definedName name="xd1.5">#REF!</definedName>
    <definedName name="XDCBT10" localSheetId="0">{"Book1","Bang chia luong.xls"}</definedName>
    <definedName name="XDCBT10">{"Book1","Bang chia luong.xls"}</definedName>
    <definedName name="xdra">#REF!</definedName>
    <definedName name="xdsnc">#REF!</definedName>
    <definedName name="xdsvl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c100">#REF!</definedName>
    <definedName name="xgc150">#REF!</definedName>
    <definedName name="xgc200">#REF!</definedName>
    <definedName name="xh">#REF!</definedName>
    <definedName name="xhn">#REF!</definedName>
    <definedName name="xhnnc">#REF!</definedName>
    <definedName name="xhnvl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200">#REF!</definedName>
    <definedName name="Xim_ng_PC40">#REF!</definedName>
    <definedName name="ximang">#REF!,#REF!,#REF!,#REF!,#REF!</definedName>
    <definedName name="XiMangPCB30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k">#REF!</definedName>
    <definedName name="xk0.6">#REF!</definedName>
    <definedName name="xk1.3">#REF!</definedName>
    <definedName name="xk1.5">#REF!</definedName>
    <definedName name="xl">#REF!</definedName>
    <definedName name="XLAVuong">#REF!</definedName>
    <definedName name="xlc">#REF!</definedName>
    <definedName name="xld1.4">#REF!</definedName>
    <definedName name="xlk">#REF!</definedName>
    <definedName name="xlk1.4">#REF!</definedName>
    <definedName name="XLP">#REF!</definedName>
    <definedName name="xm">#REF!</definedName>
    <definedName name="XMAX">#REF!</definedName>
    <definedName name="xmcax">#REF!</definedName>
    <definedName name="XMIN">#REF!</definedName>
    <definedName name="xmpc30">#REF!</definedName>
    <definedName name="XmT5" localSheetId="9" hidden="1">{"'Sheet1'!$L$16"}</definedName>
    <definedName name="XmT5" localSheetId="3" hidden="1">{"'Sheet1'!$L$16"}</definedName>
    <definedName name="XmT5" localSheetId="0" hidden="1">{"'Sheet1'!$L$16"}</definedName>
    <definedName name="XmT5" localSheetId="15" hidden="1">{"'Sheet1'!$L$16"}</definedName>
    <definedName name="XmT5" localSheetId="1" hidden="1">{"'Sheet1'!$L$16"}</definedName>
    <definedName name="XmT5" localSheetId="14" hidden="1">{"'Sheet1'!$L$16"}</definedName>
    <definedName name="XmT5">{"'Sheet1'!$L$16"}</definedName>
    <definedName name="xn">#REF!</definedName>
    <definedName name="XNDandung">#REF!</definedName>
    <definedName name="XNKSTK">#REF!</definedName>
    <definedName name="XNNo">#REF!</definedName>
    <definedName name="XNNgam">#REF!</definedName>
    <definedName name="XNP.Bac">#REF!</definedName>
    <definedName name="XNphiaNam">#REF!</definedName>
    <definedName name="XNSanDuongCang">#REF!</definedName>
    <definedName name="xp">#REF!</definedName>
    <definedName name="xr1nc">#REF!</definedName>
    <definedName name="xr1vl">#REF!</definedName>
    <definedName name="xtr3pnc">#REF!</definedName>
    <definedName name="xtr3pvl">#REF!</definedName>
    <definedName name="xuat_hien">#REF!</definedName>
    <definedName name="Xuat_hien1">#REF!</definedName>
    <definedName name="xuc0.6">#REF!</definedName>
    <definedName name="xuc1.25">#REF!</definedName>
    <definedName name="xx">#REF!</definedName>
    <definedName name="XÝnghiÖp25_3">#REF!</definedName>
    <definedName name="y">#REF!</definedName>
    <definedName name="y_list">#REF!</definedName>
    <definedName name="ycp">#REF!</definedName>
    <definedName name="yhk10a">#REF!</definedName>
    <definedName name="yhk3a">#REF!</definedName>
    <definedName name="YMAX">#REF!</definedName>
    <definedName name="YMIN">#REF!</definedName>
    <definedName name="YR0">#REF!</definedName>
    <definedName name="YRP">#REF!</definedName>
    <definedName name="ytddg">#REF!</definedName>
    <definedName name="Ythd1.5">#REF!</definedName>
    <definedName name="ythdg">#REF!</definedName>
    <definedName name="Ythdgoi">#REF!</definedName>
    <definedName name="z">#REF!</definedName>
    <definedName name="Z_">#REF!</definedName>
    <definedName name="Z_dh">#REF!</definedName>
    <definedName name="Zip">#REF!</definedName>
    <definedName name="zKm2">{"'Sheet1'!$L$16"}</definedName>
    <definedName name="zl">#REF!</definedName>
    <definedName name="Ztl">#REF!</definedName>
    <definedName name="Zw">#REF!</definedName>
    <definedName name="ZYX">#REF!</definedName>
    <definedName name="ZZZ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피팅">BlankMacro1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11" l="1"/>
  <c r="D11" i="211"/>
  <c r="E11" i="211"/>
  <c r="D12" i="211"/>
  <c r="E12" i="211"/>
  <c r="E13" i="211"/>
  <c r="E14" i="211"/>
  <c r="I12" i="212"/>
  <c r="I11" i="212" s="1"/>
  <c r="J12" i="212"/>
  <c r="J11" i="212" s="1"/>
  <c r="K12" i="212"/>
  <c r="K11" i="212" s="1"/>
  <c r="L12" i="212"/>
  <c r="L11" i="212" s="1"/>
  <c r="M12" i="212"/>
  <c r="M11" i="212" s="1"/>
  <c r="N12" i="212"/>
  <c r="N11" i="212" s="1"/>
  <c r="I13" i="212"/>
  <c r="J13" i="212"/>
  <c r="K13" i="212"/>
  <c r="L13" i="212"/>
  <c r="M13" i="212"/>
  <c r="N13" i="212"/>
  <c r="I14" i="212"/>
  <c r="J14" i="212"/>
  <c r="K14" i="212"/>
  <c r="L14" i="212"/>
  <c r="M14" i="212"/>
  <c r="N14" i="212"/>
  <c r="I15" i="212"/>
  <c r="J15" i="212"/>
  <c r="K15" i="212"/>
  <c r="L15" i="212"/>
  <c r="M15" i="212"/>
  <c r="N15" i="212"/>
  <c r="I16" i="212"/>
  <c r="J16" i="212"/>
  <c r="K16" i="212"/>
  <c r="L16" i="212"/>
  <c r="M16" i="212"/>
  <c r="N16" i="212"/>
  <c r="I17" i="212"/>
  <c r="J17" i="212"/>
  <c r="K17" i="212"/>
  <c r="L17" i="212"/>
  <c r="M17" i="212"/>
  <c r="N17" i="212"/>
  <c r="I18" i="212"/>
  <c r="J18" i="212"/>
  <c r="K18" i="212"/>
  <c r="L18" i="212"/>
  <c r="M18" i="212"/>
  <c r="N18" i="212"/>
  <c r="I20" i="212"/>
  <c r="I19" i="212" s="1"/>
  <c r="J20" i="212"/>
  <c r="J19" i="212" s="1"/>
  <c r="K20" i="212"/>
  <c r="K19" i="212" s="1"/>
  <c r="L20" i="212"/>
  <c r="L19" i="212" s="1"/>
  <c r="M20" i="212"/>
  <c r="M19" i="212" s="1"/>
  <c r="N20" i="212"/>
  <c r="N19" i="212" s="1"/>
  <c r="I21" i="212"/>
  <c r="J21" i="212"/>
  <c r="K21" i="212"/>
  <c r="L21" i="212"/>
  <c r="M21" i="212"/>
  <c r="N21" i="212"/>
  <c r="I22" i="212"/>
  <c r="J22" i="212"/>
  <c r="K22" i="212"/>
  <c r="L22" i="212"/>
  <c r="M22" i="212"/>
  <c r="N22" i="212"/>
  <c r="I23" i="212"/>
  <c r="J23" i="212"/>
  <c r="K23" i="212"/>
  <c r="L23" i="212"/>
  <c r="M23" i="212"/>
  <c r="N23" i="212"/>
  <c r="I24" i="212"/>
  <c r="J24" i="212"/>
  <c r="K24" i="212"/>
  <c r="L24" i="212"/>
  <c r="M24" i="212"/>
  <c r="N24" i="212"/>
  <c r="I25" i="212"/>
  <c r="J25" i="212"/>
  <c r="K25" i="212"/>
  <c r="L25" i="212"/>
  <c r="M25" i="212"/>
  <c r="N25" i="212"/>
  <c r="J26" i="212"/>
  <c r="K26" i="212"/>
  <c r="M26" i="212"/>
  <c r="N26" i="212"/>
  <c r="B12" i="212"/>
  <c r="B13" i="212"/>
  <c r="D13" i="212"/>
  <c r="D12" i="212" s="1"/>
  <c r="B14" i="212"/>
  <c r="D14" i="212"/>
  <c r="D15" i="212"/>
  <c r="B17" i="212"/>
  <c r="D17" i="212"/>
  <c r="B18" i="212"/>
  <c r="D18" i="212"/>
  <c r="D20" i="212"/>
  <c r="D21" i="212"/>
  <c r="B23" i="212"/>
  <c r="D23" i="212"/>
  <c r="D22" i="212" s="1"/>
  <c r="B24" i="212"/>
  <c r="D24" i="212"/>
  <c r="B25" i="212"/>
  <c r="D25" i="212"/>
  <c r="A4" i="211"/>
  <c r="A5" i="211"/>
  <c r="A3" i="211"/>
  <c r="A13" i="230"/>
  <c r="A11" i="230"/>
  <c r="E18" i="230"/>
  <c r="H10" i="217"/>
  <c r="H9" i="217"/>
  <c r="J9" i="217" s="1"/>
  <c r="H8" i="217"/>
  <c r="J8" i="217" s="1"/>
  <c r="H7" i="217"/>
  <c r="W9" i="217"/>
  <c r="V9" i="217"/>
  <c r="T9" i="217"/>
  <c r="W8" i="217"/>
  <c r="V8" i="217"/>
  <c r="T8" i="217"/>
  <c r="W7" i="217"/>
  <c r="V7" i="217" s="1"/>
  <c r="T7" i="217"/>
  <c r="J7" i="217"/>
  <c r="N45" i="232"/>
  <c r="O45" i="232"/>
  <c r="M45" i="232" s="1"/>
  <c r="E30" i="216"/>
  <c r="E36" i="216" s="1"/>
  <c r="E19" i="211" l="1"/>
  <c r="E15" i="211"/>
  <c r="E16" i="211" s="1"/>
  <c r="I27" i="212"/>
  <c r="J27" i="212"/>
  <c r="K27" i="212"/>
  <c r="L27" i="212"/>
  <c r="M27" i="212"/>
  <c r="N27" i="212"/>
  <c r="A3" i="217"/>
  <c r="A3" i="218"/>
  <c r="A2" i="218"/>
  <c r="A2" i="217"/>
  <c r="M9" i="218"/>
  <c r="G8" i="218"/>
  <c r="H8" i="218" s="1"/>
  <c r="G7" i="218"/>
  <c r="J8" i="218"/>
  <c r="R8" i="218" s="1"/>
  <c r="E21" i="230"/>
  <c r="J10" i="217"/>
  <c r="D8" i="232"/>
  <c r="E8" i="232" s="1"/>
  <c r="F8" i="232" s="1"/>
  <c r="G8" i="232" s="1"/>
  <c r="H8" i="232" s="1"/>
  <c r="I8" i="232" s="1"/>
  <c r="J8" i="232" s="1"/>
  <c r="K8" i="232" s="1"/>
  <c r="L8" i="232" s="1"/>
  <c r="M8" i="232" s="1"/>
  <c r="N8" i="232" s="1"/>
  <c r="O8" i="232" s="1"/>
  <c r="P8" i="232" s="1"/>
  <c r="Q8" i="232" s="1"/>
  <c r="A22" i="211"/>
  <c r="A21" i="211"/>
  <c r="A20" i="211"/>
  <c r="A19" i="211"/>
  <c r="E19" i="230"/>
  <c r="Q21" i="230" a="1"/>
  <c r="T21" i="230" s="1"/>
  <c r="Q18" i="230" a="1"/>
  <c r="T18" i="230" s="1"/>
  <c r="P10" i="232"/>
  <c r="O10" i="232"/>
  <c r="K44" i="232"/>
  <c r="K43" i="232"/>
  <c r="K42" i="232"/>
  <c r="K41" i="232"/>
  <c r="K40" i="232"/>
  <c r="K39" i="232"/>
  <c r="K38" i="232"/>
  <c r="K37" i="232"/>
  <c r="K36" i="232"/>
  <c r="K35" i="232"/>
  <c r="K34" i="232"/>
  <c r="K33" i="232"/>
  <c r="K32" i="232"/>
  <c r="K31" i="232"/>
  <c r="K30" i="232"/>
  <c r="K29" i="232"/>
  <c r="K28" i="232"/>
  <c r="K27" i="232"/>
  <c r="K26" i="232"/>
  <c r="K25" i="232"/>
  <c r="K24" i="232"/>
  <c r="K23" i="232"/>
  <c r="K21" i="232"/>
  <c r="K20" i="232"/>
  <c r="K19" i="232"/>
  <c r="K18" i="232"/>
  <c r="K17" i="232"/>
  <c r="K16" i="232"/>
  <c r="K15" i="232"/>
  <c r="K14" i="232"/>
  <c r="K13" i="232"/>
  <c r="K12" i="232"/>
  <c r="K11" i="232"/>
  <c r="H44" i="232"/>
  <c r="H43" i="232"/>
  <c r="H42" i="232"/>
  <c r="H41" i="232"/>
  <c r="H40" i="232"/>
  <c r="H39" i="232"/>
  <c r="H38" i="232"/>
  <c r="H37" i="232"/>
  <c r="H36" i="232"/>
  <c r="H35" i="232"/>
  <c r="H34" i="232"/>
  <c r="H33" i="232"/>
  <c r="H32" i="232"/>
  <c r="H31" i="232"/>
  <c r="H30" i="232"/>
  <c r="H29" i="232"/>
  <c r="H28" i="232"/>
  <c r="H27" i="232"/>
  <c r="H26" i="232"/>
  <c r="H25" i="232"/>
  <c r="H24" i="232"/>
  <c r="H23" i="232"/>
  <c r="H21" i="232"/>
  <c r="H20" i="232"/>
  <c r="H19" i="232"/>
  <c r="H18" i="232"/>
  <c r="H17" i="232"/>
  <c r="H16" i="232"/>
  <c r="H15" i="232"/>
  <c r="H14" i="232"/>
  <c r="H13" i="232"/>
  <c r="H12" i="232"/>
  <c r="H11" i="232"/>
  <c r="H10" i="232"/>
  <c r="N10" i="232" s="1"/>
  <c r="F11" i="232"/>
  <c r="P11" i="232" s="1"/>
  <c r="F44" i="232"/>
  <c r="P44" i="232" s="1"/>
  <c r="F43" i="232"/>
  <c r="P43" i="232" s="1"/>
  <c r="F42" i="232"/>
  <c r="P42" i="232" s="1"/>
  <c r="F41" i="232"/>
  <c r="P41" i="232" s="1"/>
  <c r="F40" i="232"/>
  <c r="P40" i="232" s="1"/>
  <c r="F39" i="232"/>
  <c r="P39" i="232" s="1"/>
  <c r="F38" i="232"/>
  <c r="P38" i="232" s="1"/>
  <c r="F37" i="232"/>
  <c r="P37" i="232" s="1"/>
  <c r="F36" i="232"/>
  <c r="P36" i="232" s="1"/>
  <c r="F35" i="232"/>
  <c r="P35" i="232" s="1"/>
  <c r="F34" i="232"/>
  <c r="P34" i="232" s="1"/>
  <c r="F33" i="232"/>
  <c r="P33" i="232" s="1"/>
  <c r="F32" i="232"/>
  <c r="P32" i="232" s="1"/>
  <c r="F31" i="232"/>
  <c r="P31" i="232" s="1"/>
  <c r="F30" i="232"/>
  <c r="P30" i="232" s="1"/>
  <c r="F29" i="232"/>
  <c r="P29" i="232" s="1"/>
  <c r="F28" i="232"/>
  <c r="O28" i="232" s="1"/>
  <c r="F27" i="232"/>
  <c r="O27" i="232" s="1"/>
  <c r="F26" i="232"/>
  <c r="O26" i="232" s="1"/>
  <c r="F25" i="232"/>
  <c r="P25" i="232" s="1"/>
  <c r="F24" i="232"/>
  <c r="P24" i="232" s="1"/>
  <c r="F23" i="232"/>
  <c r="T47" i="232"/>
  <c r="A47" i="232"/>
  <c r="AC45" i="232"/>
  <c r="AB45" i="232"/>
  <c r="A45" i="232"/>
  <c r="AC44" i="232"/>
  <c r="AB44" i="232"/>
  <c r="A44" i="232"/>
  <c r="AC43" i="232"/>
  <c r="AB43" i="232"/>
  <c r="A43" i="232"/>
  <c r="AC42" i="232"/>
  <c r="AB42" i="232"/>
  <c r="A42" i="232"/>
  <c r="AC41" i="232"/>
  <c r="AB41" i="232"/>
  <c r="A41" i="232"/>
  <c r="AC40" i="232"/>
  <c r="AB40" i="232"/>
  <c r="A40" i="232"/>
  <c r="AC39" i="232"/>
  <c r="AB39" i="232"/>
  <c r="A39" i="232"/>
  <c r="AC38" i="232"/>
  <c r="AB38" i="232"/>
  <c r="A38" i="232"/>
  <c r="AC37" i="232"/>
  <c r="AB37" i="232"/>
  <c r="A37" i="232"/>
  <c r="AC36" i="232"/>
  <c r="AB36" i="232"/>
  <c r="A36" i="232"/>
  <c r="AC35" i="232"/>
  <c r="AB35" i="232"/>
  <c r="A35" i="232"/>
  <c r="AC34" i="232"/>
  <c r="AB34" i="232"/>
  <c r="A34" i="232"/>
  <c r="AC33" i="232"/>
  <c r="AB33" i="232"/>
  <c r="A33" i="232"/>
  <c r="AC32" i="232"/>
  <c r="AB32" i="232"/>
  <c r="A32" i="232"/>
  <c r="AC31" i="232"/>
  <c r="AB31" i="232"/>
  <c r="A31" i="232"/>
  <c r="AC30" i="232"/>
  <c r="AB30" i="232"/>
  <c r="A30" i="232"/>
  <c r="AC29" i="232"/>
  <c r="AB29" i="232"/>
  <c r="A29" i="232"/>
  <c r="AC28" i="232"/>
  <c r="AB28" i="232"/>
  <c r="A28" i="232"/>
  <c r="AC21" i="232"/>
  <c r="AB21" i="232"/>
  <c r="F21" i="232"/>
  <c r="P21" i="232" s="1"/>
  <c r="A21" i="232"/>
  <c r="AC20" i="232"/>
  <c r="AB20" i="232"/>
  <c r="F20" i="232"/>
  <c r="P20" i="232" s="1"/>
  <c r="A20" i="232"/>
  <c r="AC19" i="232"/>
  <c r="AB19" i="232"/>
  <c r="F19" i="232"/>
  <c r="P19" i="232" s="1"/>
  <c r="A19" i="232"/>
  <c r="AC18" i="232"/>
  <c r="AB18" i="232"/>
  <c r="F18" i="232"/>
  <c r="P18" i="232" s="1"/>
  <c r="A18" i="232"/>
  <c r="AC17" i="232"/>
  <c r="AB17" i="232"/>
  <c r="F17" i="232"/>
  <c r="P17" i="232" s="1"/>
  <c r="A17" i="232"/>
  <c r="AC16" i="232"/>
  <c r="AB16" i="232"/>
  <c r="F16" i="232"/>
  <c r="P16" i="232" s="1"/>
  <c r="A16" i="232"/>
  <c r="AC15" i="232"/>
  <c r="AB15" i="232"/>
  <c r="F15" i="232"/>
  <c r="P15" i="232" s="1"/>
  <c r="A15" i="232"/>
  <c r="AC14" i="232"/>
  <c r="AB14" i="232"/>
  <c r="F14" i="232"/>
  <c r="P14" i="232" s="1"/>
  <c r="A14" i="232"/>
  <c r="AC13" i="232"/>
  <c r="AB13" i="232"/>
  <c r="F13" i="232"/>
  <c r="P13" i="232" s="1"/>
  <c r="A13" i="232"/>
  <c r="AC12" i="232"/>
  <c r="AB12" i="232"/>
  <c r="F12" i="232"/>
  <c r="P12" i="232" s="1"/>
  <c r="A12" i="232"/>
  <c r="AC11" i="232"/>
  <c r="AB11" i="232"/>
  <c r="A11" i="232"/>
  <c r="AC10" i="232"/>
  <c r="AB10" i="232"/>
  <c r="A10" i="232"/>
  <c r="C11" i="232" a="1"/>
  <c r="E23" i="211" l="1"/>
  <c r="E22" i="211"/>
  <c r="E21" i="211"/>
  <c r="E20" i="211"/>
  <c r="E18" i="211"/>
  <c r="P23" i="232"/>
  <c r="O23" i="232"/>
  <c r="N38" i="232"/>
  <c r="P9" i="232"/>
  <c r="E20" i="230"/>
  <c r="E23" i="230" s="1"/>
  <c r="E22" i="230"/>
  <c r="M30" i="232"/>
  <c r="N34" i="232"/>
  <c r="O31" i="232"/>
  <c r="O35" i="232"/>
  <c r="O38" i="232"/>
  <c r="N21" i="232"/>
  <c r="N39" i="232"/>
  <c r="O39" i="232"/>
  <c r="E17" i="230"/>
  <c r="N40" i="232"/>
  <c r="P26" i="232"/>
  <c r="N13" i="232"/>
  <c r="P27" i="232"/>
  <c r="N15" i="232"/>
  <c r="N32" i="232"/>
  <c r="M10" i="232"/>
  <c r="P28" i="232"/>
  <c r="N26" i="232"/>
  <c r="N43" i="232"/>
  <c r="N29" i="232"/>
  <c r="N16" i="232"/>
  <c r="N33" i="232"/>
  <c r="O29" i="232"/>
  <c r="N31" i="232"/>
  <c r="N17" i="232"/>
  <c r="N28" i="232"/>
  <c r="N12" i="232"/>
  <c r="N14" i="232"/>
  <c r="N18" i="232"/>
  <c r="N35" i="232"/>
  <c r="N25" i="232"/>
  <c r="O25" i="232"/>
  <c r="M26" i="232"/>
  <c r="N30" i="232"/>
  <c r="N19" i="232"/>
  <c r="N36" i="232"/>
  <c r="O11" i="232"/>
  <c r="O30" i="232"/>
  <c r="N24" i="232"/>
  <c r="N41" i="232"/>
  <c r="M38" i="232"/>
  <c r="N42" i="232"/>
  <c r="N27" i="232"/>
  <c r="N44" i="232"/>
  <c r="N20" i="232"/>
  <c r="N37" i="232"/>
  <c r="O13" i="232"/>
  <c r="O17" i="232"/>
  <c r="O21" i="232"/>
  <c r="O33" i="232"/>
  <c r="O37" i="232"/>
  <c r="O41" i="232"/>
  <c r="M14" i="232"/>
  <c r="M18" i="232"/>
  <c r="M34" i="232"/>
  <c r="M42" i="232"/>
  <c r="O14" i="232"/>
  <c r="O18" i="232"/>
  <c r="O34" i="232"/>
  <c r="O42" i="232"/>
  <c r="M11" i="232"/>
  <c r="M15" i="232"/>
  <c r="M19" i="232"/>
  <c r="M23" i="232"/>
  <c r="M27" i="232"/>
  <c r="M31" i="232"/>
  <c r="M35" i="232"/>
  <c r="M39" i="232"/>
  <c r="M43" i="232"/>
  <c r="N11" i="232"/>
  <c r="N23" i="232"/>
  <c r="O15" i="232"/>
  <c r="O19" i="232"/>
  <c r="O43" i="232"/>
  <c r="M12" i="232"/>
  <c r="M16" i="232"/>
  <c r="M20" i="232"/>
  <c r="M24" i="232"/>
  <c r="M28" i="232"/>
  <c r="M32" i="232"/>
  <c r="M36" i="232"/>
  <c r="M40" i="232"/>
  <c r="M44" i="232"/>
  <c r="O12" i="232"/>
  <c r="O16" i="232"/>
  <c r="O20" i="232"/>
  <c r="O24" i="232"/>
  <c r="O32" i="232"/>
  <c r="O36" i="232"/>
  <c r="O40" i="232"/>
  <c r="O44" i="232"/>
  <c r="M13" i="232"/>
  <c r="M17" i="232"/>
  <c r="M21" i="232"/>
  <c r="M25" i="232"/>
  <c r="M29" i="232"/>
  <c r="M33" i="232"/>
  <c r="M37" i="232"/>
  <c r="M41" i="232"/>
  <c r="C12" i="232" a="1"/>
  <c r="E17" i="211" l="1"/>
  <c r="E24" i="211" s="1"/>
  <c r="P22" i="232"/>
  <c r="P47" i="232" s="1"/>
  <c r="C22" i="230" s="1"/>
  <c r="D22" i="230" s="1"/>
  <c r="F22" i="230" s="1"/>
  <c r="O22" i="232"/>
  <c r="N22" i="232"/>
  <c r="M22" i="232"/>
  <c r="M9" i="232"/>
  <c r="N9" i="232"/>
  <c r="O9" i="232"/>
  <c r="N17" i="230"/>
  <c r="C13" i="232" a="1"/>
  <c r="E25" i="211" l="1"/>
  <c r="E26" i="211" s="1"/>
  <c r="E27" i="211" s="1"/>
  <c r="O47" i="232"/>
  <c r="C21" i="230" s="1"/>
  <c r="D21" i="230" s="1"/>
  <c r="N47" i="232"/>
  <c r="C19" i="230" s="1"/>
  <c r="D19" i="230" s="1"/>
  <c r="F19" i="230" s="1"/>
  <c r="M47" i="232"/>
  <c r="C18" i="230" s="1"/>
  <c r="D18" i="230" s="1"/>
  <c r="C20" i="230"/>
  <c r="O21" i="230"/>
  <c r="R21" i="230" s="1"/>
  <c r="D20" i="230"/>
  <c r="F21" i="230"/>
  <c r="N20" i="230"/>
  <c r="C14" i="232" a="1"/>
  <c r="C17" i="230" l="1"/>
  <c r="C23" i="230" s="1"/>
  <c r="O18" i="230"/>
  <c r="R18" i="230" s="1"/>
  <c r="F18" i="230"/>
  <c r="D17" i="230"/>
  <c r="D23" i="230" s="1"/>
  <c r="F20" i="230"/>
  <c r="C15" i="232" a="1"/>
  <c r="F17" i="230" l="1"/>
  <c r="F23" i="230" s="1"/>
  <c r="U18" i="230" s="1"/>
  <c r="C16" i="232" a="1"/>
  <c r="C17" i="232" s="1" a="1"/>
  <c r="C18" i="232" s="1" a="1"/>
  <c r="C19" i="232" s="1" a="1"/>
  <c r="C20" i="232" s="1" a="1"/>
  <c r="C21" i="232" s="1" a="1"/>
  <c r="C23" i="232" s="1" a="1"/>
  <c r="C24" i="232" s="1" a="1"/>
  <c r="C25" i="232" s="1" a="1"/>
  <c r="C26" i="232" s="1" a="1"/>
  <c r="C27" i="232" s="1" a="1"/>
  <c r="C28" i="232" s="1" a="1"/>
  <c r="C29" i="232" s="1" a="1"/>
  <c r="C30" i="232" s="1" a="1"/>
  <c r="C31" i="232" s="1" a="1"/>
  <c r="C32" i="232" s="1" a="1"/>
  <c r="M145" i="213"/>
  <c r="M144" i="213"/>
  <c r="M142" i="213"/>
  <c r="M140" i="213"/>
  <c r="M139" i="213"/>
  <c r="M138" i="213"/>
  <c r="M137" i="213"/>
  <c r="M136" i="213"/>
  <c r="M135" i="213"/>
  <c r="M127" i="213"/>
  <c r="M126" i="213"/>
  <c r="M125" i="213"/>
  <c r="M124" i="213"/>
  <c r="M123" i="213"/>
  <c r="M122" i="213"/>
  <c r="M121" i="213"/>
  <c r="M120" i="213"/>
  <c r="M119" i="213"/>
  <c r="M118" i="213"/>
  <c r="M111" i="213"/>
  <c r="M110" i="213"/>
  <c r="M108" i="213"/>
  <c r="M106" i="213"/>
  <c r="M105" i="213"/>
  <c r="M104" i="213"/>
  <c r="M103" i="213"/>
  <c r="M93" i="213"/>
  <c r="M92" i="213"/>
  <c r="M91" i="213"/>
  <c r="M90" i="213"/>
  <c r="M89" i="213"/>
  <c r="M88" i="213"/>
  <c r="M87" i="213"/>
  <c r="M86" i="213"/>
  <c r="M85" i="213"/>
  <c r="M84" i="213"/>
  <c r="M75" i="213"/>
  <c r="M74" i="213"/>
  <c r="M72" i="213"/>
  <c r="M63" i="213"/>
  <c r="M62" i="213"/>
  <c r="M60" i="213"/>
  <c r="M58" i="213"/>
  <c r="M57" i="213"/>
  <c r="M56" i="213"/>
  <c r="M55" i="213"/>
  <c r="M54" i="213"/>
  <c r="M46" i="213"/>
  <c r="M45" i="213"/>
  <c r="M43" i="213"/>
  <c r="M41" i="213"/>
  <c r="M40" i="213"/>
  <c r="M39" i="213"/>
  <c r="M38" i="213"/>
  <c r="M37" i="213"/>
  <c r="M29" i="213"/>
  <c r="M28" i="213"/>
  <c r="M26" i="213"/>
  <c r="M24" i="213"/>
  <c r="M23" i="213"/>
  <c r="M22" i="213"/>
  <c r="M21" i="213"/>
  <c r="M20" i="213"/>
  <c r="M11" i="213"/>
  <c r="M10" i="213"/>
  <c r="M9" i="213"/>
  <c r="M8" i="213"/>
  <c r="M7" i="213"/>
  <c r="L138" i="214"/>
  <c r="L137" i="214"/>
  <c r="L136" i="214"/>
  <c r="L135" i="214"/>
  <c r="L134" i="214"/>
  <c r="L133" i="214"/>
  <c r="L132" i="214"/>
  <c r="L131" i="214"/>
  <c r="L130" i="214"/>
  <c r="L129" i="214"/>
  <c r="L128" i="214"/>
  <c r="L121" i="214"/>
  <c r="L120" i="214"/>
  <c r="L119" i="214"/>
  <c r="L118" i="214"/>
  <c r="L117" i="214"/>
  <c r="L116" i="214"/>
  <c r="L114" i="214"/>
  <c r="L112" i="214"/>
  <c r="L103" i="214"/>
  <c r="L102" i="214"/>
  <c r="L101" i="214"/>
  <c r="L100" i="214"/>
  <c r="L99" i="214"/>
  <c r="L98" i="214"/>
  <c r="L97" i="214"/>
  <c r="L96" i="214"/>
  <c r="L95" i="214"/>
  <c r="L94" i="214"/>
  <c r="L88" i="214"/>
  <c r="L87" i="214"/>
  <c r="L86" i="214"/>
  <c r="L85" i="214"/>
  <c r="L84" i="214"/>
  <c r="L83" i="214"/>
  <c r="L82" i="214"/>
  <c r="L81" i="214"/>
  <c r="L74" i="214"/>
  <c r="A58" i="214" s="1"/>
  <c r="L73" i="214"/>
  <c r="L72" i="214"/>
  <c r="L71" i="214"/>
  <c r="L70" i="214"/>
  <c r="L69" i="214"/>
  <c r="L68" i="214"/>
  <c r="L67" i="214"/>
  <c r="L66" i="214"/>
  <c r="L65" i="214"/>
  <c r="L64" i="214"/>
  <c r="L63" i="214"/>
  <c r="L57" i="214"/>
  <c r="A36" i="214" s="1"/>
  <c r="L56" i="214"/>
  <c r="L55" i="214"/>
  <c r="L54" i="214"/>
  <c r="L53" i="214"/>
  <c r="L52" i="214"/>
  <c r="L51" i="214"/>
  <c r="L50" i="214"/>
  <c r="L49" i="214"/>
  <c r="L48" i="214"/>
  <c r="L47" i="214"/>
  <c r="L46" i="214"/>
  <c r="L45" i="214"/>
  <c r="L44" i="214"/>
  <c r="L43" i="214"/>
  <c r="L42" i="214"/>
  <c r="L41" i="214"/>
  <c r="L34" i="214"/>
  <c r="L33" i="214"/>
  <c r="L32" i="214"/>
  <c r="L31" i="214"/>
  <c r="L30" i="214"/>
  <c r="L29" i="214"/>
  <c r="L28" i="214"/>
  <c r="L27" i="214"/>
  <c r="L26" i="214"/>
  <c r="L25" i="214"/>
  <c r="L24" i="214"/>
  <c r="L23" i="214"/>
  <c r="L22" i="214"/>
  <c r="L21" i="214"/>
  <c r="L20" i="214"/>
  <c r="L19" i="214"/>
  <c r="L18" i="214"/>
  <c r="L11" i="214"/>
  <c r="L10" i="214"/>
  <c r="L9" i="214"/>
  <c r="L8" i="214"/>
  <c r="L7" i="214"/>
  <c r="A6" i="212"/>
  <c r="P9" i="209"/>
  <c r="O9" i="209"/>
  <c r="O10" i="209" s="1"/>
  <c r="O11" i="209" s="1"/>
  <c r="O12" i="209" s="1"/>
  <c r="C5" i="215"/>
  <c r="S11" i="217"/>
  <c r="R11" i="217"/>
  <c r="Q11" i="217"/>
  <c r="P11" i="217"/>
  <c r="O11" i="217"/>
  <c r="N11" i="217"/>
  <c r="M11" i="217"/>
  <c r="L11" i="217"/>
  <c r="I11" i="217"/>
  <c r="J11" i="217"/>
  <c r="K11" i="217"/>
  <c r="L12" i="217" s="1"/>
  <c r="H11" i="217"/>
  <c r="G11" i="217"/>
  <c r="K127" i="214"/>
  <c r="K93" i="214"/>
  <c r="K80" i="214"/>
  <c r="K62" i="214"/>
  <c r="K40" i="214"/>
  <c r="K17" i="214"/>
  <c r="K6" i="213"/>
  <c r="K18" i="213"/>
  <c r="K69" i="213"/>
  <c r="K83" i="213"/>
  <c r="K101" i="213"/>
  <c r="K117" i="213"/>
  <c r="K133" i="213"/>
  <c r="P56" i="219"/>
  <c r="H45" i="219"/>
  <c r="H44" i="219"/>
  <c r="H43" i="219"/>
  <c r="A34" i="219"/>
  <c r="O31" i="219"/>
  <c r="O29" i="219"/>
  <c r="D29" i="219"/>
  <c r="N29" i="219" s="1"/>
  <c r="E27" i="219"/>
  <c r="H27" i="219" s="1"/>
  <c r="C26" i="219"/>
  <c r="B26" i="219"/>
  <c r="F26" i="219" s="1"/>
  <c r="C25" i="219"/>
  <c r="B25" i="219"/>
  <c r="F25" i="219" s="1"/>
  <c r="C24" i="219"/>
  <c r="B24" i="219"/>
  <c r="F24" i="219" s="1"/>
  <c r="C23" i="219"/>
  <c r="B23" i="219"/>
  <c r="F23" i="219" s="1"/>
  <c r="C22" i="219"/>
  <c r="B22" i="219"/>
  <c r="E22" i="219" s="1"/>
  <c r="C21" i="219"/>
  <c r="B21" i="219"/>
  <c r="F21" i="219" s="1"/>
  <c r="C20" i="219"/>
  <c r="B20" i="219"/>
  <c r="C19" i="219"/>
  <c r="B19" i="219"/>
  <c r="C18" i="219"/>
  <c r="B18" i="219"/>
  <c r="F18" i="219" s="1"/>
  <c r="C17" i="219"/>
  <c r="B17" i="219"/>
  <c r="C16" i="219"/>
  <c r="B16" i="219"/>
  <c r="C15" i="219"/>
  <c r="B15" i="219"/>
  <c r="F15" i="219" s="1"/>
  <c r="C14" i="219"/>
  <c r="B14" i="219"/>
  <c r="C13" i="219"/>
  <c r="B13" i="219"/>
  <c r="C12" i="219"/>
  <c r="B12" i="219"/>
  <c r="F12" i="219" s="1"/>
  <c r="C11" i="219"/>
  <c r="B11" i="219"/>
  <c r="F11" i="219" s="1"/>
  <c r="C10" i="219"/>
  <c r="B10" i="219"/>
  <c r="C9" i="219"/>
  <c r="B9" i="219"/>
  <c r="F9" i="219" s="1"/>
  <c r="C8" i="219"/>
  <c r="B8" i="219"/>
  <c r="F8" i="219" s="1"/>
  <c r="C7" i="219"/>
  <c r="B7" i="219"/>
  <c r="A7" i="219"/>
  <c r="A8" i="219" s="1"/>
  <c r="C6" i="219"/>
  <c r="B6" i="219"/>
  <c r="F6" i="219" s="1"/>
  <c r="N17" i="218"/>
  <c r="A12" i="218"/>
  <c r="N9" i="218"/>
  <c r="L9" i="218"/>
  <c r="K9" i="218"/>
  <c r="I9" i="218"/>
  <c r="J7" i="218"/>
  <c r="R7" i="218" s="1"/>
  <c r="R9" i="218" s="1"/>
  <c r="G9" i="218"/>
  <c r="C11" i="217"/>
  <c r="W10" i="217"/>
  <c r="V10" i="217" s="1"/>
  <c r="T10" i="217"/>
  <c r="A101" i="216"/>
  <c r="A100" i="216"/>
  <c r="A99" i="216"/>
  <c r="A98" i="216"/>
  <c r="A97" i="216"/>
  <c r="A96" i="216"/>
  <c r="A95" i="216"/>
  <c r="A94" i="216"/>
  <c r="A93" i="216"/>
  <c r="A92" i="216"/>
  <c r="A91" i="216"/>
  <c r="A90" i="216"/>
  <c r="A89" i="216"/>
  <c r="A88" i="216"/>
  <c r="A87" i="216"/>
  <c r="A86" i="216"/>
  <c r="A85" i="216"/>
  <c r="A84" i="216"/>
  <c r="A83" i="216"/>
  <c r="A82" i="216"/>
  <c r="A81" i="216"/>
  <c r="F75" i="216"/>
  <c r="F74" i="216"/>
  <c r="F73" i="216"/>
  <c r="A72" i="216"/>
  <c r="F70" i="216"/>
  <c r="F69" i="216"/>
  <c r="F68" i="216"/>
  <c r="A67" i="216"/>
  <c r="F65" i="216"/>
  <c r="F64" i="216"/>
  <c r="F63" i="216"/>
  <c r="A62" i="216"/>
  <c r="F60" i="216"/>
  <c r="F59" i="216"/>
  <c r="F58" i="216"/>
  <c r="F57" i="216"/>
  <c r="A56" i="216"/>
  <c r="F54" i="216"/>
  <c r="F53" i="216"/>
  <c r="F52" i="216"/>
  <c r="A51" i="216"/>
  <c r="F49" i="216"/>
  <c r="F48" i="216"/>
  <c r="F47" i="216"/>
  <c r="A46" i="216"/>
  <c r="F44" i="216"/>
  <c r="B44" i="216"/>
  <c r="B49" i="216" s="1"/>
  <c r="B54" i="216" s="1"/>
  <c r="B59" i="216" s="1"/>
  <c r="F43" i="216"/>
  <c r="F42" i="216"/>
  <c r="A41" i="216"/>
  <c r="F39" i="216"/>
  <c r="F38" i="216"/>
  <c r="F37" i="216"/>
  <c r="A35" i="216"/>
  <c r="B34" i="216"/>
  <c r="F33" i="216"/>
  <c r="F32" i="216"/>
  <c r="F31" i="216"/>
  <c r="F30" i="216"/>
  <c r="A29" i="216"/>
  <c r="F27" i="216"/>
  <c r="F26" i="216"/>
  <c r="F25" i="216"/>
  <c r="F24" i="216"/>
  <c r="A23" i="216"/>
  <c r="D18" i="216"/>
  <c r="D17" i="216"/>
  <c r="D16" i="216"/>
  <c r="F18" i="216" s="1"/>
  <c r="D14" i="216"/>
  <c r="D13" i="216"/>
  <c r="D12" i="216"/>
  <c r="F14" i="216" s="1"/>
  <c r="F10" i="216"/>
  <c r="D10" i="216"/>
  <c r="F9" i="216"/>
  <c r="D9" i="216"/>
  <c r="F8" i="216"/>
  <c r="G6" i="216"/>
  <c r="H10" i="215"/>
  <c r="H5" i="215"/>
  <c r="H6" i="215" s="1"/>
  <c r="H7" i="215" s="1"/>
  <c r="D5" i="215"/>
  <c r="D4" i="215"/>
  <c r="A4" i="215"/>
  <c r="A5" i="215" s="1"/>
  <c r="A6" i="215" s="1"/>
  <c r="A7" i="215" s="1"/>
  <c r="A8" i="215" s="1"/>
  <c r="A9" i="215" s="1"/>
  <c r="A10" i="215" s="1"/>
  <c r="A11" i="215" s="1"/>
  <c r="A12" i="215" s="1"/>
  <c r="D3" i="215"/>
  <c r="F1" i="215"/>
  <c r="A123" i="214"/>
  <c r="D137" i="214"/>
  <c r="D136" i="214"/>
  <c r="D135" i="214"/>
  <c r="D134" i="214"/>
  <c r="D133" i="214"/>
  <c r="D131" i="214"/>
  <c r="D129" i="214"/>
  <c r="E129" i="214"/>
  <c r="A106" i="214"/>
  <c r="D120" i="214"/>
  <c r="D119" i="214"/>
  <c r="D118" i="214"/>
  <c r="D117" i="214"/>
  <c r="D116" i="214"/>
  <c r="D114" i="214"/>
  <c r="D112" i="214"/>
  <c r="E112" i="214"/>
  <c r="A89" i="214"/>
  <c r="F103" i="214"/>
  <c r="D102" i="214"/>
  <c r="D101" i="214"/>
  <c r="D100" i="214"/>
  <c r="D99" i="214"/>
  <c r="D98" i="214"/>
  <c r="D96" i="214"/>
  <c r="A76" i="214"/>
  <c r="D87" i="214"/>
  <c r="D86" i="214"/>
  <c r="D85" i="214"/>
  <c r="D83" i="214"/>
  <c r="F81" i="214"/>
  <c r="F88" i="214" s="1"/>
  <c r="D73" i="214"/>
  <c r="D72" i="214"/>
  <c r="D70" i="214"/>
  <c r="K70" i="214" s="1"/>
  <c r="D68" i="214"/>
  <c r="E67" i="214"/>
  <c r="E66" i="214"/>
  <c r="E65" i="214"/>
  <c r="E64" i="214"/>
  <c r="D56" i="214"/>
  <c r="D55" i="214"/>
  <c r="D54" i="214"/>
  <c r="D53" i="214"/>
  <c r="D51" i="214"/>
  <c r="D49" i="214"/>
  <c r="E48" i="214"/>
  <c r="D48" i="214"/>
  <c r="D47" i="214"/>
  <c r="K47" i="214" s="1"/>
  <c r="E47" i="214"/>
  <c r="E46" i="214"/>
  <c r="D46" i="214"/>
  <c r="E45" i="214"/>
  <c r="E44" i="214"/>
  <c r="K43" i="214"/>
  <c r="E43" i="214"/>
  <c r="E42" i="214"/>
  <c r="K42" i="214"/>
  <c r="A13" i="214"/>
  <c r="D33" i="214"/>
  <c r="D32" i="214"/>
  <c r="D31" i="214"/>
  <c r="D30" i="214"/>
  <c r="D28" i="214"/>
  <c r="D26" i="214"/>
  <c r="E25" i="214"/>
  <c r="D25" i="214"/>
  <c r="D24" i="214"/>
  <c r="E24" i="214"/>
  <c r="D23" i="214"/>
  <c r="E23" i="214"/>
  <c r="E22" i="214"/>
  <c r="D22" i="214"/>
  <c r="E21" i="214"/>
  <c r="F21" i="214" s="1"/>
  <c r="E20" i="214"/>
  <c r="E19" i="214"/>
  <c r="H11" i="214"/>
  <c r="F11" i="214"/>
  <c r="D9" i="214"/>
  <c r="J9" i="214" s="1"/>
  <c r="K6" i="214"/>
  <c r="A2" i="214"/>
  <c r="A129" i="213"/>
  <c r="D144" i="213"/>
  <c r="D142" i="213"/>
  <c r="D140" i="213"/>
  <c r="D139" i="213"/>
  <c r="D138" i="213"/>
  <c r="D137" i="213"/>
  <c r="D136" i="213"/>
  <c r="D135" i="213"/>
  <c r="A113" i="213"/>
  <c r="D126" i="213"/>
  <c r="D124" i="213"/>
  <c r="D122" i="213"/>
  <c r="D121" i="213"/>
  <c r="D120" i="213"/>
  <c r="D119" i="213"/>
  <c r="D110" i="213"/>
  <c r="D108" i="213"/>
  <c r="D106" i="213"/>
  <c r="D105" i="213"/>
  <c r="D104" i="213"/>
  <c r="D103" i="213"/>
  <c r="D92" i="213"/>
  <c r="K92" i="213" s="1"/>
  <c r="D90" i="213"/>
  <c r="D88" i="213"/>
  <c r="D87" i="213"/>
  <c r="D86" i="213"/>
  <c r="D85" i="213"/>
  <c r="A65" i="213"/>
  <c r="F75" i="213"/>
  <c r="D74" i="213"/>
  <c r="K74" i="213" s="1"/>
  <c r="D72" i="213"/>
  <c r="A48" i="213"/>
  <c r="D62" i="213"/>
  <c r="J61" i="213"/>
  <c r="D60" i="213"/>
  <c r="J60" i="213" s="1"/>
  <c r="J59" i="213"/>
  <c r="D58" i="213"/>
  <c r="D57" i="213"/>
  <c r="J57" i="213" s="1"/>
  <c r="D56" i="213"/>
  <c r="J56" i="213" s="1"/>
  <c r="D55" i="213"/>
  <c r="J55" i="213" s="1"/>
  <c r="D54" i="213"/>
  <c r="J54" i="213" s="1"/>
  <c r="K52" i="213"/>
  <c r="A31" i="213"/>
  <c r="D45" i="213"/>
  <c r="J44" i="213"/>
  <c r="D43" i="213"/>
  <c r="J42" i="213"/>
  <c r="D41" i="213"/>
  <c r="D40" i="213"/>
  <c r="D39" i="213"/>
  <c r="D38" i="213"/>
  <c r="D37" i="213"/>
  <c r="K35" i="213"/>
  <c r="A14" i="213"/>
  <c r="D28" i="213"/>
  <c r="D26" i="213"/>
  <c r="D24" i="213"/>
  <c r="D23" i="213"/>
  <c r="D22" i="213"/>
  <c r="D21" i="213"/>
  <c r="D20" i="213"/>
  <c r="A2" i="213"/>
  <c r="H11" i="213"/>
  <c r="F11" i="213"/>
  <c r="D9" i="213"/>
  <c r="T13" i="212" a="1"/>
  <c r="S24" i="212" s="1"/>
  <c r="R13" i="212"/>
  <c r="Q13" i="212" s="1"/>
  <c r="P8" i="212"/>
  <c r="P10" i="212" s="1"/>
  <c r="A3" i="212"/>
  <c r="C22" i="211"/>
  <c r="C21" i="211"/>
  <c r="C20" i="211"/>
  <c r="C19" i="211"/>
  <c r="F2" i="210"/>
  <c r="F6" i="210" s="1"/>
  <c r="D2" i="210"/>
  <c r="D6" i="210" s="1"/>
  <c r="B46" i="209"/>
  <c r="H30" i="209"/>
  <c r="G30" i="209" s="1"/>
  <c r="J22" i="209"/>
  <c r="G48" i="208"/>
  <c r="I40" i="208"/>
  <c r="F40" i="208"/>
  <c r="I39" i="208"/>
  <c r="F39" i="208"/>
  <c r="S38" i="208"/>
  <c r="R38" i="208"/>
  <c r="I38" i="208"/>
  <c r="F38" i="208"/>
  <c r="F37" i="208"/>
  <c r="F36" i="208"/>
  <c r="S35" i="208"/>
  <c r="R35" i="208"/>
  <c r="F35" i="208"/>
  <c r="I33" i="208"/>
  <c r="F33" i="208"/>
  <c r="I32" i="208"/>
  <c r="F32" i="208"/>
  <c r="S31" i="208"/>
  <c r="R31" i="208"/>
  <c r="H31" i="208"/>
  <c r="G31" i="208"/>
  <c r="G27" i="208" s="1"/>
  <c r="F31" i="208"/>
  <c r="F27" i="208" s="1"/>
  <c r="G30" i="208"/>
  <c r="I30" i="208" s="1"/>
  <c r="I29" i="208"/>
  <c r="S28" i="208"/>
  <c r="R28" i="208"/>
  <c r="H28" i="208"/>
  <c r="I28" i="208" s="1"/>
  <c r="G26" i="208"/>
  <c r="I26" i="208" s="1"/>
  <c r="D26" i="208"/>
  <c r="F26" i="208" s="1"/>
  <c r="I25" i="208"/>
  <c r="F25" i="208"/>
  <c r="S24" i="208"/>
  <c r="R24" i="208"/>
  <c r="H24" i="208"/>
  <c r="I24" i="208" s="1"/>
  <c r="E24" i="208"/>
  <c r="F24" i="208" s="1"/>
  <c r="I22" i="208"/>
  <c r="F22" i="208"/>
  <c r="I21" i="208"/>
  <c r="I20" i="208" s="1"/>
  <c r="F21" i="208"/>
  <c r="H20" i="208"/>
  <c r="H19" i="208" s="1"/>
  <c r="G20" i="208"/>
  <c r="G23" i="208" s="1"/>
  <c r="I23" i="208" s="1"/>
  <c r="E20" i="208"/>
  <c r="E19" i="208" s="1"/>
  <c r="D20" i="208"/>
  <c r="D23" i="208" s="1"/>
  <c r="F23" i="208" s="1"/>
  <c r="S19" i="208"/>
  <c r="R19" i="208"/>
  <c r="G18" i="208"/>
  <c r="D18" i="208"/>
  <c r="D41" i="208" s="1"/>
  <c r="A32" i="213" a="1"/>
  <c r="A130" i="213" a="1"/>
  <c r="A114" i="213" a="1"/>
  <c r="A80" i="213" a="1"/>
  <c r="A77" i="214" a="1"/>
  <c r="A107" i="214" a="1"/>
  <c r="A3" i="214" a="1"/>
  <c r="A3" i="213" a="1"/>
  <c r="A124" i="214" a="1"/>
  <c r="A49" i="213" a="1"/>
  <c r="A15" i="213" a="1"/>
  <c r="A59" i="214" a="1"/>
  <c r="A66" i="213" a="1"/>
  <c r="A98" i="213" a="1"/>
  <c r="A14" i="214" a="1"/>
  <c r="A90" i="214" a="1"/>
  <c r="A37" i="214" a="1"/>
  <c r="E25" i="219"/>
  <c r="F20" i="214"/>
  <c r="E9" i="219"/>
  <c r="F66" i="214"/>
  <c r="F13" i="216"/>
  <c r="E15" i="219"/>
  <c r="H15" i="219" s="1"/>
  <c r="H27" i="208"/>
  <c r="F67" i="214"/>
  <c r="F16" i="216"/>
  <c r="E6" i="219"/>
  <c r="F17" i="216"/>
  <c r="B40" i="216"/>
  <c r="E22" i="213" s="1"/>
  <c r="F22" i="213" s="1"/>
  <c r="E12" i="219"/>
  <c r="H12" i="219" s="1"/>
  <c r="E18" i="219"/>
  <c r="E24" i="219"/>
  <c r="H24" i="219" s="1"/>
  <c r="F64" i="214"/>
  <c r="F48" i="214"/>
  <c r="F12" i="216"/>
  <c r="E21" i="219"/>
  <c r="H21" i="219" s="1"/>
  <c r="F34" i="208"/>
  <c r="F47" i="214"/>
  <c r="F44" i="214"/>
  <c r="H25" i="219"/>
  <c r="T11" i="217"/>
  <c r="K22" i="213"/>
  <c r="K9" i="213"/>
  <c r="K19" i="214"/>
  <c r="F19" i="214"/>
  <c r="K46" i="214"/>
  <c r="F46" i="214"/>
  <c r="K87" i="214"/>
  <c r="K100" i="214"/>
  <c r="K83" i="214"/>
  <c r="K96" i="214"/>
  <c r="K24" i="214"/>
  <c r="F24" i="214"/>
  <c r="F42" i="214"/>
  <c r="K20" i="213"/>
  <c r="K23" i="213"/>
  <c r="K25" i="214"/>
  <c r="F25" i="214"/>
  <c r="K72" i="214"/>
  <c r="K102" i="214"/>
  <c r="I31" i="208"/>
  <c r="I27" i="208" s="1"/>
  <c r="K21" i="213"/>
  <c r="J45" i="213"/>
  <c r="K45" i="213"/>
  <c r="K23" i="214"/>
  <c r="F23" i="214"/>
  <c r="F43" i="214"/>
  <c r="K51" i="214"/>
  <c r="F65" i="214"/>
  <c r="F45" i="214"/>
  <c r="K86" i="214"/>
  <c r="K101" i="214"/>
  <c r="E57" i="213"/>
  <c r="F57" i="213" s="1"/>
  <c r="E55" i="213"/>
  <c r="F55" i="213" s="1"/>
  <c r="E7" i="219"/>
  <c r="F7" i="219"/>
  <c r="H9" i="219"/>
  <c r="E11" i="219"/>
  <c r="H11" i="219" s="1"/>
  <c r="E14" i="219"/>
  <c r="E10" i="219"/>
  <c r="F10" i="219"/>
  <c r="E17" i="219"/>
  <c r="F20" i="208"/>
  <c r="K72" i="213"/>
  <c r="K20" i="214"/>
  <c r="K21" i="214"/>
  <c r="K28" i="214"/>
  <c r="K48" i="214"/>
  <c r="H6" i="219"/>
  <c r="H5" i="219" s="1"/>
  <c r="H42" i="219" s="1"/>
  <c r="E13" i="219"/>
  <c r="F13" i="219"/>
  <c r="F14" i="219"/>
  <c r="H18" i="219"/>
  <c r="F20" i="219"/>
  <c r="E20" i="219"/>
  <c r="K22" i="214"/>
  <c r="F22" i="214"/>
  <c r="K44" i="214"/>
  <c r="K98" i="214"/>
  <c r="E16" i="219"/>
  <c r="F16" i="219"/>
  <c r="F17" i="219"/>
  <c r="K45" i="214"/>
  <c r="K73" i="214"/>
  <c r="K85" i="214"/>
  <c r="K99" i="214"/>
  <c r="E8" i="219"/>
  <c r="H8" i="219" s="1"/>
  <c r="E19" i="219"/>
  <c r="F19" i="219"/>
  <c r="F36" i="216"/>
  <c r="F22" i="219"/>
  <c r="H22" i="219" s="1"/>
  <c r="E23" i="219"/>
  <c r="H23" i="219" s="1"/>
  <c r="E26" i="219"/>
  <c r="H26" i="219" s="1"/>
  <c r="A9" i="219"/>
  <c r="A10" i="219" s="1"/>
  <c r="A12" i="219" s="1"/>
  <c r="L10" i="218"/>
  <c r="P23" i="212"/>
  <c r="H7" i="218"/>
  <c r="H9" i="218" s="1"/>
  <c r="J9" i="218"/>
  <c r="F7" i="216"/>
  <c r="E55" i="216" s="1"/>
  <c r="F55" i="216" s="1"/>
  <c r="F51" i="216" s="1"/>
  <c r="F11" i="216"/>
  <c r="E45" i="216" s="1"/>
  <c r="F45" i="216" s="1"/>
  <c r="F41" i="216" s="1"/>
  <c r="C6" i="215"/>
  <c r="C7" i="215" s="1"/>
  <c r="C8" i="215" s="1"/>
  <c r="K116" i="214"/>
  <c r="K119" i="214"/>
  <c r="K131" i="214"/>
  <c r="K53" i="214"/>
  <c r="K56" i="214"/>
  <c r="F112" i="214"/>
  <c r="F121" i="214" s="1"/>
  <c r="K112" i="214"/>
  <c r="K117" i="214"/>
  <c r="K120" i="214"/>
  <c r="K54" i="214"/>
  <c r="K129" i="214"/>
  <c r="F129" i="214"/>
  <c r="F138" i="214" s="1"/>
  <c r="K114" i="214"/>
  <c r="K118" i="214"/>
  <c r="K55" i="214"/>
  <c r="K9" i="214"/>
  <c r="K30" i="214"/>
  <c r="K31" i="214"/>
  <c r="K32" i="214"/>
  <c r="K33" i="214"/>
  <c r="K133" i="214"/>
  <c r="K134" i="214"/>
  <c r="K135" i="214"/>
  <c r="K136" i="214"/>
  <c r="K137" i="214"/>
  <c r="K64" i="214"/>
  <c r="K65" i="214"/>
  <c r="K66" i="214"/>
  <c r="K67" i="214"/>
  <c r="K86" i="213"/>
  <c r="K110" i="213"/>
  <c r="K28" i="213"/>
  <c r="K38" i="213"/>
  <c r="J38" i="213"/>
  <c r="K126" i="213"/>
  <c r="K135" i="213"/>
  <c r="K138" i="213"/>
  <c r="K39" i="213"/>
  <c r="J39" i="213"/>
  <c r="K43" i="213"/>
  <c r="J43" i="213"/>
  <c r="K62" i="213"/>
  <c r="J62" i="213"/>
  <c r="K136" i="213"/>
  <c r="K139" i="213"/>
  <c r="K87" i="213"/>
  <c r="K120" i="213"/>
  <c r="K124" i="213"/>
  <c r="K90" i="213"/>
  <c r="K119" i="213"/>
  <c r="K26" i="213"/>
  <c r="K37" i="213"/>
  <c r="J37" i="213"/>
  <c r="K40" i="213"/>
  <c r="J40" i="213"/>
  <c r="K137" i="213"/>
  <c r="K85" i="213"/>
  <c r="K108" i="213"/>
  <c r="K121" i="213"/>
  <c r="K54" i="213"/>
  <c r="K55" i="213"/>
  <c r="K56" i="213"/>
  <c r="K57" i="213"/>
  <c r="K60" i="213"/>
  <c r="K103" i="213"/>
  <c r="K104" i="213"/>
  <c r="K105" i="213"/>
  <c r="K142" i="213"/>
  <c r="K144" i="213"/>
  <c r="S17" i="212"/>
  <c r="S14" i="212"/>
  <c r="S23" i="212"/>
  <c r="S18" i="212"/>
  <c r="S25" i="212"/>
  <c r="P25" i="212"/>
  <c r="P17" i="212"/>
  <c r="P13" i="212"/>
  <c r="P12" i="212"/>
  <c r="P24" i="212"/>
  <c r="P18" i="212"/>
  <c r="D4" i="210"/>
  <c r="F4" i="210"/>
  <c r="D3" i="210"/>
  <c r="D5" i="210"/>
  <c r="F5" i="210"/>
  <c r="F19" i="208"/>
  <c r="F18" i="208" s="1"/>
  <c r="E18" i="208"/>
  <c r="E41" i="208" s="1"/>
  <c r="H18" i="208"/>
  <c r="I19" i="208"/>
  <c r="I18" i="208" s="1"/>
  <c r="F15" i="216"/>
  <c r="E39" i="213"/>
  <c r="F39" i="213" s="1"/>
  <c r="A11" i="219"/>
  <c r="E136" i="213"/>
  <c r="F136" i="213" s="1"/>
  <c r="E38" i="213"/>
  <c r="F38" i="213" s="1"/>
  <c r="E135" i="213"/>
  <c r="F135" i="213" s="1"/>
  <c r="E56" i="213"/>
  <c r="F56" i="213" s="1"/>
  <c r="E105" i="213"/>
  <c r="F105" i="213" s="1"/>
  <c r="H41" i="208"/>
  <c r="E87" i="213"/>
  <c r="F87" i="213" s="1"/>
  <c r="E20" i="213"/>
  <c r="F20" i="213" s="1"/>
  <c r="E137" i="213"/>
  <c r="F137" i="213" s="1"/>
  <c r="E138" i="213"/>
  <c r="F138" i="213" s="1"/>
  <c r="E21" i="213"/>
  <c r="F21" i="213" s="1"/>
  <c r="E54" i="213"/>
  <c r="F54" i="213" s="1"/>
  <c r="E103" i="213"/>
  <c r="F103" i="213" s="1"/>
  <c r="E104" i="213"/>
  <c r="F104" i="213" s="1"/>
  <c r="E120" i="213"/>
  <c r="F120" i="213" s="1"/>
  <c r="E85" i="213"/>
  <c r="F85" i="213" s="1"/>
  <c r="E121" i="213"/>
  <c r="F121" i="213" s="1"/>
  <c r="E23" i="213"/>
  <c r="F23" i="213" s="1"/>
  <c r="E119" i="213"/>
  <c r="F119" i="213" s="1"/>
  <c r="E86" i="213"/>
  <c r="F86" i="213" s="1"/>
  <c r="E40" i="213"/>
  <c r="F40" i="213" s="1"/>
  <c r="E37" i="213"/>
  <c r="F37" i="213" s="1"/>
  <c r="F41" i="208"/>
  <c r="F68" i="214"/>
  <c r="F74" i="214" s="1"/>
  <c r="E139" i="213"/>
  <c r="F139" i="213" s="1"/>
  <c r="H10" i="219"/>
  <c r="H14" i="219"/>
  <c r="F49" i="214"/>
  <c r="F57" i="214" s="1"/>
  <c r="F26" i="214"/>
  <c r="F34" i="214" s="1"/>
  <c r="A22" i="212"/>
  <c r="A21" i="212"/>
  <c r="A20" i="212"/>
  <c r="F30" i="219"/>
  <c r="E114" i="214"/>
  <c r="G114" i="214" s="1"/>
  <c r="G121" i="214" s="1"/>
  <c r="E96" i="214"/>
  <c r="G96" i="214" s="1"/>
  <c r="G103" i="214" s="1"/>
  <c r="E83" i="214"/>
  <c r="G83" i="214" s="1"/>
  <c r="G88" i="214" s="1"/>
  <c r="E28" i="214"/>
  <c r="G28" i="214" s="1"/>
  <c r="G34" i="214" s="1"/>
  <c r="E9" i="214"/>
  <c r="G9" i="214" s="1"/>
  <c r="G11" i="214" s="1"/>
  <c r="E51" i="214"/>
  <c r="G51" i="214" s="1"/>
  <c r="G57" i="214" s="1"/>
  <c r="E108" i="213"/>
  <c r="G108" i="213" s="1"/>
  <c r="G111" i="213" s="1"/>
  <c r="E60" i="213"/>
  <c r="G60" i="213" s="1"/>
  <c r="G63" i="213" s="1"/>
  <c r="E9" i="213"/>
  <c r="G9" i="213" s="1"/>
  <c r="G11" i="213" s="1"/>
  <c r="E131" i="214"/>
  <c r="G131" i="214" s="1"/>
  <c r="G138" i="214" s="1"/>
  <c r="E26" i="213"/>
  <c r="G26" i="213" s="1"/>
  <c r="G29" i="213" s="1"/>
  <c r="E70" i="214"/>
  <c r="G70" i="214" s="1"/>
  <c r="G74" i="214" s="1"/>
  <c r="E90" i="213"/>
  <c r="G90" i="213" s="1"/>
  <c r="G93" i="213" s="1"/>
  <c r="E43" i="213"/>
  <c r="G43" i="213" s="1"/>
  <c r="G46" i="213" s="1"/>
  <c r="F31" i="219"/>
  <c r="E142" i="213"/>
  <c r="G142" i="213" s="1"/>
  <c r="G145" i="213" s="1"/>
  <c r="E124" i="213"/>
  <c r="G124" i="213" s="1"/>
  <c r="G127" i="213" s="1"/>
  <c r="E72" i="213"/>
  <c r="G72" i="213" s="1"/>
  <c r="G75" i="213" s="1"/>
  <c r="F29" i="219"/>
  <c r="H13" i="219"/>
  <c r="E76" i="216"/>
  <c r="F76" i="216" s="1"/>
  <c r="F72" i="216" s="1"/>
  <c r="H16" i="219"/>
  <c r="H20" i="219"/>
  <c r="H7" i="219"/>
  <c r="I41" i="208"/>
  <c r="E71" i="216"/>
  <c r="F71" i="216" s="1"/>
  <c r="F67" i="216" s="1"/>
  <c r="A13" i="219"/>
  <c r="H19" i="219"/>
  <c r="H17" i="219"/>
  <c r="P14" i="212"/>
  <c r="V11" i="217"/>
  <c r="G12" i="217"/>
  <c r="D6" i="215"/>
  <c r="A13" i="212"/>
  <c r="A12" i="212"/>
  <c r="E3" i="210" l="1"/>
  <c r="G3" i="210"/>
  <c r="F3" i="210" s="1"/>
  <c r="I12" i="217"/>
  <c r="K10" i="218"/>
  <c r="G41" i="208"/>
  <c r="E61" i="216"/>
  <c r="F61" i="216" s="1"/>
  <c r="F56" i="216" s="1"/>
  <c r="E50" i="216"/>
  <c r="F50" i="216" s="1"/>
  <c r="F46" i="216" s="1"/>
  <c r="E28" i="216"/>
  <c r="E66" i="216"/>
  <c r="F66" i="216" s="1"/>
  <c r="F62" i="216" s="1"/>
  <c r="F41" i="219" s="1"/>
  <c r="G29" i="219"/>
  <c r="F88" i="213"/>
  <c r="F93" i="213" s="1"/>
  <c r="F106" i="213"/>
  <c r="F111" i="213" s="1"/>
  <c r="F58" i="213"/>
  <c r="F63" i="213" s="1"/>
  <c r="F41" i="213"/>
  <c r="F46" i="213" s="1"/>
  <c r="F122" i="213"/>
  <c r="F127" i="213" s="1"/>
  <c r="F140" i="213"/>
  <c r="F145" i="213" s="1"/>
  <c r="F24" i="213"/>
  <c r="F29" i="213" s="1"/>
  <c r="K68" i="214"/>
  <c r="K49" i="214"/>
  <c r="K26" i="214"/>
  <c r="K122" i="213"/>
  <c r="A14" i="212"/>
  <c r="E56" i="214"/>
  <c r="H56" i="214" s="1"/>
  <c r="E33" i="214"/>
  <c r="H33" i="214" s="1"/>
  <c r="E137" i="214"/>
  <c r="H137" i="214" s="1"/>
  <c r="E120" i="214"/>
  <c r="H120" i="214" s="1"/>
  <c r="E102" i="214"/>
  <c r="H102" i="214" s="1"/>
  <c r="F38" i="219"/>
  <c r="E87" i="214"/>
  <c r="H87" i="214" s="1"/>
  <c r="F36" i="219"/>
  <c r="E32" i="214"/>
  <c r="H32" i="214" s="1"/>
  <c r="E55" i="214"/>
  <c r="H55" i="214" s="1"/>
  <c r="A14" i="219"/>
  <c r="E100" i="214"/>
  <c r="H100" i="214" s="1"/>
  <c r="E86" i="214"/>
  <c r="H86" i="214" s="1"/>
  <c r="F40" i="219"/>
  <c r="E135" i="214"/>
  <c r="H135" i="214" s="1"/>
  <c r="E118" i="214"/>
  <c r="H118" i="214" s="1"/>
  <c r="D7" i="215"/>
  <c r="K41" i="213"/>
  <c r="J41" i="213"/>
  <c r="K58" i="213"/>
  <c r="J58" i="213"/>
  <c r="K88" i="213"/>
  <c r="K140" i="213"/>
  <c r="A25" i="212"/>
  <c r="A23" i="212"/>
  <c r="A24" i="212"/>
  <c r="C33" i="232" a="1"/>
  <c r="E54" i="214" l="1"/>
  <c r="H54" i="214" s="1"/>
  <c r="F37" i="219"/>
  <c r="E99" i="214"/>
  <c r="H99" i="214" s="1"/>
  <c r="E31" i="214"/>
  <c r="H31" i="214" s="1"/>
  <c r="E73" i="214"/>
  <c r="H73" i="214" s="1"/>
  <c r="E117" i="214"/>
  <c r="H117" i="214" s="1"/>
  <c r="E134" i="214"/>
  <c r="H134" i="214" s="1"/>
  <c r="F28" i="216"/>
  <c r="F23" i="216" s="1"/>
  <c r="E34" i="216"/>
  <c r="E40" i="216" s="1"/>
  <c r="F40" i="216" s="1"/>
  <c r="F35" i="216" s="1"/>
  <c r="E119" i="214"/>
  <c r="H119" i="214" s="1"/>
  <c r="F39" i="219"/>
  <c r="E101" i="214"/>
  <c r="H101" i="214" s="1"/>
  <c r="E136" i="214"/>
  <c r="H136" i="214" s="1"/>
  <c r="K106" i="213"/>
  <c r="K24" i="213"/>
  <c r="F34" i="216"/>
  <c r="F29" i="216" s="1"/>
  <c r="E126" i="213" s="1"/>
  <c r="H126" i="213" s="1"/>
  <c r="H127" i="213" s="1"/>
  <c r="A17" i="212"/>
  <c r="A15" i="212"/>
  <c r="A18" i="212"/>
  <c r="A16" i="212"/>
  <c r="E72" i="214"/>
  <c r="H72" i="214" s="1"/>
  <c r="H74" i="214" s="1"/>
  <c r="E53" i="214"/>
  <c r="H53" i="214" s="1"/>
  <c r="H57" i="214" s="1"/>
  <c r="E85" i="214"/>
  <c r="H85" i="214" s="1"/>
  <c r="H88" i="214" s="1"/>
  <c r="E116" i="214"/>
  <c r="H116" i="214" s="1"/>
  <c r="H121" i="214" s="1"/>
  <c r="F35" i="219"/>
  <c r="E133" i="214"/>
  <c r="H133" i="214" s="1"/>
  <c r="H138" i="214" s="1"/>
  <c r="E30" i="214"/>
  <c r="H30" i="214" s="1"/>
  <c r="E98" i="214"/>
  <c r="H98" i="214" s="1"/>
  <c r="E144" i="213"/>
  <c r="H144" i="213" s="1"/>
  <c r="H145" i="213" s="1"/>
  <c r="E110" i="213"/>
  <c r="H110" i="213" s="1"/>
  <c r="H111" i="213" s="1"/>
  <c r="A15" i="219"/>
  <c r="D8" i="215"/>
  <c r="C9" i="215"/>
  <c r="C34" i="232" a="1"/>
  <c r="H34" i="214" l="1"/>
  <c r="H103" i="214"/>
  <c r="E62" i="213"/>
  <c r="H62" i="213" s="1"/>
  <c r="H63" i="213" s="1"/>
  <c r="E45" i="213"/>
  <c r="H45" i="213" s="1"/>
  <c r="H46" i="213" s="1"/>
  <c r="E74" i="213"/>
  <c r="H74" i="213" s="1"/>
  <c r="H75" i="213" s="1"/>
  <c r="E28" i="213"/>
  <c r="H28" i="213" s="1"/>
  <c r="H29" i="213" s="1"/>
  <c r="F33" i="219"/>
  <c r="F34" i="219"/>
  <c r="E92" i="213"/>
  <c r="H92" i="213" s="1"/>
  <c r="H93" i="213" s="1"/>
  <c r="J101" i="213"/>
  <c r="A16" i="219"/>
  <c r="C10" i="215"/>
  <c r="D9" i="215"/>
  <c r="C35" i="232" a="1"/>
  <c r="C36" i="232" s="1" a="1"/>
  <c r="C37" i="232" s="1" a="1"/>
  <c r="C38" i="232" s="1" a="1"/>
  <c r="C39" i="232" s="1" a="1"/>
  <c r="C40" i="232" s="1" a="1"/>
  <c r="C41" i="232" s="1" a="1"/>
  <c r="C42" i="232" s="1" a="1"/>
  <c r="C43" i="232" s="1" a="1"/>
  <c r="C44" i="232" s="1" a="1"/>
  <c r="J133" i="213"/>
  <c r="J144" i="213" s="1"/>
  <c r="J135" i="213"/>
  <c r="J139" i="213"/>
  <c r="D15" i="219" s="1"/>
  <c r="G15" i="219" s="1"/>
  <c r="J142" i="213"/>
  <c r="J138" i="213"/>
  <c r="J136" i="213"/>
  <c r="J137" i="213"/>
  <c r="D14" i="219" s="1"/>
  <c r="G14" i="219" s="1"/>
  <c r="J140" i="213"/>
  <c r="E52" i="209"/>
  <c r="N52" i="219"/>
  <c r="N50" i="219"/>
  <c r="J18" i="213"/>
  <c r="O52" i="219"/>
  <c r="O50" i="219"/>
  <c r="J17" i="214"/>
  <c r="J83" i="213"/>
  <c r="J40" i="214"/>
  <c r="Q52" i="219"/>
  <c r="J69" i="213"/>
  <c r="J28" i="214"/>
  <c r="J21" i="214"/>
  <c r="J23" i="214"/>
  <c r="J33" i="214"/>
  <c r="J24" i="214"/>
  <c r="J26" i="214"/>
  <c r="J30" i="214"/>
  <c r="J32" i="214"/>
  <c r="J22" i="214"/>
  <c r="J31" i="214"/>
  <c r="J25" i="214"/>
  <c r="J19" i="214"/>
  <c r="J20" i="214"/>
  <c r="J46" i="214"/>
  <c r="J47" i="214"/>
  <c r="J49" i="214"/>
  <c r="J51" i="214"/>
  <c r="J54" i="214"/>
  <c r="J42" i="214"/>
  <c r="J48" i="214"/>
  <c r="J44" i="214"/>
  <c r="J45" i="214"/>
  <c r="J55" i="214"/>
  <c r="J43" i="214"/>
  <c r="J53" i="214"/>
  <c r="J56" i="214"/>
  <c r="J117" i="213"/>
  <c r="N63" i="219"/>
  <c r="N51" i="219"/>
  <c r="J80" i="214"/>
  <c r="J6" i="213"/>
  <c r="J9" i="213" s="1"/>
  <c r="J93" i="214"/>
  <c r="J23" i="213"/>
  <c r="D8" i="219" s="1"/>
  <c r="G8" i="219" s="1"/>
  <c r="J26" i="213"/>
  <c r="J21" i="213"/>
  <c r="J28" i="213"/>
  <c r="J24" i="213"/>
  <c r="J22" i="213"/>
  <c r="J20" i="213"/>
  <c r="D6" i="219" s="1"/>
  <c r="G6" i="219" s="1"/>
  <c r="J86" i="213"/>
  <c r="J92" i="213"/>
  <c r="J88" i="213"/>
  <c r="J90" i="213"/>
  <c r="J85" i="213"/>
  <c r="J87" i="213"/>
  <c r="D25" i="219"/>
  <c r="G25" i="219" s="1"/>
  <c r="D17" i="219"/>
  <c r="G17" i="219" s="1"/>
  <c r="D20" i="219"/>
  <c r="G20" i="219" s="1"/>
  <c r="D18" i="219"/>
  <c r="G18" i="219" s="1"/>
  <c r="J62" i="214"/>
  <c r="J83" i="214"/>
  <c r="J86" i="214"/>
  <c r="J87" i="214"/>
  <c r="J85" i="214"/>
  <c r="J134" i="214"/>
  <c r="J133" i="214"/>
  <c r="J135" i="214"/>
  <c r="J129" i="214"/>
  <c r="J131" i="214"/>
  <c r="J137" i="214"/>
  <c r="J136" i="214"/>
  <c r="J120" i="213"/>
  <c r="D12" i="219" s="1"/>
  <c r="G12" i="219" s="1"/>
  <c r="J119" i="213"/>
  <c r="D11" i="219" s="1"/>
  <c r="G11" i="219" s="1"/>
  <c r="J122" i="213"/>
  <c r="J121" i="213"/>
  <c r="D13" i="219" s="1"/>
  <c r="G13" i="219" s="1"/>
  <c r="J126" i="213"/>
  <c r="J124" i="213"/>
  <c r="J101" i="214"/>
  <c r="J98" i="214"/>
  <c r="J99" i="214"/>
  <c r="J96" i="214"/>
  <c r="J102" i="214"/>
  <c r="J100" i="214"/>
  <c r="J72" i="213"/>
  <c r="J74" i="213"/>
  <c r="D33" i="219" s="1"/>
  <c r="D41" i="219"/>
  <c r="D31" i="219"/>
  <c r="J68" i="214"/>
  <c r="J70" i="214"/>
  <c r="J73" i="214"/>
  <c r="J72" i="214"/>
  <c r="J64" i="214"/>
  <c r="D19" i="219" s="1"/>
  <c r="G19" i="219" s="1"/>
  <c r="J65" i="214"/>
  <c r="D21" i="219" s="1"/>
  <c r="G21" i="219" s="1"/>
  <c r="J66" i="214"/>
  <c r="D24" i="219" s="1"/>
  <c r="G24" i="219" s="1"/>
  <c r="J67" i="214"/>
  <c r="D16" i="219" s="1"/>
  <c r="G16" i="219" s="1"/>
  <c r="D22" i="219" l="1"/>
  <c r="G22" i="219" s="1"/>
  <c r="J108" i="213"/>
  <c r="J106" i="213"/>
  <c r="D27" i="219" s="1"/>
  <c r="G27" i="219" s="1"/>
  <c r="D10" i="215"/>
  <c r="C11" i="215"/>
  <c r="G41" i="219"/>
  <c r="K41" i="219"/>
  <c r="O41" i="219" s="1"/>
  <c r="J105" i="213"/>
  <c r="D9" i="219" s="1"/>
  <c r="G9" i="219" s="1"/>
  <c r="J110" i="213"/>
  <c r="D34" i="219" s="1"/>
  <c r="J103" i="213"/>
  <c r="D7" i="219" s="1"/>
  <c r="G7" i="219" s="1"/>
  <c r="J104" i="213"/>
  <c r="D10" i="219" s="1"/>
  <c r="G10" i="219" s="1"/>
  <c r="A27" i="219"/>
  <c r="A17" i="219"/>
  <c r="N31" i="219"/>
  <c r="G31" i="219"/>
  <c r="K33" i="219"/>
  <c r="N33" i="219" s="1"/>
  <c r="G33" i="219"/>
  <c r="D36" i="219"/>
  <c r="D23" i="219"/>
  <c r="G23" i="219" s="1"/>
  <c r="J110" i="214"/>
  <c r="D11" i="215" l="1"/>
  <c r="E11" i="215"/>
  <c r="A18" i="219"/>
  <c r="G34" i="219"/>
  <c r="K34" i="219"/>
  <c r="N34" i="219" s="1"/>
  <c r="N32" i="219" s="1"/>
  <c r="J114" i="214"/>
  <c r="J117" i="214"/>
  <c r="D37" i="219" s="1"/>
  <c r="J116" i="214"/>
  <c r="D35" i="219" s="1"/>
  <c r="J119" i="214"/>
  <c r="D39" i="219" s="1"/>
  <c r="J118" i="214"/>
  <c r="D40" i="219" s="1"/>
  <c r="J112" i="214"/>
  <c r="D26" i="219" s="1"/>
  <c r="G26" i="219" s="1"/>
  <c r="G5" i="219" s="1"/>
  <c r="J120" i="214"/>
  <c r="D38" i="219" s="1"/>
  <c r="G36" i="219"/>
  <c r="K36" i="219"/>
  <c r="O36" i="219" s="1"/>
  <c r="A19" i="219" l="1"/>
  <c r="I5" i="219"/>
  <c r="D30" i="219"/>
  <c r="O30" i="219"/>
  <c r="O28" i="219" s="1"/>
  <c r="G37" i="219"/>
  <c r="K37" i="219"/>
  <c r="O37" i="219" s="1"/>
  <c r="K35" i="219"/>
  <c r="O35" i="219" s="1"/>
  <c r="G35" i="219"/>
  <c r="K39" i="219"/>
  <c r="O39" i="219" s="1"/>
  <c r="G39" i="219"/>
  <c r="G40" i="219"/>
  <c r="K40" i="219"/>
  <c r="O40" i="219" s="1"/>
  <c r="G38" i="219"/>
  <c r="K38" i="219"/>
  <c r="O38" i="219" s="1"/>
  <c r="A20" i="219" l="1"/>
  <c r="A21" i="219" s="1"/>
  <c r="A22" i="219"/>
  <c r="O32" i="219"/>
  <c r="O42" i="219" s="1"/>
  <c r="O44" i="219" s="1"/>
  <c r="O53" i="219" s="1"/>
  <c r="O54" i="219" s="1"/>
  <c r="I28" i="219"/>
  <c r="I32" i="219"/>
  <c r="D28" i="219"/>
  <c r="G30" i="219"/>
  <c r="G28" i="219" s="1"/>
  <c r="N30" i="219"/>
  <c r="N28" i="219" s="1"/>
  <c r="N42" i="219" s="1"/>
  <c r="G32" i="219"/>
  <c r="A23" i="219" l="1"/>
  <c r="A24" i="219" s="1"/>
  <c r="A25" i="219" s="1"/>
  <c r="A26" i="219" s="1"/>
  <c r="G43" i="219"/>
  <c r="J19" i="209"/>
  <c r="I21" i="209" s="1"/>
  <c r="I22" i="209" s="1"/>
  <c r="J20" i="209" s="1"/>
  <c r="L19" i="209"/>
  <c r="P42" i="219"/>
  <c r="Q42" i="219" s="1"/>
  <c r="Q44" i="219" s="1"/>
  <c r="N44" i="219"/>
  <c r="G42" i="219"/>
  <c r="P5" i="209"/>
  <c r="G42" i="209"/>
  <c r="Q5" i="209"/>
  <c r="E42" i="209"/>
  <c r="F45" i="209" s="1"/>
  <c r="E45" i="209" s="1"/>
  <c r="G44" i="219" l="1"/>
  <c r="I44" i="219" s="1"/>
  <c r="P44" i="219"/>
  <c r="N53" i="219"/>
  <c r="N54" i="219" s="1"/>
  <c r="E46" i="209"/>
  <c r="F44" i="209" s="1"/>
  <c r="O8" i="209"/>
  <c r="P8" i="209" a="1"/>
  <c r="P13" i="209"/>
  <c r="N60" i="219" l="1"/>
  <c r="N62" i="219"/>
  <c r="P7" i="209"/>
  <c r="K10" i="232" l="1"/>
  <c r="K27" i="211" l="1"/>
  <c r="L24" i="2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</authors>
  <commentList>
    <comment ref="P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Chỉnh bên sheet THKP-TC không chỉnh ở đây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  <author>Administrator</author>
  </authors>
  <commentList>
    <comment ref="F7" authorId="0" shapeId="0" xr:uid="{00000000-0006-0000-0800-000001000000}">
      <text>
        <r>
          <rPr>
            <sz val="9"/>
            <color indexed="81"/>
            <rFont val="Tahoma"/>
            <family val="2"/>
          </rPr>
          <t>Chỉnh bên sheet THKP-TC không chỉnh ở đây</t>
        </r>
      </text>
    </comment>
    <comment ref="D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ND số 73/2024/NĐ-CP ngày 30/6/2024 của Chính Phủ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EF26C6-B6F6-4542-A40C-7D42994A5706}" name="15+300-16" type="6" refreshedVersion="4" background="1" saveData="1">
    <textPr codePage="65001" sourceFile="C:\Users\PC\Desktop\QL26\15+300-16.csv" decimal="," thousands="." comma="1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<sst xmlns="http://schemas.openxmlformats.org/spreadsheetml/2006/main" count="1637" uniqueCount="555">
  <si>
    <t>TT</t>
  </si>
  <si>
    <t>I</t>
  </si>
  <si>
    <t>II</t>
  </si>
  <si>
    <t>III</t>
  </si>
  <si>
    <t>m</t>
  </si>
  <si>
    <t>VL</t>
  </si>
  <si>
    <t>NC</t>
  </si>
  <si>
    <t>M</t>
  </si>
  <si>
    <t>% VL</t>
  </si>
  <si>
    <t>ha</t>
  </si>
  <si>
    <t>T</t>
  </si>
  <si>
    <t>IV</t>
  </si>
  <si>
    <t>Kg</t>
  </si>
  <si>
    <t>Ca</t>
  </si>
  <si>
    <t>m3</t>
  </si>
  <si>
    <t>A</t>
  </si>
  <si>
    <t>B</t>
  </si>
  <si>
    <t>Thành tiền</t>
  </si>
  <si>
    <t>STT</t>
  </si>
  <si>
    <t>Ghi chú</t>
  </si>
  <si>
    <t>Số lượng</t>
  </si>
  <si>
    <t>Z</t>
  </si>
  <si>
    <t>Khối lượng</t>
  </si>
  <si>
    <t>ĐVT</t>
  </si>
  <si>
    <t>Thành tiền (đ)</t>
  </si>
  <si>
    <t>Nhân công</t>
  </si>
  <si>
    <t>Chi phí trực tiếp</t>
  </si>
  <si>
    <t>K</t>
  </si>
  <si>
    <t>K1</t>
  </si>
  <si>
    <t>K3</t>
  </si>
  <si>
    <t>K4</t>
  </si>
  <si>
    <t>Đơn giá (đồng)</t>
  </si>
  <si>
    <t>Hệ số</t>
  </si>
  <si>
    <t>Nội dung đơn giá</t>
  </si>
  <si>
    <t>Lương cơ bản QNCN bậc 7/10</t>
  </si>
  <si>
    <t>Phụ cấp khó khăn nguy hiểm</t>
  </si>
  <si>
    <t>Lương cơ bản QNCN bậc 8/10</t>
  </si>
  <si>
    <t>Lương cơ bản QNCN bậc 5/10</t>
  </si>
  <si>
    <t xml:space="preserve">Nội dung chi phí </t>
  </si>
  <si>
    <t>Đôi</t>
  </si>
  <si>
    <t>Công</t>
  </si>
  <si>
    <t>Cái</t>
  </si>
  <si>
    <t>Đơn vị tính</t>
  </si>
  <si>
    <t>Thành phần hao phí</t>
  </si>
  <si>
    <t>công</t>
  </si>
  <si>
    <t>Thành tiền (đồng)</t>
  </si>
  <si>
    <t>Đinh 10 cm</t>
  </si>
  <si>
    <t>Máy dò bom trên cạn</t>
  </si>
  <si>
    <t>Chi phí khác</t>
  </si>
  <si>
    <t>Mô tả công việc</t>
  </si>
  <si>
    <t>Cộng chi phí trực tiếp</t>
  </si>
  <si>
    <t xml:space="preserve">VL + NC + M </t>
  </si>
  <si>
    <t>Làm tròn:</t>
  </si>
  <si>
    <t>Đơn vị</t>
  </si>
  <si>
    <t>Dây thừng 10 mm</t>
  </si>
  <si>
    <t>Cờ đỏ đuôi nheo</t>
  </si>
  <si>
    <t>Cọc gỗ d = 3cm, L= 50 cm</t>
  </si>
  <si>
    <t>Cờ đỏ to ( 40 x 60 ) cm</t>
  </si>
  <si>
    <t>Cọc tre d=8, L=200 Cm</t>
  </si>
  <si>
    <t>Vật liệu</t>
  </si>
  <si>
    <t>Nhân công thợ bậc 7/10</t>
  </si>
  <si>
    <t>Máy thi công</t>
  </si>
  <si>
    <t>Cọc bê tông cốt thép (12x12x120)cm</t>
  </si>
  <si>
    <t>Vật liệu khác</t>
  </si>
  <si>
    <t>Nhân công thợ bậc 8/10</t>
  </si>
  <si>
    <t xml:space="preserve">Máy dò mìn </t>
  </si>
  <si>
    <t>Ván gỗ dày 3 Cm</t>
  </si>
  <si>
    <t>Pin R20</t>
  </si>
  <si>
    <t>Sữa chữa, bảo dưỡng</t>
  </si>
  <si>
    <t>Khấu hao cơ bản</t>
  </si>
  <si>
    <t>Nội dung</t>
  </si>
  <si>
    <t>Đơn giá (đ)</t>
  </si>
  <si>
    <t>Chi phí chung</t>
  </si>
  <si>
    <t>CÁC PHỤ LỤC</t>
  </si>
  <si>
    <t>BẢNG PHÂN TÍCH VẬT TƯ (KHÔNG IN)</t>
  </si>
  <si>
    <t>Đối chiếu</t>
  </si>
  <si>
    <t>Chênh lệch</t>
  </si>
  <si>
    <t>Trên cạn</t>
  </si>
  <si>
    <t>Dưới nước</t>
  </si>
  <si>
    <t>Tổng</t>
  </si>
  <si>
    <t>Đơn giá
(đồng)</t>
  </si>
  <si>
    <t>Máy</t>
  </si>
  <si>
    <t>4=(1*2)/3</t>
  </si>
  <si>
    <t>Lương tối thiểu (đồng)</t>
  </si>
  <si>
    <t xml:space="preserve"> Đ.Giá </t>
  </si>
  <si>
    <t>ĐG thị trường</t>
  </si>
  <si>
    <t>VL+NC+M</t>
  </si>
  <si>
    <t>III. GIÁ  VẬT LIỆU</t>
  </si>
  <si>
    <t>Ngày công</t>
  </si>
  <si>
    <t>Đinh 2 mỏ</t>
  </si>
  <si>
    <t>Dây thép buộc 2 ly</t>
  </si>
  <si>
    <t>%VL</t>
  </si>
  <si>
    <t>Mỏ neo loại 50 kg</t>
  </si>
  <si>
    <t>Mỏ neo loại 20 kg</t>
  </si>
  <si>
    <t>Phao lớn 1m3</t>
  </si>
  <si>
    <t>Phao nhỏ phi 12 cm</t>
  </si>
  <si>
    <t>Dây Nilon phi 10mm</t>
  </si>
  <si>
    <t>Dây Nilon phi 12mm</t>
  </si>
  <si>
    <t>Dây Nilon phi 18mm</t>
  </si>
  <si>
    <t>Máy dò bom dưới nước</t>
  </si>
  <si>
    <t>Thuyền cao su trung</t>
  </si>
  <si>
    <t>Thuyền cao su tiểu</t>
  </si>
  <si>
    <t>Mỏ neo đặc biệt loại 20kg</t>
  </si>
  <si>
    <t>Phao nhựa tròn phi 30 cm</t>
  </si>
  <si>
    <t>Thuyền Composit</t>
  </si>
  <si>
    <t>Khung gia công bằng tôn 3mm và sắt góc (45x45)mm</t>
  </si>
  <si>
    <t>Nhiên liệu</t>
  </si>
  <si>
    <t>H</t>
  </si>
  <si>
    <t>GIÁ NHÂN CÔNG, CA MÁY VÀ VẬT LIỆU</t>
  </si>
  <si>
    <t>Chi phí thẩm định</t>
  </si>
  <si>
    <t>Thiết bị lặn sâu 0,5m - 3m</t>
  </si>
  <si>
    <t>C</t>
  </si>
  <si>
    <t>BẢNG PHÂN TÍCH DỰ TOÁN</t>
  </si>
  <si>
    <t>Thiết bị sói và hút bùn cát</t>
  </si>
  <si>
    <t>Thiết bị lặn sâu 3m - 6m</t>
  </si>
  <si>
    <t>Nhân công thợ bậc 5/10</t>
  </si>
  <si>
    <t>NC thợ bậc 8/10</t>
  </si>
  <si>
    <t>Hạng mục</t>
  </si>
  <si>
    <t>Cách tính</t>
  </si>
  <si>
    <t xml:space="preserve"> Chi phí khác</t>
  </si>
  <si>
    <t>Chi phí hủy vật nổ tìm được</t>
  </si>
  <si>
    <t>TỔNG HỢP GIÁ TRỊ DỰ TOÁN</t>
  </si>
  <si>
    <t>40% * NC</t>
  </si>
  <si>
    <t>ĐẠI DIỆN ĐƠN VỊ LẬP DỰ TOÁN</t>
  </si>
  <si>
    <t>Sào tre d=7, L=500 Cm</t>
  </si>
  <si>
    <t>Thiết bị lặn sâu 6m - 12m</t>
  </si>
  <si>
    <t>Cộng giá trị rà phá bom mìn vật nổ</t>
  </si>
  <si>
    <t>Cộng:</t>
  </si>
  <si>
    <t>Dò tìm bom, mìn, vật nổ trên cạn bằng máy dò bom. 
Độ sâu 0,3m - 3 m cho 1 ha</t>
  </si>
  <si>
    <t>Đơn vị :  10.000 m2</t>
  </si>
  <si>
    <t>Đơn vị :  1 tín hiệu</t>
  </si>
  <si>
    <t>Đơn vị : 1 m3 đất đào</t>
  </si>
  <si>
    <t>Ngày/tháng/năm</t>
  </si>
  <si>
    <t>Đào, xử lý tín hiệu đến 0,3m
(T/hiệu)</t>
  </si>
  <si>
    <t>Bom đạn, vật nổ thu được</t>
  </si>
  <si>
    <t>Bom các loại</t>
  </si>
  <si>
    <t>Đạn pháo</t>
  </si>
  <si>
    <t>Đạn cối</t>
  </si>
  <si>
    <t>Đạn BB</t>
  </si>
  <si>
    <t xml:space="preserve">Mảnh bom đạn, kim loại </t>
  </si>
  <si>
    <t>ĐỘI TRƯỞNG KHẢO SÁT</t>
  </si>
  <si>
    <t>Tọa độ VN-2000</t>
  </si>
  <si>
    <t>X (m)</t>
  </si>
  <si>
    <t>Y (m)</t>
  </si>
  <si>
    <t>Đánh giá cho 1 ha</t>
  </si>
  <si>
    <t>Ô khảo sát</t>
  </si>
  <si>
    <t>Lý trình Ô 
khảo sát</t>
  </si>
  <si>
    <r>
      <t>Dọn mặt bằng bằng thủ công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</si>
  <si>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trên cạn đến độ sâu 0,3m  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</si>
  <si>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 xml:space="preserve">DANH MỤC HỒ SƠ KHẢO SÁT </t>
  </si>
  <si>
    <t>Văn bản</t>
  </si>
  <si>
    <t>Thời gian</t>
  </si>
  <si>
    <t>Thứ</t>
  </si>
  <si>
    <t>QĐ giao NV của BQP</t>
  </si>
  <si>
    <t>Kế hoạch khảo sát</t>
  </si>
  <si>
    <t>Biên bản bàn giao mặt bằng khảo sát</t>
  </si>
  <si>
    <t>Báo cáo kết quả khảo sát+ Bản vẽ KS</t>
  </si>
  <si>
    <t>Biên bản nghiệm thu kết quả khảo sát</t>
  </si>
  <si>
    <t>Hồ sơ phương án+Dự toán</t>
  </si>
  <si>
    <t>Tờ trình phương án+dự toán</t>
  </si>
  <si>
    <t>Dò tìm và xử lý bom mìn vật nổ trên cạn</t>
  </si>
  <si>
    <t>NC thợ bậc 7/10</t>
  </si>
  <si>
    <t>Chi phí kiểm tra chất lượng công trình</t>
  </si>
  <si>
    <t>Cộng giá trị dự toán</t>
  </si>
  <si>
    <t>Nghiệm thu</t>
  </si>
  <si>
    <t>Hợp đồng</t>
  </si>
  <si>
    <t>Nghiệm  thu</t>
  </si>
  <si>
    <t>Thành tiền (đồng)-NT</t>
  </si>
  <si>
    <t>Dò tìm bom, mìn, vật nổ trên cạn bằng máy dò bom. 
Độ sâu 0,3m - 5 m cho 1 ha</t>
  </si>
  <si>
    <t xml:space="preserve">Đường cao tốc, cầu : </t>
  </si>
  <si>
    <t>Đường song hành (Ct cấp III), Cải mương</t>
  </si>
  <si>
    <t>HLAT trên cạn</t>
  </si>
  <si>
    <t>HLAT dưới nước</t>
  </si>
  <si>
    <t>Diện tích</t>
  </si>
  <si>
    <t>*</t>
  </si>
  <si>
    <t>Dò tìm trên cạn từ độ sâu 0,3m-5m.</t>
  </si>
  <si>
    <t>MAX</t>
  </si>
  <si>
    <t>Giá vật liệu (Toàn bộ)</t>
  </si>
  <si>
    <t>Tổng cộng</t>
  </si>
  <si>
    <t>ĐẠI DIỆN CHỦ ĐẦU TƯ</t>
  </si>
  <si>
    <t>Chi phí vật liệu</t>
  </si>
  <si>
    <t xml:space="preserve">Chi phí nhân công </t>
  </si>
  <si>
    <t xml:space="preserve">Chi phí máy </t>
  </si>
  <si>
    <t xml:space="preserve">QĐ thành lập đội KS </t>
  </si>
  <si>
    <t>loại 1</t>
  </si>
  <si>
    <t>Z + K</t>
  </si>
  <si>
    <t>Chi phí trực tiếp:</t>
  </si>
  <si>
    <t>N/c theo máy/ca</t>
  </si>
  <si>
    <t>Tổng số nhân công phục vụ dò tìm</t>
  </si>
  <si>
    <t>Tổng số nhân công sử dụng máy</t>
  </si>
  <si>
    <t>TÍNH SỐ NGÀY THI CÔNG</t>
  </si>
  <si>
    <t>PHỤ LỤC CHI TIẾT ĐƠN GIÁ TRÊN CẠN</t>
  </si>
  <si>
    <t>II. GIÁ CA MÁY</t>
  </si>
  <si>
    <t xml:space="preserve">I. GIÁ NHÂN CÔNG </t>
  </si>
  <si>
    <r>
      <t>Dò tìm trên cạn từ 0,3-3m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</si>
  <si>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Hạng mục: Rà phá bom mìn, vật nổ</t>
  </si>
  <si>
    <t>Chi phí lán trại</t>
  </si>
  <si>
    <t>aa</t>
  </si>
  <si>
    <t>PA chọn</t>
  </si>
  <si>
    <t>PA trình</t>
  </si>
  <si>
    <t>DK T/định</t>
  </si>
  <si>
    <t>Nước</t>
  </si>
  <si>
    <t>Tối đa (đ)</t>
  </si>
  <si>
    <t>Tối thiểu (đ)</t>
  </si>
  <si>
    <t>Định mức (%)</t>
  </si>
  <si>
    <t>Giá trị dự toán (Z) tỷ đồng</t>
  </si>
  <si>
    <t>Dưới biển</t>
  </si>
  <si>
    <t>Rừng loại 4</t>
  </si>
  <si>
    <t>Rừng loại 3</t>
  </si>
  <si>
    <t>Rừng loại 2</t>
  </si>
  <si>
    <t>Trung du hoặc rừng loại 1</t>
  </si>
  <si>
    <t>Đô thị, khu dân cư</t>
  </si>
  <si>
    <t>Đồng bằng, trống trải</t>
  </si>
  <si>
    <t>Kiểm tra chất lượng</t>
  </si>
  <si>
    <t>Tổng cộng (%)</t>
  </si>
  <si>
    <t>Định mức chi phí (%)</t>
  </si>
  <si>
    <t>Loại địa hình</t>
  </si>
  <si>
    <t>K1 là chi phí khảo sát, lập phương án dự toán; K4 là chi phí kiểm tra chất lượng thi công rà phá bom mìn vật nổ;</t>
  </si>
  <si>
    <t>Công trình xây dựng còn lại</t>
  </si>
  <si>
    <t>Công trình xây dựng theo tuyến</t>
  </si>
  <si>
    <t>(tỷ đồng)</t>
  </si>
  <si>
    <t>Chi phí trực tiếp của từng loại, từng nhóm công trình</t>
  </si>
  <si>
    <t>Loại công trình</t>
  </si>
  <si>
    <t>Đơn vị tính: %</t>
  </si>
  <si>
    <t>(Theo Thông tư 11/2021/TT-BXD ngày 31/8/2021 của Bộ Xây dựng)</t>
  </si>
  <si>
    <t>Công trình hạ tầng kỹ thuật</t>
  </si>
  <si>
    <t>Công trình NN&amp;PTNT</t>
  </si>
  <si>
    <t>Công trình giao thông</t>
  </si>
  <si>
    <t>Công trình công nghiệp</t>
  </si>
  <si>
    <t>Công trình dân dụng</t>
  </si>
  <si>
    <t>Chi phí xây dựng (chưa có thuế GTGT) của giá gói thầu thi công xây dựng được duyệt (tỷ đồng)</t>
  </si>
  <si>
    <t>Đơn vị tính: Tỷ lệ %</t>
  </si>
  <si>
    <t>Số đội:</t>
  </si>
  <si>
    <t>Làm tròn</t>
  </si>
  <si>
    <t>ngày</t>
  </si>
  <si>
    <t>Phụ cấp lưu động</t>
  </si>
  <si>
    <t>Đơn vị : 10.000 m2</t>
  </si>
  <si>
    <t>Đơn giá</t>
  </si>
  <si>
    <t>kg</t>
  </si>
  <si>
    <t>T/hiệu</t>
  </si>
  <si>
    <t>(Hoàn thiện theo Thông báo số:    /TB-BCCB ngày     /   /2024 của Tư lệnh Binh chủng Công binh)</t>
  </si>
  <si>
    <r>
      <t>Dò tìm trên cạn từ 0,3-5m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</si>
  <si>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CÁN BỘ GIÁM SÁT A</t>
  </si>
  <si>
    <t>Mảnh bom đạn, kim loại nhiễm từ</t>
  </si>
  <si>
    <t>Lặn xử lý TH nằm từ độ sâu 1m-5m
(T/hiệu)</t>
  </si>
  <si>
    <t>Lặn xử lý TH nằm từ độ sâu 0,5m-1m
(T/hiệu)</t>
  </si>
  <si>
    <t>Lặn xử lý TH đến độ sâu 0,5m
(T/hiệu)</t>
  </si>
  <si>
    <t>Đánh dấu tín hiệu cho các độ sâu dò tìm
(T/hiệu)</t>
  </si>
  <si>
    <r>
      <t>Dò tìm dưới nước từ độ sâu 0,5m-5m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</si>
  <si>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dưới nước đến độ sâu 0,5m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</si>
  <si>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 xml:space="preserve">Tọa độ VN-2000 </t>
  </si>
  <si>
    <t>Thời gian khảo sát ngày  (2 ngày)</t>
  </si>
  <si>
    <t>Theo thực tế</t>
  </si>
  <si>
    <t>+</t>
  </si>
  <si>
    <t>Vị trí số hiệu định mức</t>
  </si>
  <si>
    <t>Số hiệu định mức</t>
  </si>
  <si>
    <t>loại 2</t>
  </si>
  <si>
    <t>loại 3</t>
  </si>
  <si>
    <t>loại 4</t>
  </si>
  <si>
    <t>Không có</t>
  </si>
  <si>
    <t>Đất cấp 1</t>
  </si>
  <si>
    <t>Đất cấp 2</t>
  </si>
  <si>
    <t>Đất cấp 3</t>
  </si>
  <si>
    <t>Đất cấp 4</t>
  </si>
  <si>
    <t>Phân loại</t>
  </si>
  <si>
    <t>KV1</t>
  </si>
  <si>
    <t>Mật độ 1</t>
  </si>
  <si>
    <t>&lt;3m</t>
  </si>
  <si>
    <t>0,5 ÷ 12m</t>
  </si>
  <si>
    <t>&gt;12 ÷ 22m</t>
  </si>
  <si>
    <t>&gt;22 ÷ 25m</t>
  </si>
  <si>
    <t>0,5 ÷ 3m</t>
  </si>
  <si>
    <t>&gt;3 ÷ 12m</t>
  </si>
  <si>
    <t>K6</t>
  </si>
  <si>
    <t>Chi phí giám sát thi công</t>
  </si>
  <si>
    <t>CP giám sát</t>
  </si>
  <si>
    <t>Z=</t>
  </si>
  <si>
    <t>CP Lán Trại</t>
  </si>
  <si>
    <t>T=</t>
  </si>
  <si>
    <t>CP Khảo sát</t>
  </si>
  <si>
    <t>CP TĐ</t>
  </si>
  <si>
    <t>Chi phí hủy nổ</t>
  </si>
  <si>
    <t>CP hủy</t>
  </si>
  <si>
    <t>Khối lượng dưới 1000 Kg</t>
  </si>
  <si>
    <t>Khối lượng trên 1000 Kg</t>
  </si>
  <si>
    <t>Khảo sát PAKTTC và DT</t>
  </si>
  <si>
    <t>CHI PHÍ GIÁM SÁT (K5)</t>
  </si>
  <si>
    <t>CHI PHÍ LÁN TRẠI (K2)</t>
  </si>
  <si>
    <t>Tên địa phương (từ huyện, thị xã trở lên)</t>
  </si>
  <si>
    <t>Khu vực 4</t>
  </si>
  <si>
    <t>Khu vực 3</t>
  </si>
  <si>
    <r>
      <t xml:space="preserve">    </t>
    </r>
    <r>
      <rPr>
        <sz val="13"/>
        <rFont val="Times New Roman"/>
        <family val="1"/>
      </rPr>
      <t xml:space="preserve">Vùng ven biên giới Việt-Trung (2,5 km tính từ đường biên giới vào nội địa) gồm tất cả các khu vực biên giới còn lại của các tỉnh </t>
    </r>
    <r>
      <rPr>
        <b/>
        <sz val="13"/>
        <rFont val="Times New Roman"/>
        <family val="1"/>
      </rPr>
      <t xml:space="preserve">Quảng Ninh, Cao Bằng, Hà Giang, Lào Cai, Lai Châu, Điện Biên </t>
    </r>
    <r>
      <rPr>
        <sz val="13"/>
        <rFont val="Times New Roman"/>
        <family val="1"/>
      </rPr>
      <t>và</t>
    </r>
    <r>
      <rPr>
        <b/>
        <sz val="13"/>
        <rFont val="Times New Roman"/>
        <family val="1"/>
      </rPr>
      <t xml:space="preserve"> </t>
    </r>
    <r>
      <rPr>
        <sz val="13"/>
        <rFont val="Times New Roman"/>
        <family val="1"/>
      </rPr>
      <t>những khu vực còn lại của các huyện biên giới thuộc tỉnh</t>
    </r>
    <r>
      <rPr>
        <b/>
        <sz val="13"/>
        <rFont val="Times New Roman"/>
        <family val="1"/>
      </rPr>
      <t xml:space="preserve"> Lạng Sơn</t>
    </r>
    <r>
      <rPr>
        <sz val="13"/>
        <rFont val="Times New Roman"/>
        <family val="1"/>
      </rPr>
      <t>;</t>
    </r>
    <r>
      <rPr>
        <sz val="13"/>
        <color rgb="FF000000"/>
        <rFont val="Times New Roman"/>
        <family val="1"/>
      </rPr>
      <t xml:space="preserve"> tất cả các huyện (trừ Tp Đồng Hới)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Huyện Hòa Vang Tp </t>
    </r>
    <r>
      <rPr>
        <b/>
        <sz val="13"/>
        <color rgb="FF000000"/>
        <rFont val="Times New Roman"/>
        <family val="1"/>
      </rPr>
      <t>Đà Nẵng</t>
    </r>
    <r>
      <rPr>
        <sz val="13"/>
        <color rgb="FF000000"/>
        <rFont val="Times New Roman"/>
        <family val="1"/>
      </rPr>
      <t xml:space="preserve">; huyện Nam Trà My, Đông Giang, Điện Bàn, Thăng Bình, Bắc Trà My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TP Quảng Ngãi và các huyện Nghĩa Hành, Mộ Đức, Sơn Tịnh, Tư Nghĩa, Sơn Tây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huyện An Lão, Hoài Nhơn, Phù Cát, Phù Mỹ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Sông Hinh, Phú Hòa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TP Nha Trang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Tp Phan Rang-Tháp Chàm, huyện Ninh Sơn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huyện Ngọc Hồi, Kon Rẫy, Sa Thầy, Đắc Hà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huyện Chưprong, Iagrai, Đức Cơ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Buôn Đôn tỉnh </t>
    </r>
    <r>
      <rPr>
        <b/>
        <sz val="13"/>
        <color rgb="FF000000"/>
        <rFont val="Times New Roman"/>
        <family val="1"/>
      </rPr>
      <t>Đắc Lắc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huyện Dầu Tiếng, Bến Cát, Phú Giáo tỉnh </t>
    </r>
    <r>
      <rPr>
        <b/>
        <sz val="13"/>
        <color rgb="FF000000"/>
        <rFont val="Times New Roman"/>
        <family val="1"/>
      </rPr>
      <t>Bình Dương;</t>
    </r>
    <r>
      <rPr>
        <sz val="13"/>
        <color rgb="FF000000"/>
        <rFont val="Times New Roman"/>
        <family val="1"/>
      </rPr>
      <t xml:space="preserve"> huyện Cần Giờ Tp </t>
    </r>
    <r>
      <rPr>
        <b/>
        <sz val="13"/>
        <color rgb="FF000000"/>
        <rFont val="Times New Roman"/>
        <family val="1"/>
      </rPr>
      <t>Hồ Chí Minh</t>
    </r>
    <r>
      <rPr>
        <sz val="13"/>
        <color rgb="FF000000"/>
        <rFont val="Times New Roman"/>
        <family val="1"/>
      </rPr>
      <t xml:space="preserve">; Tp Bà Rịa tỉnh </t>
    </r>
    <r>
      <rPr>
        <b/>
        <sz val="13"/>
        <color rgb="FF000000"/>
        <rFont val="Times New Roman"/>
        <family val="1"/>
      </rPr>
      <t>Bà Rịa -Vũng Tàu</t>
    </r>
    <r>
      <rPr>
        <sz val="13"/>
        <color rgb="FF000000"/>
        <rFont val="Times New Roman"/>
        <family val="1"/>
      </rPr>
      <t xml:space="preserve">; huyện Đức Huệ tỉnh </t>
    </r>
    <r>
      <rPr>
        <b/>
        <sz val="13"/>
        <color rgb="FF000000"/>
        <rFont val="Times New Roman"/>
        <family val="1"/>
      </rPr>
      <t>Long An</t>
    </r>
    <r>
      <rPr>
        <sz val="13"/>
        <color rgb="FF000000"/>
        <rFont val="Times New Roman"/>
        <family val="1"/>
      </rPr>
      <t xml:space="preserve">; TX Gò Công và các huyện Cái Bè, Cai Lậy, Châu Thành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huyện Kế Sách, Cù Lao Dung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>.</t>
    </r>
  </si>
  <si>
    <t>Khu vực 2</t>
  </si>
  <si>
    <r>
      <t xml:space="preserve">     Tp Móng Cái, Cẩm Phả, Uông Bí, Hạ Long, và các huyện Bình Liêu, Tiên Yên, Đầm Hà, Hải Hà, Vân Đồn tỉnh </t>
    </r>
    <r>
      <rPr>
        <b/>
        <sz val="13"/>
        <color rgb="FF000000"/>
        <rFont val="Times New Roman"/>
        <family val="1"/>
      </rPr>
      <t>Quảng Ninh</t>
    </r>
    <r>
      <rPr>
        <sz val="13"/>
        <color rgb="FF000000"/>
        <rFont val="Times New Roman"/>
        <family val="1"/>
      </rPr>
      <t xml:space="preserve">; Tp Bắc Giang, huyện Lạng Giang tỉnh </t>
    </r>
    <r>
      <rPr>
        <b/>
        <sz val="13"/>
        <color rgb="FF000000"/>
        <rFont val="Times New Roman"/>
        <family val="1"/>
      </rPr>
      <t>Bắc Giang</t>
    </r>
    <r>
      <rPr>
        <sz val="13"/>
        <color rgb="FF000000"/>
        <rFont val="Times New Roman"/>
        <family val="1"/>
      </rPr>
      <t xml:space="preserve">; Tp Thái Nguyên tỉnh </t>
    </r>
    <r>
      <rPr>
        <b/>
        <sz val="13"/>
        <color rgb="FF000000"/>
        <rFont val="Times New Roman"/>
        <family val="1"/>
      </rPr>
      <t>Thái Nguyên</t>
    </r>
    <r>
      <rPr>
        <sz val="13"/>
        <color rgb="FF000000"/>
        <rFont val="Times New Roman"/>
        <family val="1"/>
      </rPr>
      <t xml:space="preserve">; Tp Hải Dương và huyện Kinh Môn tỉnh </t>
    </r>
    <r>
      <rPr>
        <b/>
        <sz val="13"/>
        <color rgb="FF000000"/>
        <rFont val="Times New Roman"/>
        <family val="1"/>
      </rPr>
      <t>Hải Dương</t>
    </r>
    <r>
      <rPr>
        <sz val="13"/>
        <color rgb="FF000000"/>
        <rFont val="Times New Roman"/>
        <family val="1"/>
      </rPr>
      <t>; quận Kiến An, Đồ Sơn và các huyện Thủy Nguyên, An Dương, Vĩnh Bảo Tp</t>
    </r>
    <r>
      <rPr>
        <b/>
        <sz val="13"/>
        <color rgb="FF000000"/>
        <rFont val="Times New Roman"/>
        <family val="1"/>
      </rPr>
      <t xml:space="preserve"> Hải Phòng</t>
    </r>
    <r>
      <rPr>
        <sz val="13"/>
        <color rgb="FF000000"/>
        <rFont val="Times New Roman"/>
        <family val="1"/>
      </rPr>
      <t xml:space="preserve">; Tp Thái Bình và các huyện Quỳnh Phụ, Hưng Hà tỉnh </t>
    </r>
    <r>
      <rPr>
        <b/>
        <sz val="13"/>
        <color rgb="FF000000"/>
        <rFont val="Times New Roman"/>
        <family val="1"/>
      </rPr>
      <t>Thái Bình</t>
    </r>
    <r>
      <rPr>
        <sz val="13"/>
        <color rgb="FF000000"/>
        <rFont val="Times New Roman"/>
        <family val="1"/>
      </rPr>
      <t xml:space="preserve">; huyện Ý Yên, Vụ Bản tỉnh </t>
    </r>
    <r>
      <rPr>
        <b/>
        <sz val="13"/>
        <color rgb="FF000000"/>
        <rFont val="Times New Roman"/>
        <family val="1"/>
      </rPr>
      <t>Nam Định</t>
    </r>
    <r>
      <rPr>
        <sz val="13"/>
        <color rgb="FF000000"/>
        <rFont val="Times New Roman"/>
        <family val="1"/>
      </rPr>
      <t xml:space="preserve">; thị xã Nghi Sơn, TP Sầm Sơn tỉnh </t>
    </r>
    <r>
      <rPr>
        <b/>
        <sz val="13"/>
        <color rgb="FF000000"/>
        <rFont val="Times New Roman"/>
        <family val="1"/>
      </rPr>
      <t>Thanh Hóa</t>
    </r>
    <r>
      <rPr>
        <sz val="13"/>
        <color rgb="FF000000"/>
        <rFont val="Times New Roman"/>
        <family val="1"/>
      </rPr>
      <t xml:space="preserve">; Tp Vinh và các huyện Nghi Lộc, Quỳnh Lưu, Diễn Châu, </t>
    </r>
    <r>
      <rPr>
        <sz val="13"/>
        <rFont val="Times New Roman"/>
        <family val="1"/>
      </rPr>
      <t>TX Hoàng Mai,</t>
    </r>
    <r>
      <rPr>
        <sz val="13"/>
        <color rgb="FF000000"/>
        <rFont val="Times New Roman"/>
        <family val="1"/>
      </rPr>
      <t xml:space="preserve"> Yên Thành, Đô Lương, Nam Đàn, Hưng Nguyên tỉnh </t>
    </r>
    <r>
      <rPr>
        <b/>
        <sz val="13"/>
        <color rgb="FF000000"/>
        <rFont val="Times New Roman"/>
        <family val="1"/>
      </rPr>
      <t>Nghệ An</t>
    </r>
    <r>
      <rPr>
        <sz val="13"/>
        <color rgb="FF000000"/>
        <rFont val="Times New Roman"/>
        <family val="1"/>
      </rPr>
      <t xml:space="preserve">; Tp Hà Tĩnh, TX Hồng Lĩnh và các huyện </t>
    </r>
    <r>
      <rPr>
        <sz val="13"/>
        <rFont val="Times New Roman"/>
        <family val="1"/>
      </rPr>
      <t>Lộc Hà</t>
    </r>
    <r>
      <rPr>
        <sz val="13"/>
        <color rgb="FF000000"/>
        <rFont val="Times New Roman"/>
        <family val="1"/>
      </rPr>
      <t xml:space="preserve">, Thạch Hà, Cẩm Xuyên, Hương Sơn, Đức Thọ, Nghi Xuân, Can Lộc, Hương Khê, Kỳ Anh tỉnh </t>
    </r>
    <r>
      <rPr>
        <b/>
        <sz val="13"/>
        <color rgb="FF000000"/>
        <rFont val="Times New Roman"/>
        <family val="1"/>
      </rPr>
      <t>Hà Tĩnh</t>
    </r>
    <r>
      <rPr>
        <sz val="13"/>
        <color rgb="FF000000"/>
        <rFont val="Times New Roman"/>
        <family val="1"/>
      </rPr>
      <t xml:space="preserve">; Tp Đồng Hới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Tp Huế và các huyện Phong Điền, Quảng Điền, Phú Vang, tỉnh </t>
    </r>
    <r>
      <rPr>
        <b/>
        <sz val="13"/>
        <color rgb="FF000000"/>
        <rFont val="Times New Roman"/>
        <family val="1"/>
      </rPr>
      <t>Thừa Thiên Huế</t>
    </r>
    <r>
      <rPr>
        <sz val="13"/>
        <color rgb="FF000000"/>
        <rFont val="Times New Roman"/>
        <family val="1"/>
      </rPr>
      <t xml:space="preserve">; Tp Tam Kỳ, Hội An và các huyện Đại Lộc, Duy Xuyên, Tiên Phước, Phú Ninh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huyện Sơn Hà, Đức Phổ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Tp Quy Nhơn và các huyện Tây Sơn, Vân Canh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Tuy An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huyện Diên Khánh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huyện Bác Ái, Ninh Hải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Tp Kon Tum và các huyện Đăk Grei, Kon Plong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Tp Pleiku và huyện Kongchro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Krongno tỉnh </t>
    </r>
    <r>
      <rPr>
        <b/>
        <sz val="13"/>
        <color rgb="FF000000"/>
        <rFont val="Times New Roman"/>
        <family val="1"/>
      </rPr>
      <t>Đăk Nông</t>
    </r>
    <r>
      <rPr>
        <sz val="13"/>
        <color rgb="FF000000"/>
        <rFont val="Times New Roman"/>
        <family val="1"/>
      </rPr>
      <t xml:space="preserve">; huyện Chơn Thành tỉnh </t>
    </r>
    <r>
      <rPr>
        <b/>
        <sz val="13"/>
        <color rgb="FF000000"/>
        <rFont val="Times New Roman"/>
        <family val="1"/>
      </rPr>
      <t>Bình Phước</t>
    </r>
    <r>
      <rPr>
        <sz val="13"/>
        <color rgb="FF000000"/>
        <rFont val="Times New Roman"/>
        <family val="1"/>
      </rPr>
      <t xml:space="preserve">; huyện Hóa Thành, Dương Minh Châu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TX Tân Uyên, Tp Dỹ An, Thuận An tỉnh </t>
    </r>
    <r>
      <rPr>
        <b/>
        <sz val="13"/>
        <color rgb="FF000000"/>
        <rFont val="Times New Roman"/>
        <family val="1"/>
      </rPr>
      <t>Bình Dương</t>
    </r>
    <r>
      <rPr>
        <sz val="13"/>
        <color rgb="FF000000"/>
        <rFont val="Times New Roman"/>
        <family val="1"/>
      </rPr>
      <t xml:space="preserve">; huyện Vĩnh Cửu tỉnh </t>
    </r>
    <r>
      <rPr>
        <b/>
        <sz val="13"/>
        <color rgb="FF000000"/>
        <rFont val="Times New Roman"/>
        <family val="1"/>
      </rPr>
      <t>Đồng Nai</t>
    </r>
    <r>
      <rPr>
        <sz val="13"/>
        <color rgb="FF000000"/>
        <rFont val="Times New Roman"/>
        <family val="1"/>
      </rPr>
      <t>; quận 8, 9 và huyện Bình Chánh Tp</t>
    </r>
    <r>
      <rPr>
        <b/>
        <sz val="13"/>
        <color rgb="FF000000"/>
        <rFont val="Times New Roman"/>
        <family val="1"/>
      </rPr>
      <t xml:space="preserve"> Hồ Chí Minh</t>
    </r>
    <r>
      <rPr>
        <sz val="13"/>
        <color rgb="FF000000"/>
        <rFont val="Times New Roman"/>
        <family val="1"/>
      </rPr>
      <t xml:space="preserve">; huyện Chợ Gạo, Tân Phước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Thành, Bình Đại tỉnh </t>
    </r>
    <r>
      <rPr>
        <b/>
        <sz val="13"/>
        <color rgb="FF000000"/>
        <rFont val="Times New Roman"/>
        <family val="1"/>
      </rPr>
      <t>Bến Tre</t>
    </r>
    <r>
      <rPr>
        <sz val="13"/>
        <color rgb="FF000000"/>
        <rFont val="Times New Roman"/>
        <family val="1"/>
      </rPr>
      <t xml:space="preserve">; huyện Càng Long, Duyên Hải tỉnh </t>
    </r>
    <r>
      <rPr>
        <b/>
        <sz val="13"/>
        <color rgb="FF000000"/>
        <rFont val="Times New Roman"/>
        <family val="1"/>
      </rPr>
      <t>Trà Vinh</t>
    </r>
    <r>
      <rPr>
        <sz val="13"/>
        <color rgb="FF000000"/>
        <rFont val="Times New Roman"/>
        <family val="1"/>
      </rPr>
      <t xml:space="preserve">; huyện Tân Hồng, Châu Thành tỉnh </t>
    </r>
    <r>
      <rPr>
        <b/>
        <sz val="13"/>
        <color rgb="FF000000"/>
        <rFont val="Times New Roman"/>
        <family val="1"/>
      </rPr>
      <t>Đồng Tháp</t>
    </r>
    <r>
      <rPr>
        <sz val="13"/>
        <color rgb="FF000000"/>
        <rFont val="Times New Roman"/>
        <family val="1"/>
      </rPr>
      <t xml:space="preserve">; huyện An Phú tỉnh </t>
    </r>
    <r>
      <rPr>
        <b/>
        <sz val="13"/>
        <color rgb="FF000000"/>
        <rFont val="Times New Roman"/>
        <family val="1"/>
      </rPr>
      <t>An Giang</t>
    </r>
    <r>
      <rPr>
        <sz val="13"/>
        <color rgb="FF000000"/>
        <rFont val="Times New Roman"/>
        <family val="1"/>
      </rPr>
      <t>; quận Bình Thủy và huyện Phong Điền Tp</t>
    </r>
    <r>
      <rPr>
        <b/>
        <sz val="13"/>
        <color rgb="FF000000"/>
        <rFont val="Times New Roman"/>
        <family val="1"/>
      </rPr>
      <t xml:space="preserve"> Cần Thơ</t>
    </r>
    <r>
      <rPr>
        <sz val="13"/>
        <color rgb="FF000000"/>
        <rFont val="Times New Roman"/>
        <family val="1"/>
      </rPr>
      <t xml:space="preserve">; huyện Vị Thủy, Long Mỹ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Tp Sóc Trăng và các huyện Mỹ Xuyên, Thạnh Trị, Vĩnh Châu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 xml:space="preserve">; huyện Hồng Dân tỉnh </t>
    </r>
    <r>
      <rPr>
        <b/>
        <sz val="13"/>
        <color rgb="FF000000"/>
        <rFont val="Times New Roman"/>
        <family val="1"/>
      </rPr>
      <t>Bạc Liêu</t>
    </r>
    <r>
      <rPr>
        <sz val="13"/>
        <color rgb="FF000000"/>
        <rFont val="Times New Roman"/>
        <family val="1"/>
      </rPr>
      <t xml:space="preserve">; huyện Thới Bình, Cái Nước tỉnh </t>
    </r>
    <r>
      <rPr>
        <b/>
        <sz val="13"/>
        <color rgb="FF000000"/>
        <rFont val="Times New Roman"/>
        <family val="1"/>
      </rPr>
      <t>Cà Mau</t>
    </r>
    <r>
      <rPr>
        <sz val="13"/>
        <color rgb="FF000000"/>
        <rFont val="Times New Roman"/>
        <family val="1"/>
      </rPr>
      <t>.</t>
    </r>
  </si>
  <si>
    <t>Khu vực 1</t>
  </si>
  <si>
    <t xml:space="preserve">     Tất cả các địa phương còn lại ngoài các địa phương thuộc các khu vực 2, 3, 4 đã nêu ở trên, trên địa bàn cả nước.</t>
  </si>
  <si>
    <t xml:space="preserve">     Vùng ven biên giới Việt-Trung (2,5 km tính từ đường biên giới vào nội địa) gồm: các huyện thuộc tỉnh Lạng Sơn; huyện Hà Quảng thuộc tỉnh Cao Bằng; các xã biên giới của huyện Vị Xuyên, Yên Minh, Quản Bạ, Xín Mần thuộc tỉnh Hà Giang; tỉnh Quảng Trị; huyện A Lưới tỉnh Thừa Thiên Huế.</t>
  </si>
  <si>
    <t>Trên cạn và dưới nước</t>
  </si>
  <si>
    <t>Tên địa phương</t>
  </si>
  <si>
    <t xml:space="preserve">     Tất cả các vùng biển và ven biển thuộc địa phận các tỉnh nằm ngoài vùng biển và ven biển thuộc các khu vực 2, 3 trên địa bàn ven biển cả nước.</t>
  </si>
  <si>
    <t xml:space="preserve">     Vùng biển và ven biển thuộc địa phận các tỉnh, thành phố: Thanh Hoá, Nghệ An, Thừa Thiên Huế, Đà Nẵng, Bình Định, Bà Rịa-Vũng Tàu, Cà Mau, Kiên Giang.</t>
  </si>
  <si>
    <t xml:space="preserve">     Vùng biển và ven biển thuộc địa phận các tỉnh, thành phố: Quảng Ninh, Hải Phòng, Quảng Trị, Hà Tĩnh, Quảng Bình. </t>
  </si>
  <si>
    <t>Khu vực đặc biệt</t>
  </si>
  <si>
    <t xml:space="preserve">     Khu vực làm bãi huỷ bom, đạn cũ ngoài biển.</t>
  </si>
  <si>
    <t>Phân loại khu vực</t>
  </si>
  <si>
    <t>Số lượng tín hiệu</t>
  </si>
  <si>
    <t>Độ sâu 0,3 m hoặc 0,5 m</t>
  </si>
  <si>
    <t>Độ sâu trên 0,3 m đến 1 m</t>
  </si>
  <si>
    <t>Độ sâu trên</t>
  </si>
  <si>
    <t xml:space="preserve"> 1 m  đến 3 m</t>
  </si>
  <si>
    <t>Độ sâu trên 3 m đến 5 m</t>
  </si>
  <si>
    <t xml:space="preserve">Độ sâu trên </t>
  </si>
  <si>
    <t>5 m đến 10 m</t>
  </si>
  <si>
    <t>5. Phân loại mật độ tín hiệu áp dụng đối với từng khu vực</t>
  </si>
  <si>
    <t>a) Rà phá bom mìn vật nổ trên cạn tính cho 10.000 m2</t>
  </si>
  <si>
    <t>Kế hoạch LCNT thi công</t>
  </si>
  <si>
    <t xml:space="preserve"> khu vực</t>
  </si>
  <si>
    <t xml:space="preserve">Số lượng tín hiệu </t>
  </si>
  <si>
    <t>Đến độ sâu 0,5 m</t>
  </si>
  <si>
    <t>Trên 0,5 m đến 1 m</t>
  </si>
  <si>
    <t>Độ sâu  trên 1 m đến 10 m</t>
  </si>
  <si>
    <t>Trên bề mặt</t>
  </si>
  <si>
    <t xml:space="preserve"> đáy nước</t>
  </si>
  <si>
    <t>Đến độ sâu 1 m tính từ đáy nước</t>
  </si>
  <si>
    <t>Đến độ sâu 5 m tính từ đáy nước</t>
  </si>
  <si>
    <t>b) Rà phá bom mìn vật nổ dưới nước tính cho 10.000 m2</t>
  </si>
  <si>
    <t>c) Rà phá bom mìn vật nổ dưới biển tính cho 10.000 m2</t>
  </si>
  <si>
    <t>&gt;245</t>
  </si>
  <si>
    <t>&gt;25</t>
  </si>
  <si>
    <t>&gt;80</t>
  </si>
  <si>
    <t>&gt;30</t>
  </si>
  <si>
    <t>&gt;4</t>
  </si>
  <si>
    <t>&gt;1</t>
  </si>
  <si>
    <t>&gt;0,5</t>
  </si>
  <si>
    <t>&gt;6</t>
  </si>
  <si>
    <t>&gt;1,5</t>
  </si>
  <si>
    <t xml:space="preserve">  - Hành lang an toàn: 
    + 50m tính từ mép công trình ra phía ngoài về 4 phía đối với diện tích công trình cầu,
    + 3m tính từ mép chu vi đường biên dự án ra phía ngoài đối với diện tích công trình còn lại,</t>
  </si>
  <si>
    <t>Diện tích hành lang an toàn</t>
  </si>
  <si>
    <t>Xã Nghĩa Đạo</t>
  </si>
  <si>
    <t>Xã Mao Điền (Vị trí 1)</t>
  </si>
  <si>
    <t>Diện tích rà phá BMVN đến độ sâu 0,5m:</t>
  </si>
  <si>
    <t>Diện tích rà phá BMVN từ 0,5 đến độ sâu 5m:</t>
  </si>
  <si>
    <t>Dò tìm dưới nước đến độ sâu 0,5m. Nước sâu 0,5m - 12m</t>
  </si>
  <si>
    <t>Đánh dấu tín hiệu cho các loại độ sâu. Nước sâu 3m - 12m</t>
  </si>
  <si>
    <t>Lặn xử lý TH nằm từ độ sâu 1m-3m
(T/hiệu)</t>
  </si>
  <si>
    <t>Diện tích công trình theo thiết kế</t>
  </si>
  <si>
    <t>Tổng diện tích</t>
  </si>
  <si>
    <t>Diện tích không RPBM</t>
  </si>
  <si>
    <t>Còn lại</t>
  </si>
  <si>
    <t>m2</t>
  </si>
  <si>
    <t>Thi công vùng nước chảy, có 0m/s &lt; Vn &lt;=0,5m/s chi phí máy, nhân công được nhân với hệ số 1,1</t>
  </si>
  <si>
    <t>Phụ lục 01</t>
  </si>
  <si>
    <t>K1+…..+K6</t>
  </si>
  <si>
    <t>Điều tra khảo sát, lập PADT</t>
  </si>
  <si>
    <t>Theo bảng PTDT</t>
  </si>
  <si>
    <t>Ký hiệu</t>
  </si>
  <si>
    <t>qq</t>
  </si>
  <si>
    <t>Bảng 3.3: ĐỊNH MỨC CHI PHÍ NHÀ TẠM ĐỂ Ở VÀ ĐIỀU HÀNH THI CÔNG</t>
  </si>
  <si>
    <t>Bảng 2.21. Định mức chi phí giám sát thi công xây dựng (Theo Thông tư số 12/2021/TT-BXD ngày 31/8/2021 của Bộ Xây dựng)</t>
  </si>
  <si>
    <t>Dò tìm trên cạn từ độ sâu 0,3m-3m.</t>
  </si>
  <si>
    <t>HS lưu tốc</t>
  </si>
  <si>
    <t xml:space="preserve">PHÂN TÍCH NHÂN SỰ </t>
  </si>
  <si>
    <t>Phân loại:</t>
  </si>
  <si>
    <t>Tổng:</t>
  </si>
  <si>
    <t>Số ngày thi công</t>
  </si>
  <si>
    <t>Nhân sự (1 đội)</t>
  </si>
  <si>
    <t>Công trình qua địa phận TP. Chí Linh (Km0+00 - Km3+650)</t>
  </si>
  <si>
    <t>Tuyến chính</t>
  </si>
  <si>
    <t>Tuyến nhánh 1 (ĐT 389B)</t>
  </si>
  <si>
    <t>Tuyến nhánh 2 (ĐT 389)</t>
  </si>
  <si>
    <t>Thi công theo GNV TCT 319</t>
  </si>
  <si>
    <t>Thành An</t>
  </si>
  <si>
    <t>Công trình theo tuyến &lt;= 15 tỷ bảng 3.3</t>
  </si>
  <si>
    <t>Kết luận: Sử dụng 12 đội thi công trong 20 ngày.</t>
  </si>
  <si>
    <t>Dự án: Đầu tư xây dựng tuyến đường và cầu Vạn kết nối Quốc lộ 37, thành phố Chí Linh với đường dẫn cầu Triều, thị xã Kinh Môn</t>
  </si>
  <si>
    <t>Địa điểm: Thành phố Chí Linh và thị xã Kinh Môn, tỉnh Hải Dương</t>
  </si>
  <si>
    <t>Sinh hoạt phí</t>
  </si>
  <si>
    <t>Doanh nghiệp</t>
  </si>
  <si>
    <t>Sinh hoạt phí dự kiến sau thẩm định</t>
  </si>
  <si>
    <t>Doanh nghiệp dự kiến sau thẩm định</t>
  </si>
  <si>
    <t>Giá trị dự toán theo</t>
  </si>
  <si>
    <t>(6)=(4)-(5)</t>
  </si>
  <si>
    <t>(9)=(7)-(8)</t>
  </si>
  <si>
    <t>Diện tích công trình cầu</t>
  </si>
  <si>
    <t>Diện tích công trình còn lại</t>
  </si>
  <si>
    <t>Dò đến độ sâu 5m</t>
  </si>
  <si>
    <t>Dò đến độ sâu 3m</t>
  </si>
  <si>
    <t>Dò đến độ sâu 0,3m</t>
  </si>
  <si>
    <t>Dò đến độ sâu 0,5m</t>
  </si>
  <si>
    <t>PHỤ LỤC 01: BẢNG CHI TIẾT DIỆN TÍCH RÀ PHÁ BOM MÌN VẬT NỔ</t>
  </si>
  <si>
    <t>Công trình qua địa phận thị xã Kinh Môn (Km3+650 - Cuối tuyến và 2 tuyến nhánh)</t>
  </si>
  <si>
    <t>Hợp đồng KS</t>
  </si>
  <si>
    <t>281/2024/HĐ-BM</t>
  </si>
  <si>
    <t>Tín hiệu
 từ độ sâu 0,3 -3m (T/hiệu)</t>
  </si>
  <si>
    <t>Tín hiệu
 từ độ sâu 3-5m (T/hiệu)</t>
  </si>
  <si>
    <r>
      <t>Đào đất, xử lý tín hiệu  từ độ sâu 0,3 -3m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</si>
  <si>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r>
      <t>Đào đất, xử lý tín hiệu  từ độ sâu 3 -5m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</si>
  <si>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t>CÁN BỘ CHỦ ĐẦU TƯ</t>
  </si>
  <si>
    <t>Dò tìm và xử lý bom mìn vật nổ dưới nước (Nước sâu TB&lt;3m)</t>
  </si>
  <si>
    <t>BẢNG TỔNG HỢP KHỐI LƯỢNG NHẬT KÝ THI CÔNG KHẢO SÁT RÀ PHÁ BOM MÌN, VẬT NỔ TRÊN CẠN</t>
  </si>
  <si>
    <t>BẢNG TỔNG HỢP KHỐI LƯỢNG NHẬT KÝ THI CÔNG KHẢO SÁT RÀ PHÁ BOM MÌN, VẬT NỔ DƯỚI NƯỚC</t>
  </si>
  <si>
    <t>Đỗ Văn Tiến</t>
  </si>
  <si>
    <t>Đội trưởng</t>
  </si>
  <si>
    <t>Đỗ Văn Đương</t>
  </si>
  <si>
    <t>Đội phó</t>
  </si>
  <si>
    <t>Đinh Văn Chánh</t>
  </si>
  <si>
    <t>Đinh Văn Trang.</t>
  </si>
  <si>
    <t>Đinh Văn Giang</t>
  </si>
  <si>
    <t>Ngọ Đình Hiệp</t>
  </si>
  <si>
    <t>Đinh Văn Ngọc</t>
  </si>
  <si>
    <t>Ngô Văn Việt</t>
  </si>
  <si>
    <t>Lê Xuân Vương</t>
  </si>
  <si>
    <t>Nguyễn Quý Tùng</t>
  </si>
  <si>
    <t>Dương Văn Hiếu</t>
  </si>
  <si>
    <t>Trần Viết Doãn</t>
  </si>
  <si>
    <t>Ngọ Đình Toản</t>
  </si>
  <si>
    <t>Ngọ Đình Hà</t>
  </si>
  <si>
    <t>Trần Ngọc Sơn</t>
  </si>
  <si>
    <t>Nguyễn Đình Tình</t>
  </si>
  <si>
    <t>Trương Thị Thu</t>
  </si>
  <si>
    <t>Quân Y</t>
  </si>
  <si>
    <t>Trần Chí Nguyên</t>
  </si>
  <si>
    <t>Nguyễn Việt Bắc</t>
  </si>
  <si>
    <t>Kỹ thuật viên</t>
  </si>
  <si>
    <t>Vũ Phương Đông</t>
  </si>
  <si>
    <t>Ngô Văn Hùng</t>
  </si>
  <si>
    <t>Nguyễn Văn Cường</t>
  </si>
  <si>
    <t>Vũ Văn Kiên</t>
  </si>
  <si>
    <t>Nhân viên QLCL</t>
  </si>
  <si>
    <t>NV hậu cần</t>
  </si>
  <si>
    <t>NV hậu cần (kiêm lái xe)</t>
  </si>
  <si>
    <t>NV vật tư (kiêm QLTT)</t>
  </si>
  <si>
    <t>Nhân viên cảnh giới</t>
  </si>
  <si>
    <t>DT TB/ngày (ha)</t>
  </si>
  <si>
    <t>Quy đổi (ha)</t>
  </si>
  <si>
    <t>ĐƠN GIÁ DƯỚI NƯỚC</t>
  </si>
  <si>
    <t>PHỤ LỤC 01: BẢNG CHI TIẾT DIỆN TÍCH RÀ PHÁ BOM MÌN, VẬT NỔ</t>
  </si>
  <si>
    <t>Tổng diện tích (m2)</t>
  </si>
  <si>
    <t>DT 1 ô</t>
  </si>
  <si>
    <t>1% DT</t>
  </si>
  <si>
    <t>Số ô</t>
  </si>
  <si>
    <t>Lựa chọn</t>
  </si>
  <si>
    <t>-</t>
  </si>
  <si>
    <t>BẢNG TỔNG HỢP DIỆN TÍCH RÀ PHÁ BOM MÌN, VẬT NỔ</t>
  </si>
  <si>
    <t>KT</t>
  </si>
  <si>
    <t>Diện tích RPBMVN đến độ sâu 0,3m</t>
  </si>
  <si>
    <t>Diện tích RPBMVN từ độ sâu 0,3 - 3m</t>
  </si>
  <si>
    <t>* Khối lượng chi tiết xem phụ lục 01: Bảng chi tiết diện tích rà phá bom mìn, vật nổ</t>
  </si>
  <si>
    <t>Ghi chú:</t>
  </si>
  <si>
    <t>Diện tích RPBMVN đến độ sâu 0,5m</t>
  </si>
  <si>
    <t>Diện tích RPBMVN từ độ sâu 0,5 - 3m</t>
  </si>
  <si>
    <t>Dò tìm dưới nước từ độ sâu 0,5m - 3m. Nước sâu 0,5m - 12m</t>
  </si>
  <si>
    <t>OTC</t>
  </si>
  <si>
    <t>Tên cọc</t>
  </si>
  <si>
    <t>Lý trình
(m)</t>
  </si>
  <si>
    <t>K/cách 
lẻ 
(m)</t>
  </si>
  <si>
    <t>Bề rộng công trình cần rà phá BMVN theo thiết kế (m)</t>
  </si>
  <si>
    <t>Diện tích RPBMVN trên cạn đến độ sâu 0,3m (m2)</t>
  </si>
  <si>
    <t>Diện tích RPBMVN trên cạn từ độ sâu 0,3m - 3m (m2)</t>
  </si>
  <si>
    <t>Quy ước</t>
  </si>
  <si>
    <t>A Tiến</t>
  </si>
  <si>
    <t>Có</t>
  </si>
  <si>
    <t>Cäc: 1A</t>
  </si>
  <si>
    <t>0 không có</t>
  </si>
  <si>
    <t>Cäc: 1</t>
  </si>
  <si>
    <t>1 chỉ có bên trái</t>
  </si>
  <si>
    <t>Cäc: TD1</t>
  </si>
  <si>
    <t>10 chỉ có bên phải</t>
  </si>
  <si>
    <t>Cäc: 2</t>
  </si>
  <si>
    <t>11 cae 2 bên</t>
  </si>
  <si>
    <t>Cäc: 3</t>
  </si>
  <si>
    <t>Cäc: P1</t>
  </si>
  <si>
    <t>Cäc: 4</t>
  </si>
  <si>
    <t>Cäc: TC1</t>
  </si>
  <si>
    <t>Cäc: 5</t>
  </si>
  <si>
    <t>Cäc: 5A</t>
  </si>
  <si>
    <t>Cäc: 6</t>
  </si>
  <si>
    <t>Cäc: 7</t>
  </si>
  <si>
    <t>Cäc: 13A</t>
  </si>
  <si>
    <t>Cäc: 13</t>
  </si>
  <si>
    <t>Cäc: 14</t>
  </si>
  <si>
    <t>Cäc: P2</t>
  </si>
  <si>
    <t>Cäc: 15</t>
  </si>
  <si>
    <t>Cäc: 16</t>
  </si>
  <si>
    <t>Cäc: 17</t>
  </si>
  <si>
    <t>Cäc: 18</t>
  </si>
  <si>
    <t>Cäc: 19</t>
  </si>
  <si>
    <t>Cäc: TC2</t>
  </si>
  <si>
    <t>Cäc: H3</t>
  </si>
  <si>
    <t>Cäc: 20</t>
  </si>
  <si>
    <t>Cäc: 21</t>
  </si>
  <si>
    <t>Cäc: TD3</t>
  </si>
  <si>
    <t>Cäc: 22</t>
  </si>
  <si>
    <t>Cäc: P3</t>
  </si>
  <si>
    <t>Cäc: 23A</t>
  </si>
  <si>
    <t>Cäc: 23</t>
  </si>
  <si>
    <t>DT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</si>
  <si>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</si>
  <si>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</si>
  <si>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</si>
  <si>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</si>
  <si>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</si>
  <si>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</si>
  <si>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</si>
  <si>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</si>
  <si>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</si>
  <si>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</si>
  <si>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CT</t>
  </si>
  <si>
    <t>Diện tích trên cạn</t>
  </si>
  <si>
    <t>Diện tích dưới nước</t>
  </si>
  <si>
    <t>Hành lang an toàn(m)</t>
  </si>
  <si>
    <t>1%DT</t>
  </si>
  <si>
    <t>KT 1 ô</t>
  </si>
  <si>
    <t>Số ô TT</t>
  </si>
  <si>
    <t>Số ô Lựa chọn</t>
  </si>
  <si>
    <t>20*20</t>
  </si>
  <si>
    <t>* Công trình là công trình nông nghiệp và phát triển nông thôn theo Thông tư số 59/2022/TT-BQP ngày 30/8/2022:
- Hành lang an toàn: 3m tính từ mép chu vi đường biên ra phía ngoài.
- Độ sâu rà phá bom mìn vật nổ: 
+ Đến 3m đối với các diện tích công trình;
+ Đến 0,3 m đối với diện tích hành lang an toàn trên cạn.
+ Đến 0,5 m đối với diện tích hành lang an toàn dưới nước.</t>
  </si>
  <si>
    <t>Diện tích RPBMVN dưới nước đến độ sâu 0,5m (m2)</t>
  </si>
  <si>
    <t>Diện tích RPBMVN dưới nước từ độ sâu 0,5m - 5m (m2)</t>
  </si>
  <si>
    <t>Tuyến kênh dẫn tiêu (sông Quảng Lãng), đoạn từ bể hút trạm bơm về phía cầu Lưu Xá</t>
  </si>
  <si>
    <t>Diện tích khảo sát lập PAKTTC và dự toán (ha)</t>
  </si>
  <si>
    <t>Diện tích RPBMVN (ha)</t>
  </si>
  <si>
    <t>Thu nhập chịu thuế tính trước</t>
  </si>
  <si>
    <t>TL</t>
  </si>
  <si>
    <t>Áp dụng công trình giao thông 6%</t>
  </si>
  <si>
    <t>Công trình nông nghiệp và phát triển nông thôn 5,5%</t>
  </si>
  <si>
    <t>T+C+TL</t>
  </si>
  <si>
    <t>VI</t>
  </si>
  <si>
    <t>Thuế VAT (8%)</t>
  </si>
  <si>
    <t>VAT</t>
  </si>
  <si>
    <t>8%*(Q-K3-K4)</t>
  </si>
  <si>
    <t>VII</t>
  </si>
  <si>
    <t>Cộng giá trị dự toán sau thuế</t>
  </si>
  <si>
    <t>Q+VAT</t>
  </si>
  <si>
    <t>V</t>
  </si>
  <si>
    <t>Chi phí chịu thế tính trước</t>
  </si>
  <si>
    <t>Bảng 3.5: ĐỊNH MỨC THU NHẬP CHỊU THUẾ TÍNH TRƯỚC</t>
  </si>
  <si>
    <t>LOẠI CÔNG TRÌNH</t>
  </si>
  <si>
    <t>THU NHẬP CHỊU THUẾ TÍNH TRƯỚC</t>
  </si>
  <si>
    <t>Công trình nông nghiệp và phát triển nông thôn</t>
  </si>
  <si>
    <t>Dự toán lắp đặt thiết bị công nghệ trong các công trình xây dựng; xây dựng và lắp đặt đường dây tải điện và trạm biến áp; thí nghiệm hiệu chỉnh điện đường dây và trạm biến áp; thí nghiệm vật liệu, cấu kiện và kết cấu xây dựng</t>
  </si>
  <si>
    <t>Dự án: Cải tạo, nâng cấp  trạm bơm Trà Phương 3 tiêu thoát nước cho vùng các khu công nghiệp huyện Kim Động, Ân Thi, Yên Mỹ tỉnh Hưng Yên</t>
  </si>
  <si>
    <t>Địa điểm: Xã Hồng Quang, tỉnh Hưng Yên</t>
  </si>
  <si>
    <t>Tuyến kênh xả tiêu, đoạn từ hạ lưu cống xả tiêu ra đến sông Cửu An</t>
  </si>
  <si>
    <r>
      <t>Dò tìm dưới nước từ độ sâu 0,5m-3m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</si>
  <si>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>Trạm bơm, nhà quản lý</t>
  </si>
  <si>
    <t>10*10</t>
  </si>
  <si>
    <t>CÁN BỘ QUẢN LÝ CHẤT LƯỢNG</t>
  </si>
  <si>
    <t>…./..../2025</t>
  </si>
  <si>
    <t>Nguyễn Đình Duy</t>
  </si>
  <si>
    <t>PHÓ TỔNG GIÁM ĐỐC</t>
  </si>
  <si>
    <t>Vũ Văn Điềm</t>
  </si>
  <si>
    <t xml:space="preserve">b </t>
  </si>
  <si>
    <t/>
  </si>
  <si>
    <t>Bằng chữ: Một tỷ, hai trăm linh một triệu, năm trăm năm mươi bảy nghìn đồng chẵn.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</si>
</sst>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2">
    <numFmt numFmtId="164" formatCode="_(* #,##0_);_(* \(#,##0\);_(* &quot;-&quot;_);_(@_)"/>
    <numFmt numFmtId="165" formatCode="_(* #,##0.00_);_(* \(#,##0.00\);_(* &quot;-&quot;??_);_(@_)"/>
    <numFmt numFmtId="166" formatCode="&quot;£&quot;#,##0;\-&quot;£&quot;#,##0"/>
    <numFmt numFmtId="167" formatCode="&quot;£&quot;#,##0;[Red]\-&quot;£&quot;#,##0"/>
    <numFmt numFmtId="168" formatCode="&quot;£&quot;#,##0.00;\-&quot;£&quot;#,##0.00"/>
    <numFmt numFmtId="169" formatCode="_-&quot;£&quot;* #,##0_-;\-&quot;£&quot;* #,##0_-;_-&quot;£&quot;* &quot;-&quot;_-;_-@_-"/>
    <numFmt numFmtId="170" formatCode="_-&quot;£&quot;* #,##0.00_-;\-&quot;£&quot;* #,##0.00_-;_-&quot;£&quot;* &quot;-&quot;??_-;_-@_-"/>
    <numFmt numFmtId="171" formatCode="&quot;$&quot;#,##0_);\(&quot;$&quot;#,##0\)"/>
    <numFmt numFmtId="172" formatCode="&quot;$&quot;#,##0_);[Red]\(&quot;$&quot;#,##0\)"/>
    <numFmt numFmtId="173" formatCode="_(&quot;$&quot;* #,##0_);_(&quot;$&quot;* \(#,##0\);_(&quot;$&quot;* &quot;-&quot;_);_(@_)"/>
    <numFmt numFmtId="174" formatCode="_(&quot;$&quot;* #,##0.00_);_(&quot;$&quot;* \(#,##0.00\);_(&quot;$&quot;* &quot;-&quot;??_);_(@_)"/>
    <numFmt numFmtId="175" formatCode="_-* #,##0\ _₫_-;\-* #,##0\ _₫_-;_-* &quot;-&quot;\ _₫_-;_-@_-"/>
    <numFmt numFmtId="176" formatCode="_-* #,##0.00\ _₫_-;\-* #,##0.00\ _₫_-;_-* &quot;-&quot;??\ _₫_-;_-@_-"/>
    <numFmt numFmtId="177" formatCode="_-&quot;$&quot;* #,##0_-;\-&quot;$&quot;* #,##0_-;_-&quot;$&quot;* &quot;-&quot;_-;_-@_-"/>
    <numFmt numFmtId="178" formatCode="_-&quot;$&quot;* #,##0.00_-;\-&quot;$&quot;* #,##0.00_-;_-&quot;$&quot;* &quot;-&quot;??_-;_-@_-"/>
    <numFmt numFmtId="179" formatCode="_ * #,##0_ ;_ * \-#,##0_ ;_ * &quot;-&quot;_ ;_ @_ "/>
    <numFmt numFmtId="180" formatCode="_ * #,##0.00_ ;_ * \-#,##0.00_ ;_ * &quot;-&quot;??_ ;_ @_ "/>
    <numFmt numFmtId="181" formatCode="_(* #,##0.0_);_(* \(#,##0.0\);_(* &quot;-&quot;??_);_(@_)"/>
    <numFmt numFmtId="182" formatCode="_(* #,##0_);_(* \(#,##0\);_(* &quot;-&quot;??_);_(@_)"/>
    <numFmt numFmtId="183" formatCode="_(* #,##0.000_);_(* \(#,##0.000\);_(* &quot;-&quot;??_);_(@_)"/>
    <numFmt numFmtId="184" formatCode="0.000"/>
    <numFmt numFmtId="185" formatCode="#,##0\ &quot;F&quot;;[Red]\-#,##0\ &quot;F&quot;"/>
    <numFmt numFmtId="186" formatCode="#,##0.00\ &quot;F&quot;;\-#,##0.00\ &quot;F&quot;"/>
    <numFmt numFmtId="187" formatCode="#,##0.00\ &quot;F&quot;;[Red]\-#,##0.00\ &quot;F&quot;"/>
    <numFmt numFmtId="188" formatCode="_-* #,##0\ &quot;F&quot;_-;\-* #,##0\ &quot;F&quot;_-;_-* &quot;-&quot;\ &quot;F&quot;_-;_-@_-"/>
    <numFmt numFmtId="189" formatCode="0.000%"/>
    <numFmt numFmtId="190" formatCode="\$#,##0\ ;\(\$#,##0\)"/>
    <numFmt numFmtId="191" formatCode="0.00_)"/>
    <numFmt numFmtId="192" formatCode="&quot;SFr.&quot;\ #,##0.00;[Red]&quot;SFr.&quot;\ \-#,##0.00"/>
    <numFmt numFmtId="193" formatCode="_ &quot;SFr.&quot;\ * #,##0_ ;_ &quot;SFr.&quot;\ * \-#,##0_ ;_ &quot;SFr.&quot;\ * &quot;-&quot;_ ;_ @_ "/>
    <numFmt numFmtId="194" formatCode="0.0%"/>
    <numFmt numFmtId="195" formatCode="_-* #,##0\ &quot;DM&quot;_-;\-* #,##0\ &quot;DM&quot;_-;_-* &quot;-&quot;\ &quot;DM&quot;_-;_-@_-"/>
    <numFmt numFmtId="196" formatCode="#."/>
    <numFmt numFmtId="197" formatCode="#,##0\ &quot;$&quot;_);[Red]\(#,##0\ &quot;$&quot;\)"/>
    <numFmt numFmtId="198" formatCode="&quot;$&quot;###,0&quot;.&quot;00_);[Red]\(&quot;$&quot;###,0&quot;.&quot;00\)"/>
    <numFmt numFmtId="199" formatCode="_-* #,##0.0\ _F_-;\-* #,##0.0\ _F_-;_-* &quot;-&quot;??\ _F_-;_-@_-"/>
    <numFmt numFmtId="200" formatCode="_(* #,##0.0_);_(* \(#,##0.0\);_(* &quot;-&quot;?_);_(@_)"/>
    <numFmt numFmtId="201" formatCode="&quot;$&quot;#,##0;[Red]\-&quot;$&quot;#,##0"/>
    <numFmt numFmtId="202" formatCode="_-* #,##0\ _F_-;\-* #,##0\ _F_-;_-* &quot;-&quot;\ _F_-;_-@_-"/>
    <numFmt numFmtId="203" formatCode="_ &quot;\&quot;* #,##0_ ;_ &quot;\&quot;* \-#,##0_ ;_ &quot;\&quot;* &quot;-&quot;_ ;_ @_ "/>
    <numFmt numFmtId="204" formatCode="&quot;\&quot;#,##0.00;[Red]&quot;\&quot;\-#,##0.00"/>
    <numFmt numFmtId="205" formatCode="&quot;\&quot;#,##0;[Red]&quot;\&quot;\-#,##0"/>
    <numFmt numFmtId="206" formatCode="&quot;$&quot;#,##0.00"/>
    <numFmt numFmtId="207" formatCode="0.000_)"/>
    <numFmt numFmtId="208" formatCode="&quot;C&quot;#,##0.00_);\(&quot;C&quot;#,##0.00\)"/>
    <numFmt numFmtId="209" formatCode="&quot;C&quot;#,##0_);\(&quot;C&quot;#,##0\)"/>
    <numFmt numFmtId="210" formatCode="&quot;C&quot;#,##0_);[Red]\(&quot;C&quot;#,##0\)"/>
    <numFmt numFmtId="211" formatCode="&quot;\&quot;#,##0;&quot;\&quot;\-#,##0"/>
    <numFmt numFmtId="212" formatCode="_-* ###,0&quot;.&quot;00\ _F_B_-;\-* ###,0&quot;.&quot;00\ _F_B_-;_-* &quot;-&quot;??\ _F_B_-;_-@_-"/>
    <numFmt numFmtId="213" formatCode="[=0]&quot;-&quot;;0.000"/>
    <numFmt numFmtId="214" formatCode="[=0]&quot;-&quot;;0,000"/>
    <numFmt numFmtId="215" formatCode="#,##0\ &quot;DM&quot;;\-#,##0\ &quot;DM&quot;"/>
    <numFmt numFmtId="216" formatCode="#,###,###.00"/>
    <numFmt numFmtId="217" formatCode="#,###,###,###.00"/>
    <numFmt numFmtId="218" formatCode="[=0]&quot;-&quot;;#,###"/>
    <numFmt numFmtId="219" formatCode="0.0"/>
    <numFmt numFmtId="220" formatCode="&quot;Km&quot;0&quot;+&quot;000.00"/>
    <numFmt numFmtId="221" formatCode="_(* #,##0.000_);_(* \(#,##0.000\);_(* &quot;-&quot;?_);_(@_)"/>
    <numFmt numFmtId="222" formatCode="_(* #,##0.00_);_(* \(#,##0.00\);_(* &quot;-&quot;?_);_(@_)"/>
    <numFmt numFmtId="223" formatCode="_(* #,##0.000_);_(* \(#,##0.000\);_(* &quot;-&quot;???_);_(@_)"/>
    <numFmt numFmtId="224" formatCode="_(* #,##0.0000_);_(* \(#,##0.0000\);_(* &quot;-&quot;??_);_(@_)"/>
    <numFmt numFmtId="225" formatCode="&quot;$&quot;#,##0;\-&quot;$&quot;#,##0"/>
    <numFmt numFmtId="226" formatCode="##.##%"/>
    <numFmt numFmtId="227" formatCode="\ \ \ \ \ @"/>
    <numFmt numFmtId="228" formatCode="&quot;\&quot;#,##0;[Red]&quot;\&quot;&quot;\&quot;\-#,##0"/>
    <numFmt numFmtId="229" formatCode="&quot;\&quot;#,##0.00;[Red]&quot;\&quot;&quot;\&quot;&quot;\&quot;&quot;\&quot;&quot;\&quot;&quot;\&quot;\-#,##0.00"/>
    <numFmt numFmtId="230" formatCode="_-* #,##0.00\ _V_N_D_-;\-* #,##0.00\ _V_N_D_-;_-* &quot;-&quot;??\ _V_N_D_-;_-@_-"/>
    <numFmt numFmtId="231" formatCode="_-* #,##0.00\ _F_-;\-* #,##0.00\ _F_-;_-* &quot;-&quot;??\ _F_-;_-@_-"/>
    <numFmt numFmtId="232" formatCode="_(&quot;$&quot;\ * #,##0_);_(&quot;$&quot;\ * \(#,##0\);_(&quot;$&quot;\ * &quot;-&quot;_);_(@_)"/>
    <numFmt numFmtId="233" formatCode="_-* #,##0\ _V_N_D_-;\-* #,##0\ _V_N_D_-;_-* &quot;-&quot;\ _V_N_D_-;_-@_-"/>
    <numFmt numFmtId="234" formatCode="###0"/>
    <numFmt numFmtId="235" formatCode="&quot;$&quot;#&quot;$&quot;##0_);\(&quot;$&quot;#&quot;$&quot;##0\)"/>
    <numFmt numFmtId="236" formatCode="&quot;SFr.&quot;\ #,##0.00;&quot;SFr.&quot;\ \-#,##0.00"/>
    <numFmt numFmtId="237" formatCode="0.000_);\(0.000\)"/>
    <numFmt numFmtId="238" formatCode="_ &quot;R&quot;\ * #,##0_ ;_ &quot;R&quot;\ * \-#,##0_ ;_ &quot;R&quot;\ * &quot;-&quot;_ ;_ @_ "/>
    <numFmt numFmtId="239" formatCode="#,##0.0_);\(#,##0.0\)"/>
    <numFmt numFmtId="240" formatCode="_ * #,##0.00_F_ ;_ * #,##0.00_F_ ;_ * &quot;-&quot;??_F_ ;_ @_ "/>
    <numFmt numFmtId="241" formatCode="_ * #,##0.00&quot;F&quot;_ ;_ * #,##0.00&quot;F&quot;_ ;_ * &quot;-&quot;??&quot;F&quot;_ ;_ @_ "/>
    <numFmt numFmtId="242" formatCode="##,###.##"/>
    <numFmt numFmtId="243" formatCode="_-* #,##0.00\ &quot;F&quot;_-;\-* #,##0.00\ &quot;F&quot;_-;_-* &quot;-&quot;??\ &quot;F&quot;_-;_-@_-"/>
    <numFmt numFmtId="244" formatCode="#0.##"/>
    <numFmt numFmtId="245" formatCode="_-* #,##0.00\ _€_-;\-* #,##0.00\ _€_-;_-* &quot;-&quot;??\ _€_-;_-@_-"/>
    <numFmt numFmtId="246" formatCode="#,##0;\(#,##0\)"/>
    <numFmt numFmtId="247" formatCode="&quot;$&quot;#,##0.000_);[Red]\(&quot;$&quot;#,##0.00\)"/>
    <numFmt numFmtId="248" formatCode="##,##0%"/>
    <numFmt numFmtId="249" formatCode="#,###%"/>
    <numFmt numFmtId="250" formatCode="##.##"/>
    <numFmt numFmtId="251" formatCode="###,###"/>
    <numFmt numFmtId="252" formatCode="###.###"/>
    <numFmt numFmtId="253" formatCode="##,###.####"/>
    <numFmt numFmtId="254" formatCode="\t0.00%"/>
    <numFmt numFmtId="255" formatCode="##,##0.##"/>
    <numFmt numFmtId="256" formatCode="m\o\n\th\ \D\,\ \y\y\y\y"/>
    <numFmt numFmtId="257" formatCode="\U\S\$#,##0.00;\(\U\S\$#,##0.00\)"/>
    <numFmt numFmtId="258" formatCode="_-* #,##0\ _D_M_-;\-* #,##0\ _D_M_-;_-* &quot;-&quot;\ _D_M_-;_-@_-"/>
    <numFmt numFmtId="259" formatCode="_-* ###,0&quot;.&quot;00\ _D_M_-;\-* ###,0&quot;.&quot;00\ _D_M_-;_-* &quot;-&quot;??\ _D_M_-;_-@_-"/>
    <numFmt numFmtId="260" formatCode="_-&quot;F&quot;\ * #,##0.0_-;_-&quot;F&quot;\ * #,##0.0\-;_-&quot;F&quot;\ * &quot;-&quot;??_-;_-@_-"/>
    <numFmt numFmtId="261" formatCode="\t#\ ??/??"/>
    <numFmt numFmtId="262" formatCode="#.00"/>
    <numFmt numFmtId="263" formatCode="\ \ \ \ \ \ \ \ \ \ \ \ \ \ \ \ \ \ @"/>
    <numFmt numFmtId="264" formatCode="#,##0.0"/>
    <numFmt numFmtId="265" formatCode="#,###"/>
    <numFmt numFmtId="266" formatCode="&quot;\&quot;#,##0;[Red]\-&quot;\&quot;#,##0"/>
    <numFmt numFmtId="267" formatCode="&quot;\&quot;#,##0.00;\-&quot;\&quot;#,##0.00"/>
    <numFmt numFmtId="268" formatCode="#,##0.000_);\(#,##0.000\)"/>
    <numFmt numFmtId="269" formatCode="#"/>
    <numFmt numFmtId="270" formatCode="&quot;¡?&quot;#,##0;[Red]\-&quot;¡?&quot;#,##0"/>
    <numFmt numFmtId="271" formatCode="&quot;¡Ì&quot;#,##0;[Red]\-&quot;¡Ì&quot;#,##0"/>
    <numFmt numFmtId="272" formatCode="_(&quot;.&quot;* #&quot;$&quot;##0_);_(&quot;.&quot;* \(#&quot;$&quot;##0\);_(&quot;.&quot;* &quot;-&quot;_);_(@_)"/>
    <numFmt numFmtId="273" formatCode="&quot;$&quot;#&quot;$&quot;##0_);[Red]\(&quot;$&quot;#&quot;$&quot;##0\)"/>
    <numFmt numFmtId="274" formatCode="#,##0.00\ \ \ \ "/>
    <numFmt numFmtId="275" formatCode="_(&quot;.&quot;* #&quot;,&quot;##0&quot;.&quot;00_);_(&quot;.&quot;* \(#&quot;,&quot;##0&quot;.&quot;00\);_(&quot;.&quot;* &quot;-&quot;??_);_(@_)"/>
    <numFmt numFmtId="276" formatCode="0.0000000000"/>
    <numFmt numFmtId="277" formatCode="#&quot;,&quot;##0&quot;.&quot;00\ &quot;F&quot;;\-#&quot;,&quot;##0&quot;.&quot;00\ &quot;F&quot;"/>
    <numFmt numFmtId="278" formatCode="_(&quot;,&quot;* #&quot;,&quot;##0&quot;.&quot;00_);_(&quot;,&quot;* \(#&quot;,&quot;##0&quot;.&quot;00\);_(&quot;,&quot;* &quot;-&quot;??_);_(@_)"/>
    <numFmt numFmtId="279" formatCode="#,##0.00\ \ "/>
    <numFmt numFmtId="280" formatCode="0.000000000000"/>
    <numFmt numFmtId="281" formatCode="_-* #,##0\ &quot;Δρχ&quot;_-;\-* #,##0\ &quot;Δρχ&quot;_-;_-* &quot;-&quot;\ &quot;Δρχ&quot;_-;_-@_-"/>
    <numFmt numFmtId="282" formatCode="0.00000000000"/>
    <numFmt numFmtId="283" formatCode="_(&quot;.&quot;* ###,0&quot;.&quot;00_);_(&quot;.&quot;* \(###,0&quot;.&quot;00\);_(&quot;.&quot;* &quot;-&quot;??_);_(@_)"/>
    <numFmt numFmtId="284" formatCode="&quot;,&quot;#,##0_);[Red]\(&quot;,&quot;#,##0\)"/>
    <numFmt numFmtId="285" formatCode="_-* ###,0&quot;.&quot;00\ &quot;DM&quot;_-;\-* ###,0&quot;.&quot;00\ &quot;DM&quot;_-;_-* &quot;-&quot;??\ &quot;DM&quot;_-;_-@_-"/>
    <numFmt numFmtId="286" formatCode="&quot;\&quot;#,##0;[Red]&quot;\&quot;&quot;\&quot;&quot;\&quot;&quot;\&quot;&quot;\&quot;&quot;\&quot;&quot;\&quot;&quot;\&quot;&quot;\&quot;&quot;\&quot;&quot;\&quot;&quot;\&quot;&quot;\&quot;&quot;\&quot;&quot;\&quot;&quot;\&quot;&quot;\&quot;\-#,##0"/>
    <numFmt numFmtId="287" formatCode="_ &quot;\&quot;* #,##0.00_ ;_ &quot;\&quot;* &quot;\&quot;&quot;\&quot;&quot;\&quot;&quot;\&quot;&quot;\&quot;&quot;\&quot;\-#,##0.00_ ;_ &quot;\&quot;* &quot;-&quot;??_ ;_ @_ "/>
    <numFmt numFmtId="288" formatCode="[=0]&quot;-&quot;;[&lt;11]00;0"/>
    <numFmt numFmtId="289" formatCode="dd\ &quot;tháng&quot;\ mm\ &quot;năm&quot;\ yyyy"/>
    <numFmt numFmtId="290" formatCode="[=0]&quot;-&quot;;0"/>
    <numFmt numFmtId="291" formatCode="0.0&quot;% * Z&quot;"/>
    <numFmt numFmtId="292" formatCode="0.0&quot;% * T&quot;"/>
    <numFmt numFmtId="293" formatCode="&quot;Ô KS số &quot;0&quot;C&quot;"/>
    <numFmt numFmtId="294" formatCode="[=0]&quot;-&quot;;General"/>
    <numFmt numFmtId="295" formatCode="m/d;@"/>
    <numFmt numFmtId="296" formatCode="&quot;Ô KS số &quot;0&quot;N&quot;"/>
    <numFmt numFmtId="297" formatCode="&quot;(&quot;0&quot;)&quot;"/>
    <numFmt numFmtId="298" formatCode="[=0]&quot;-&quot;;##0.00"/>
    <numFmt numFmtId="299" formatCode="[=0]&quot;-&quot;;##0.000"/>
    <numFmt numFmtId="300" formatCode="[$-1010000]d/m/yyyy;@"/>
    <numFmt numFmtId="301" formatCode="_(* #,##0.00_);_(* \(#,##0.00\);_(* &quot;-&quot;&quot;?&quot;&quot;?&quot;_);_(@_)"/>
    <numFmt numFmtId="302" formatCode="0.000&quot;% * Z&quot;"/>
    <numFmt numFmtId="303" formatCode="_(* #,##0.00000_);_(* \(#,##0.00000\);_(* &quot;-&quot;??_);_(@_)"/>
    <numFmt numFmtId="304" formatCode="&quot;&gt;5&quot;"/>
    <numFmt numFmtId="305" formatCode="&quot;&gt;1000&quot;"/>
    <numFmt numFmtId="306" formatCode="&quot;&lt;=1&quot;"/>
    <numFmt numFmtId="307" formatCode="&quot;&gt;1 - &lt;=5&quot;"/>
    <numFmt numFmtId="308" formatCode="&quot;K&quot;0"/>
    <numFmt numFmtId="309" formatCode="[=0]&quot;-&quot;;0.00"/>
    <numFmt numFmtId="310" formatCode="0&quot;% * Z&quot;"/>
    <numFmt numFmtId="311" formatCode="[=0]&quot;-&quot;;#,##0"/>
    <numFmt numFmtId="312" formatCode="_-* #,##0.0\ _₫_-;\-* #,##0.0\ _₫_-;_-* &quot;-&quot;?\ _₫_-;_-@_-"/>
    <numFmt numFmtId="313" formatCode="#,##0.00&quot; m2&quot;"/>
    <numFmt numFmtId="314" formatCode="[=0]&quot;-&quot;;#,##0.00"/>
    <numFmt numFmtId="315" formatCode="0.0&quot;%*(T+C)&quot;"/>
  </numFmts>
  <fonts count="333">
    <font>
      <sz val="12"/>
      <name val=".VnTime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</font>
    <font>
      <sz val="12"/>
      <name val=".VnTime"/>
      <family val="2"/>
    </font>
    <font>
      <b/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0"/>
      <name val="Arial"/>
      <family val="2"/>
    </font>
    <font>
      <sz val="10"/>
      <name val=".VnArial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VNTime"/>
    </font>
    <font>
      <b/>
      <sz val="18"/>
      <name val="Arial"/>
      <family val="2"/>
    </font>
    <font>
      <b/>
      <i/>
      <sz val="16"/>
      <name val="Helv"/>
    </font>
    <font>
      <sz val="13"/>
      <name val=".VnTime"/>
      <family val="2"/>
    </font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??"/>
      <family val="3"/>
      <charset val="129"/>
    </font>
    <font>
      <sz val="10"/>
      <name val=".VnTime"/>
      <family val="2"/>
    </font>
    <font>
      <sz val="12"/>
      <name val="????"/>
      <family val="1"/>
      <charset val="136"/>
    </font>
    <font>
      <b/>
      <sz val="10"/>
      <name val="Helv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sz val="14"/>
      <name val=".VnArial"/>
      <family val="2"/>
    </font>
    <font>
      <sz val="10"/>
      <name val="VNI-Helve-Condense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name val="Times New Roman"/>
      <family val="1"/>
    </font>
    <font>
      <sz val="12"/>
      <name val="바탕체"/>
      <family val="1"/>
      <charset val="129"/>
    </font>
    <font>
      <sz val="14"/>
      <name val=".VnTime"/>
      <family val="2"/>
    </font>
    <font>
      <b/>
      <sz val="14"/>
      <name val=".VnTimeH"/>
      <family val="2"/>
    </font>
    <font>
      <sz val="8"/>
      <name val=".VnTime"/>
      <family val="2"/>
    </font>
    <font>
      <sz val="12"/>
      <name val=".VnTime"/>
      <family val="2"/>
    </font>
    <font>
      <sz val="11"/>
      <color indexed="8"/>
      <name val="Calibri"/>
      <family val="2"/>
      <charset val="163"/>
    </font>
    <font>
      <b/>
      <sz val="14"/>
      <name val="Times New Roman"/>
      <family val="1"/>
      <charset val="163"/>
    </font>
    <font>
      <b/>
      <sz val="12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0"/>
      <name val="?? ??"/>
      <family val="1"/>
      <charset val="136"/>
    </font>
    <font>
      <sz val="12"/>
      <name val="|??¢¥¢¬¨Ï"/>
      <family val="1"/>
      <charset val="129"/>
    </font>
    <font>
      <sz val="12"/>
      <name val="???"/>
    </font>
    <font>
      <sz val="11"/>
      <name val="‚l‚r ‚oƒSƒVƒbƒN"/>
      <family val="3"/>
      <charset val="128"/>
    </font>
    <font>
      <sz val="14"/>
      <name val="Terminal"/>
      <family val="3"/>
      <charset val="128"/>
    </font>
    <font>
      <sz val="11"/>
      <name val="–¾’©"/>
      <family val="1"/>
      <charset val="128"/>
    </font>
    <font>
      <sz val="11"/>
      <name val=".VnTime"/>
      <family val="2"/>
    </font>
    <font>
      <sz val="8"/>
      <name val="Times New Roman"/>
      <family val="1"/>
    </font>
    <font>
      <sz val="11"/>
      <name val=".VnArial"/>
      <family val="2"/>
    </font>
    <font>
      <sz val="12"/>
      <name val="Tms Rmn"/>
    </font>
    <font>
      <sz val="11"/>
      <name val="Tms Rmn"/>
    </font>
    <font>
      <sz val="10"/>
      <name val="MS Serif"/>
      <family val="1"/>
    </font>
    <font>
      <sz val="10"/>
      <name val="Arial CE"/>
      <charset val="238"/>
    </font>
    <font>
      <sz val="10"/>
      <color indexed="16"/>
      <name val="MS Serif"/>
      <family val="1"/>
    </font>
    <font>
      <b/>
      <sz val="12"/>
      <name val=".VnBook-AntiquaH"/>
      <family val="2"/>
    </font>
    <font>
      <b/>
      <sz val="12"/>
      <color indexed="9"/>
      <name val="Tms Rmn"/>
    </font>
    <font>
      <b/>
      <sz val="8"/>
      <name val="MS Sans Serif"/>
      <family val="2"/>
    </font>
    <font>
      <b/>
      <sz val="10"/>
      <name val=".VnTime"/>
      <family val="2"/>
    </font>
    <font>
      <sz val="10"/>
      <name val="VNI-Helve"/>
    </font>
    <font>
      <sz val="12"/>
      <name val="VNTime"/>
      <family val="2"/>
    </font>
    <font>
      <sz val="8"/>
      <name val="VNarial"/>
      <family val="2"/>
    </font>
    <font>
      <sz val="7"/>
      <name val="Small Fonts"/>
      <family val="2"/>
    </font>
    <font>
      <sz val="8"/>
      <name val="Wingdings"/>
      <charset val="2"/>
    </font>
    <font>
      <sz val="8"/>
      <name val="Helv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u/>
      <sz val="11"/>
      <color indexed="12"/>
      <name val=".VnArial"/>
      <family val="2"/>
    </font>
    <font>
      <sz val="12"/>
      <name val="VNI-Times"/>
    </font>
    <font>
      <sz val="8"/>
      <name val="MS Sans Serif"/>
      <family val="2"/>
    </font>
    <font>
      <b/>
      <sz val="8"/>
      <color indexed="8"/>
      <name val="Helv"/>
    </font>
    <font>
      <b/>
      <sz val="13"/>
      <name val=".VnTimeH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0"/>
      <name val="VN Helvetica"/>
    </font>
    <font>
      <b/>
      <sz val="16"/>
      <name val=".VnTime"/>
      <family val="2"/>
    </font>
    <font>
      <sz val="10"/>
      <name val="VN Helvetica"/>
    </font>
    <font>
      <sz val="9"/>
      <name val=".VnTime"/>
      <family val="2"/>
    </font>
    <font>
      <b/>
      <i/>
      <sz val="12"/>
      <name val=".VnTime"/>
      <family val="2"/>
    </font>
    <font>
      <sz val="10"/>
      <name val="Helv"/>
      <family val="2"/>
    </font>
    <font>
      <sz val="14"/>
      <name val=".VnTime"/>
      <family val="2"/>
    </font>
    <font>
      <sz val="12"/>
      <name val=".VnArial Narrow"/>
      <family val="2"/>
    </font>
    <font>
      <b/>
      <i/>
      <sz val="14"/>
      <name val="Times New Roman"/>
      <family val="1"/>
    </font>
    <font>
      <i/>
      <sz val="14"/>
      <name val="Times New Roman"/>
      <family val="1"/>
    </font>
    <font>
      <b/>
      <sz val="11"/>
      <name val="Times New Roman"/>
      <family val="1"/>
    </font>
    <font>
      <sz val="11"/>
      <name val="??"/>
      <family val="3"/>
    </font>
    <font>
      <sz val="12"/>
      <color indexed="8"/>
      <name val="Times New Roman"/>
      <family val="1"/>
    </font>
    <font>
      <b/>
      <i/>
      <sz val="10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color indexed="8"/>
      <name val="Times New Roman"/>
      <family val="1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1"/>
      <name val="VNI-Times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Times New Roman"/>
      <family val="1"/>
    </font>
    <font>
      <i/>
      <sz val="12"/>
      <color indexed="8"/>
      <name val="Times New Roman"/>
      <family val="1"/>
    </font>
    <font>
      <sz val="13"/>
      <color indexed="8"/>
      <name val="Times New Roman"/>
      <family val="1"/>
    </font>
    <font>
      <sz val="14"/>
      <color indexed="8"/>
      <name val="Times New Roman"/>
      <family val="1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3"/>
      <color indexed="8"/>
      <name val="Times New Roman"/>
      <family val="1"/>
    </font>
    <font>
      <i/>
      <sz val="14"/>
      <color indexed="8"/>
      <name val="Times New Roman"/>
      <family val="1"/>
    </font>
    <font>
      <sz val="10.5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3"/>
      <color indexed="8"/>
      <name val="Times New Roman"/>
      <family val="1"/>
    </font>
    <font>
      <b/>
      <sz val="14"/>
      <color indexed="8"/>
      <name val="Times New Roman"/>
      <family val="1"/>
    </font>
    <font>
      <sz val="10"/>
      <name val=".VnArialH"/>
      <family val="2"/>
    </font>
    <font>
      <b/>
      <sz val="10"/>
      <name val=".VnArial"/>
      <family val="2"/>
    </font>
    <font>
      <sz val="9"/>
      <name val="Times New Roman"/>
      <family val="1"/>
    </font>
    <font>
      <sz val="12"/>
      <name val=".VnArial"/>
      <family val="2"/>
    </font>
    <font>
      <b/>
      <sz val="11"/>
      <color indexed="8"/>
      <name val="Calibri"/>
      <family val="2"/>
    </font>
    <font>
      <sz val="10"/>
      <name val="Arial MT"/>
      <family val="2"/>
    </font>
    <font>
      <sz val="12"/>
      <name val="???"/>
      <family val="3"/>
      <charset val="129"/>
    </font>
    <font>
      <b/>
      <sz val="10"/>
      <name val="SVNtimes new roman"/>
      <family val="2"/>
    </font>
    <font>
      <sz val="9"/>
      <name val="ﾀﾞｯﾁ"/>
      <family val="3"/>
      <charset val="128"/>
    </font>
    <font>
      <sz val="12"/>
      <name val="VNtimes new roman"/>
      <family val="2"/>
      <charset val="163"/>
    </font>
    <font>
      <sz val="11"/>
      <name val="VNHelvet"/>
    </font>
    <font>
      <sz val="10"/>
      <name val="Helv"/>
      <family val="2"/>
      <charset val="163"/>
    </font>
    <font>
      <sz val="10"/>
      <name val="AngsanaUPC"/>
      <family val="1"/>
      <charset val="163"/>
    </font>
    <font>
      <sz val="12"/>
      <name val="????"/>
      <charset val="136"/>
    </font>
    <font>
      <sz val="10"/>
      <name val="Arial"/>
      <family val="2"/>
      <charset val="163"/>
    </font>
    <font>
      <b/>
      <sz val="11"/>
      <name val="Arial"/>
      <family val="2"/>
      <charset val="163"/>
    </font>
    <font>
      <sz val="14"/>
      <name val="뼻뮝"/>
      <family val="3"/>
      <charset val="129"/>
    </font>
    <font>
      <sz val="14"/>
      <name val="??"/>
      <family val="3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  <charset val="163"/>
    </font>
    <font>
      <sz val="10"/>
      <name val="VNI-Times"/>
    </font>
    <font>
      <sz val="10"/>
      <name val="MS Sans Serif"/>
      <family val="2"/>
      <charset val="163"/>
    </font>
    <font>
      <sz val="9"/>
      <name val="Arial"/>
      <family val="2"/>
      <charset val="163"/>
    </font>
    <font>
      <sz val="12"/>
      <name val="???"/>
      <family val="1"/>
      <charset val="129"/>
    </font>
    <font>
      <sz val="14"/>
      <name val="VnTime"/>
      <family val="2"/>
    </font>
    <font>
      <sz val="11"/>
      <name val="돋움"/>
      <family val="3"/>
      <charset val="129"/>
    </font>
    <font>
      <b/>
      <u/>
      <sz val="14"/>
      <color indexed="8"/>
      <name val=".VnBook-AntiquaH"/>
      <family val="2"/>
      <charset val="163"/>
    </font>
    <font>
      <sz val="12"/>
      <name val="???"/>
      <charset val="163"/>
    </font>
    <font>
      <sz val="12"/>
      <name val="???"/>
      <family val="3"/>
      <charset val="163"/>
    </font>
    <font>
      <b/>
      <i/>
      <sz val="10"/>
      <name val=".VnTimeH"/>
      <family val="2"/>
    </font>
    <font>
      <sz val="10"/>
      <name val="VnTimes"/>
      <family val="2"/>
    </font>
    <font>
      <sz val="12"/>
      <color indexed="8"/>
      <name val="¹ÙÅÁ?¼"/>
      <family val="1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  <charset val="163"/>
    </font>
    <font>
      <sz val="12"/>
      <name val="Arial Cyr"/>
    </font>
    <font>
      <b/>
      <sz val="12"/>
      <color indexed="8"/>
      <name val=".VnBook-Antiqua"/>
      <family val="2"/>
      <charset val="163"/>
    </font>
    <font>
      <i/>
      <sz val="12"/>
      <color indexed="8"/>
      <name val=".VnBook-Antiqua"/>
      <family val="2"/>
      <charset val="163"/>
    </font>
    <font>
      <sz val="11"/>
      <name val="VNtimes new roman"/>
      <family val="2"/>
    </font>
    <font>
      <sz val="12"/>
      <name val="¹ÙÅÁ?¼"/>
      <charset val="129"/>
    </font>
    <font>
      <sz val="9"/>
      <name val="ＭＳ ゴシック"/>
      <family val="3"/>
      <charset val="128"/>
    </font>
    <font>
      <b/>
      <sz val="12"/>
      <color indexed="63"/>
      <name val="VNI-Times"/>
    </font>
    <font>
      <sz val="12"/>
      <name val="¹ÙÅÁÃ¼"/>
      <charset val="129"/>
    </font>
    <font>
      <b/>
      <i/>
      <sz val="14"/>
      <name val="VNTime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1"/>
      <name val="µ¸¿ò"/>
    </font>
    <font>
      <sz val="12"/>
      <name val="¹ÙÅÁÃ¼"/>
      <family val="1"/>
      <charset val="129"/>
    </font>
    <font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sz val="10"/>
      <name val="VNI-Aptima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10"/>
      <name val="SVNtimes new roman"/>
      <family val="2"/>
    </font>
    <font>
      <sz val="1"/>
      <color indexed="8"/>
      <name val="Courier"/>
      <family val="3"/>
    </font>
    <font>
      <b/>
      <sz val="11"/>
      <name val="VNTimeH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b/>
      <sz val="16"/>
      <color indexed="16"/>
      <name val="VNbritannic"/>
      <family val="2"/>
      <charset val="163"/>
    </font>
    <font>
      <b/>
      <sz val="18"/>
      <color indexed="12"/>
      <name val="VNbritannic"/>
      <family val="2"/>
      <charset val="163"/>
    </font>
    <font>
      <b/>
      <sz val="18"/>
      <name val="VNnew Century Cond"/>
      <family val="2"/>
      <charset val="163"/>
    </font>
    <font>
      <b/>
      <sz val="20"/>
      <color indexed="12"/>
      <name val="VNnew Century Cond"/>
      <family val="2"/>
      <charset val="163"/>
    </font>
    <font>
      <b/>
      <sz val="16"/>
      <name val="VNlucida sans"/>
      <family val="2"/>
      <charset val="163"/>
    </font>
    <font>
      <b/>
      <sz val="18"/>
      <color indexed="10"/>
      <name val="VNnew Century Cond"/>
      <family val="2"/>
      <charset val="163"/>
    </font>
    <font>
      <b/>
      <sz val="16"/>
      <color indexed="14"/>
      <name val="VNottawa"/>
      <family val="2"/>
      <charset val="163"/>
    </font>
    <font>
      <sz val="10"/>
      <name val=".VnArialH"/>
      <family val="2"/>
      <charset val="163"/>
    </font>
    <font>
      <sz val="12"/>
      <name val="??"/>
      <family val="1"/>
      <charset val="129"/>
    </font>
    <font>
      <sz val="10"/>
      <name val="VNI-Avo"/>
    </font>
    <font>
      <u/>
      <sz val="12"/>
      <color indexed="12"/>
      <name val=".VnTime"/>
      <family val="2"/>
    </font>
    <font>
      <sz val="8"/>
      <name val="VNarial"/>
      <family val="2"/>
      <charset val="163"/>
    </font>
    <font>
      <b/>
      <i/>
      <sz val="12"/>
      <name val=".VnAristote"/>
      <family val="2"/>
    </font>
    <font>
      <sz val="10"/>
      <name val=".VnAvant"/>
      <family val="2"/>
    </font>
    <font>
      <sz val="9"/>
      <name val="VNI-Helve-Condense"/>
    </font>
    <font>
      <b/>
      <sz val="14"/>
      <name val="VN2Helvetica"/>
      <family val="2"/>
    </font>
    <font>
      <b/>
      <sz val="12"/>
      <name val="VN-NTime"/>
      <family val="2"/>
      <charset val="163"/>
    </font>
    <font>
      <b/>
      <sz val="12"/>
      <name val="VN-NTime"/>
      <family val="2"/>
    </font>
    <font>
      <sz val="10"/>
      <name val="Courier New"/>
      <family val="3"/>
    </font>
    <font>
      <sz val="8.25"/>
      <name val="Microsoft Sans Serif"/>
      <family val="2"/>
    </font>
    <font>
      <sz val="14"/>
      <name val="System"/>
      <family val="2"/>
      <charset val="163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11"/>
      <name val="3C_Times_T"/>
    </font>
    <font>
      <b/>
      <sz val="18"/>
      <color indexed="62"/>
      <name val="Cambria"/>
      <family val="1"/>
    </font>
    <font>
      <b/>
      <sz val="10.5"/>
      <name val=".VnAvantH"/>
      <family val="2"/>
    </font>
    <font>
      <b/>
      <sz val="12"/>
      <name val="Arial"/>
      <family val="2"/>
      <charset val="163"/>
    </font>
    <font>
      <b/>
      <sz val="18"/>
      <name val="Arial"/>
      <family val="2"/>
      <charset val="163"/>
    </font>
    <font>
      <sz val="10"/>
      <name val="3C_Times_T"/>
      <charset val="163"/>
    </font>
    <font>
      <sz val="12"/>
      <name val="Arial"/>
      <family val="2"/>
      <charset val="163"/>
    </font>
    <font>
      <sz val="10"/>
      <name val="Symbol"/>
      <family val="1"/>
      <charset val="2"/>
    </font>
    <font>
      <b/>
      <sz val="10"/>
      <name val="VNI-Univer"/>
    </font>
    <font>
      <sz val="11"/>
      <name val=".VnAvant"/>
      <family val="2"/>
    </font>
    <font>
      <sz val="10"/>
      <name val="VNI-Centur"/>
    </font>
    <font>
      <b/>
      <sz val="13"/>
      <color indexed="8"/>
      <name val=".VnTimeH"/>
      <family val="2"/>
      <charset val="163"/>
    </font>
    <font>
      <sz val="10"/>
      <name val=".VnArial Narrow"/>
      <family val="2"/>
    </font>
    <font>
      <sz val="9.5"/>
      <name val=".VnBlackH"/>
      <family val="2"/>
    </font>
    <font>
      <b/>
      <sz val="10"/>
      <name val=".VnBahamasBH"/>
      <family val="2"/>
    </font>
    <font>
      <b/>
      <sz val="11"/>
      <name val=".VnArialH"/>
      <family val="2"/>
    </font>
    <font>
      <b/>
      <sz val="10"/>
      <name val=".VnArialH"/>
      <family val="2"/>
    </font>
    <font>
      <sz val="10"/>
      <color indexed="10"/>
      <name val="VNI-Helve-Condense"/>
    </font>
    <font>
      <sz val="10"/>
      <name val="VNtimes new roman"/>
      <family val="2"/>
    </font>
    <font>
      <sz val="10"/>
      <color indexed="8"/>
      <name val="MS Sans Serif"/>
      <family val="2"/>
    </font>
    <font>
      <sz val="10"/>
      <name val="Geneva"/>
      <family val="2"/>
    </font>
    <font>
      <b/>
      <sz val="14"/>
      <color indexed="17"/>
      <name val=".VnAvantH"/>
      <family val="2"/>
    </font>
    <font>
      <sz val="11"/>
      <name val="VNI-Helve"/>
    </font>
    <font>
      <sz val="16"/>
      <name val="AngsanaUPC"/>
      <family val="3"/>
    </font>
    <font>
      <sz val="12"/>
      <color indexed="8"/>
      <name val="바탕체"/>
      <family val="1"/>
      <charset val="129"/>
    </font>
    <font>
      <sz val="10"/>
      <name val="명조"/>
      <family val="3"/>
      <charset val="129"/>
    </font>
    <font>
      <sz val="12"/>
      <name val="돋움체"/>
      <family val="3"/>
      <charset val="129"/>
    </font>
    <font>
      <sz val="11"/>
      <name val="ＭＳ Ｐゴシック"/>
      <family val="3"/>
      <charset val="128"/>
    </font>
    <font>
      <sz val="10"/>
      <name val="明朝"/>
      <family val="1"/>
      <charset val="128"/>
    </font>
    <font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2"/>
      <color indexed="8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8"/>
      <color indexed="8"/>
      <name val="Times New Roman"/>
      <family val="1"/>
      <charset val="163"/>
    </font>
    <font>
      <b/>
      <sz val="13"/>
      <color indexed="8"/>
      <name val="Times New Roman"/>
      <family val="1"/>
      <charset val="163"/>
    </font>
    <font>
      <i/>
      <sz val="12"/>
      <name val="Times New Roman"/>
      <family val="1"/>
      <charset val="163"/>
    </font>
    <font>
      <sz val="14"/>
      <color indexed="8"/>
      <name val="Times New Roman"/>
      <family val="1"/>
      <charset val="163"/>
    </font>
    <font>
      <b/>
      <i/>
      <sz val="14"/>
      <color indexed="8"/>
      <name val="Times New Roman"/>
      <family val="1"/>
      <charset val="163"/>
    </font>
    <font>
      <b/>
      <sz val="14"/>
      <color indexed="8"/>
      <name val="Times New Roman"/>
      <family val="1"/>
      <charset val="163"/>
    </font>
    <font>
      <i/>
      <sz val="13"/>
      <name val="Times New Roman"/>
      <family val="1"/>
    </font>
    <font>
      <b/>
      <sz val="9"/>
      <color indexed="81"/>
      <name val="Tahoma"/>
      <family val="2"/>
    </font>
    <font>
      <sz val="1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4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rgb="FF000000"/>
      <name val="Times New Roman"/>
      <family val="1"/>
    </font>
    <font>
      <i/>
      <sz val="13"/>
      <name val="Times New Roman"/>
      <family val="1"/>
      <charset val="163"/>
    </font>
    <font>
      <sz val="11"/>
      <color rgb="FFFF0000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theme="1"/>
      <name val="Arial"/>
      <family val="2"/>
      <charset val="163"/>
      <scheme val="minor"/>
    </font>
    <font>
      <sz val="14"/>
      <name val="Times New Roman"/>
      <family val="1"/>
      <charset val="163"/>
    </font>
    <font>
      <b/>
      <sz val="11"/>
      <color theme="1"/>
      <name val="Arial"/>
      <family val="2"/>
      <scheme val="minor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b/>
      <sz val="10"/>
      <color indexed="10"/>
      <name val="Times New Roman"/>
      <family val="1"/>
    </font>
    <font>
      <sz val="8.25"/>
      <name val="Times New Roman"/>
      <family val="1"/>
    </font>
    <font>
      <i/>
      <sz val="10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9"/>
      <color rgb="FF000000"/>
      <name val="Times New Roman"/>
      <family val="1"/>
    </font>
    <font>
      <b/>
      <sz val="9"/>
      <name val="Times New Roman"/>
      <family val="1"/>
    </font>
    <font>
      <b/>
      <sz val="13"/>
      <color rgb="FF000000"/>
      <name val="Times New Roman"/>
      <family val="1"/>
    </font>
    <font>
      <sz val="13"/>
      <color rgb="FF000000"/>
      <name val=".VnTime"/>
      <family val="2"/>
    </font>
    <font>
      <b/>
      <sz val="14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theme="0"/>
      <name val="Times New Roman"/>
      <family val="1"/>
      <charset val="163"/>
    </font>
    <font>
      <b/>
      <sz val="13"/>
      <color theme="1"/>
      <name val="Times New Roman"/>
      <family val="1"/>
    </font>
    <font>
      <i/>
      <sz val="13"/>
      <color rgb="FFFF0000"/>
      <name val="Times New Roman"/>
      <family val="1"/>
      <charset val="163"/>
    </font>
    <font>
      <i/>
      <sz val="10"/>
      <color theme="0"/>
      <name val="Times New Roman"/>
      <family val="1"/>
    </font>
    <font>
      <i/>
      <sz val="11"/>
      <color theme="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rgb="FF00B0F0"/>
      <name val="Times New Roman"/>
      <family val="1"/>
    </font>
    <font>
      <b/>
      <sz val="12"/>
      <color rgb="FFFF0000"/>
      <name val="Times New Roman"/>
      <family val="1"/>
    </font>
    <font>
      <sz val="12"/>
      <name val=".VnTime"/>
      <family val="2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  <charset val="163"/>
    </font>
    <font>
      <sz val="9"/>
      <color indexed="81"/>
      <name val="Tahoma"/>
      <family val="2"/>
    </font>
    <font>
      <i/>
      <sz val="13"/>
      <color rgb="FFFF0000"/>
      <name val="Times New Roman"/>
      <family val="1"/>
    </font>
    <font>
      <i/>
      <sz val="10.5"/>
      <color rgb="FFFF0000"/>
      <name val="Times New Roman"/>
      <family val="1"/>
    </font>
    <font>
      <i/>
      <sz val="10"/>
      <color rgb="FFFF0000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2"/>
    </font>
    <font>
      <i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4"/>
      <color theme="1"/>
      <name val="Times New Roman"/>
      <family val="1"/>
    </font>
    <font>
      <i/>
      <sz val="11"/>
      <name val="Times New Roman"/>
      <family val="1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darkVertical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683">
    <xf numFmtId="0" fontId="0" fillId="0" borderId="0"/>
    <xf numFmtId="177" fontId="89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9" fillId="0" borderId="0"/>
    <xf numFmtId="3" fontId="150" fillId="0" borderId="1"/>
    <xf numFmtId="226" fontId="151" fillId="0" borderId="2">
      <alignment horizontal="center"/>
      <protection hidden="1"/>
    </xf>
    <xf numFmtId="38" fontId="152" fillId="0" borderId="0" applyFont="0" applyFill="0" applyBorder="0" applyAlignment="0" applyProtection="0"/>
    <xf numFmtId="182" fontId="153" fillId="0" borderId="3" applyFont="0" applyBorder="0"/>
    <xf numFmtId="193" fontId="25" fillId="0" borderId="0" applyFont="0" applyFill="0" applyBorder="0" applyAlignment="0" applyProtection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6" fillId="0" borderId="0" applyFont="0" applyFill="0" applyBorder="0" applyAlignment="0" applyProtection="0"/>
    <xf numFmtId="192" fontId="25" fillId="0" borderId="0" applyFont="0" applyFill="0" applyBorder="0" applyAlignment="0" applyProtection="0"/>
    <xf numFmtId="215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227" fontId="154" fillId="0" borderId="0" applyFont="0" applyFill="0" applyBorder="0" applyAlignment="0" applyProtection="0"/>
    <xf numFmtId="227" fontId="15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80" fontId="156" fillId="0" borderId="0" applyFont="0" applyFill="0" applyBorder="0" applyAlignment="0" applyProtection="0"/>
    <xf numFmtId="0" fontId="31" fillId="0" borderId="4"/>
    <xf numFmtId="179" fontId="156" fillId="0" borderId="0" applyFont="0" applyFill="0" applyBorder="0" applyAlignment="0" applyProtection="0"/>
    <xf numFmtId="164" fontId="33" fillId="0" borderId="0" applyFont="0" applyFill="0" applyBorder="0" applyAlignment="0" applyProtection="0"/>
    <xf numFmtId="165" fontId="33" fillId="0" borderId="0" applyFont="0" applyFill="0" applyBorder="0" applyAlignment="0" applyProtection="0"/>
    <xf numFmtId="165" fontId="157" fillId="0" borderId="0" applyFont="0" applyFill="0" applyBorder="0" applyAlignment="0" applyProtection="0"/>
    <xf numFmtId="201" fontId="28" fillId="0" borderId="0" applyFont="0" applyFill="0" applyBorder="0" applyAlignment="0" applyProtection="0"/>
    <xf numFmtId="0" fontId="156" fillId="0" borderId="0" applyFont="0" applyFill="0" applyBorder="0" applyAlignment="0" applyProtection="0"/>
    <xf numFmtId="0" fontId="9" fillId="0" borderId="5"/>
    <xf numFmtId="0" fontId="24" fillId="0" borderId="0" applyNumberForma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58" fillId="0" borderId="0"/>
    <xf numFmtId="40" fontId="160" fillId="0" borderId="0" applyFont="0" applyFill="0" applyBorder="0" applyAlignment="0" applyProtection="0"/>
    <xf numFmtId="38" fontId="16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62" fillId="0" borderId="0"/>
    <xf numFmtId="0" fontId="163" fillId="0" borderId="0" applyFont="0" applyFill="0" applyBorder="0" applyAlignment="0" applyProtection="0"/>
    <xf numFmtId="228" fontId="158" fillId="0" borderId="0" applyFont="0" applyFill="0" applyBorder="0" applyAlignment="0" applyProtection="0"/>
    <xf numFmtId="204" fontId="164" fillId="0" borderId="0" applyFont="0" applyFill="0" applyBorder="0" applyAlignment="0" applyProtection="0"/>
    <xf numFmtId="177" fontId="165" fillId="0" borderId="0" applyFont="0" applyFill="0" applyBorder="0" applyAlignment="0" applyProtection="0"/>
    <xf numFmtId="0" fontId="166" fillId="0" borderId="0"/>
    <xf numFmtId="164" fontId="165" fillId="0" borderId="0" applyFont="0" applyFill="0" applyBorder="0" applyAlignment="0" applyProtection="0"/>
    <xf numFmtId="40" fontId="163" fillId="0" borderId="0" applyFont="0" applyFill="0" applyBorder="0" applyAlignment="0" applyProtection="0"/>
    <xf numFmtId="38" fontId="163" fillId="0" borderId="0" applyFont="0" applyFill="0" applyBorder="0" applyAlignment="0" applyProtection="0"/>
    <xf numFmtId="9" fontId="167" fillId="0" borderId="0" applyFont="0" applyFill="0" applyBorder="0" applyAlignment="0" applyProtection="0"/>
    <xf numFmtId="165" fontId="165" fillId="0" borderId="0" applyFont="0" applyFill="0" applyBorder="0" applyAlignment="0" applyProtection="0"/>
    <xf numFmtId="229" fontId="158" fillId="0" borderId="0" applyFont="0" applyFill="0" applyBorder="0" applyAlignment="0" applyProtection="0"/>
    <xf numFmtId="205" fontId="164" fillId="0" borderId="0" applyFont="0" applyFill="0" applyBorder="0" applyAlignment="0" applyProtection="0"/>
    <xf numFmtId="205" fontId="164" fillId="0" borderId="0" applyFont="0" applyFill="0" applyBorder="0" applyAlignment="0" applyProtection="0"/>
    <xf numFmtId="0" fontId="165" fillId="0" borderId="0"/>
    <xf numFmtId="178" fontId="165" fillId="0" borderId="0" applyFont="0" applyFill="0" applyBorder="0" applyAlignment="0" applyProtection="0"/>
    <xf numFmtId="0" fontId="158" fillId="0" borderId="0"/>
    <xf numFmtId="0" fontId="163" fillId="0" borderId="0" applyFont="0" applyFill="0" applyBorder="0" applyAlignment="0" applyProtection="0"/>
    <xf numFmtId="0" fontId="101" fillId="0" borderId="0"/>
    <xf numFmtId="0" fontId="30" fillId="0" borderId="0"/>
    <xf numFmtId="0" fontId="32" fillId="0" borderId="0" applyNumberFormat="0" applyFill="0" applyBorder="0" applyAlignment="0" applyProtection="0"/>
    <xf numFmtId="0" fontId="147" fillId="0" borderId="0"/>
    <xf numFmtId="0" fontId="76" fillId="0" borderId="0"/>
    <xf numFmtId="202" fontId="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14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173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30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/>
    <xf numFmtId="0" fontId="14" fillId="0" borderId="0"/>
    <xf numFmtId="0" fontId="27" fillId="0" borderId="0"/>
    <xf numFmtId="0" fontId="30" fillId="0" borderId="0"/>
    <xf numFmtId="164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0" fontId="101" fillId="0" borderId="0"/>
    <xf numFmtId="0" fontId="101" fillId="0" borderId="0"/>
    <xf numFmtId="173" fontId="16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03" fontId="59" fillId="0" borderId="0" applyFont="0" applyFill="0" applyBorder="0" applyAlignment="0" applyProtection="0"/>
    <xf numFmtId="0" fontId="30" fillId="0" borderId="0"/>
    <xf numFmtId="234" fontId="14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17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35" fontId="32" fillId="0" borderId="0" applyFont="0" applyFill="0" applyBorder="0" applyAlignment="0" applyProtection="0"/>
    <xf numFmtId="205" fontId="171" fillId="0" borderId="0" applyFont="0" applyFill="0" applyBorder="0" applyAlignment="0" applyProtection="0"/>
    <xf numFmtId="0" fontId="62" fillId="0" borderId="0"/>
    <xf numFmtId="0" fontId="61" fillId="0" borderId="0"/>
    <xf numFmtId="0" fontId="62" fillId="0" borderId="0"/>
    <xf numFmtId="0" fontId="42" fillId="0" borderId="0"/>
    <xf numFmtId="1" fontId="172" fillId="0" borderId="1" applyBorder="0" applyAlignment="0">
      <alignment horizontal="center"/>
    </xf>
    <xf numFmtId="0" fontId="173" fillId="0" borderId="0"/>
    <xf numFmtId="165" fontId="63" fillId="0" borderId="6"/>
    <xf numFmtId="3" fontId="150" fillId="0" borderId="1"/>
    <xf numFmtId="3" fontId="150" fillId="0" borderId="1"/>
    <xf numFmtId="0" fontId="16" fillId="2" borderId="0"/>
    <xf numFmtId="203" fontId="59" fillId="0" borderId="0" applyFont="0" applyFill="0" applyBorder="0" applyAlignment="0" applyProtection="0"/>
    <xf numFmtId="0" fontId="14" fillId="0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175" fillId="0" borderId="0" applyFont="0" applyFill="0" applyBorder="0" applyAlignment="0" applyProtection="0"/>
    <xf numFmtId="0" fontId="174" fillId="2" borderId="0"/>
    <xf numFmtId="0" fontId="16" fillId="2" borderId="0"/>
    <xf numFmtId="0" fontId="174" fillId="2" borderId="0"/>
    <xf numFmtId="203" fontId="59" fillId="0" borderId="0" applyFont="0" applyFill="0" applyBorder="0" applyAlignment="0" applyProtection="0"/>
    <xf numFmtId="0" fontId="16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9" fillId="2" borderId="0"/>
    <xf numFmtId="0" fontId="9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3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30" fillId="0" borderId="0"/>
    <xf numFmtId="0" fontId="174" fillId="2" borderId="0"/>
    <xf numFmtId="0" fontId="174" fillId="2" borderId="0"/>
    <xf numFmtId="0" fontId="174" fillId="3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74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0" fontId="174" fillId="2" borderId="0"/>
    <xf numFmtId="0" fontId="145" fillId="0" borderId="1" applyNumberFormat="0" applyFont="0" applyBorder="0">
      <alignment horizontal="left"/>
    </xf>
    <xf numFmtId="0" fontId="174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9" fontId="176" fillId="0" borderId="0" applyFont="0" applyFill="0" applyBorder="0" applyAlignment="0" applyProtection="0"/>
    <xf numFmtId="9" fontId="12" fillId="0" borderId="0" applyFont="0" applyFill="0" applyBorder="0" applyAlignment="0" applyProtection="0"/>
    <xf numFmtId="182" fontId="177" fillId="0" borderId="0">
      <alignment horizontal="centerContinuous"/>
    </xf>
    <xf numFmtId="0" fontId="178" fillId="0" borderId="0"/>
    <xf numFmtId="0" fontId="14" fillId="0" borderId="0"/>
    <xf numFmtId="9" fontId="179" fillId="0" borderId="0" applyBorder="0" applyAlignment="0" applyProtection="0"/>
    <xf numFmtId="9" fontId="180" fillId="0" borderId="0" applyBorder="0" applyAlignment="0" applyProtection="0"/>
    <xf numFmtId="0" fontId="17" fillId="2" borderId="0"/>
    <xf numFmtId="0" fontId="181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3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3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81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145" fillId="0" borderId="1" applyNumberFormat="0" applyFont="0" applyBorder="0" applyAlignment="0">
      <alignment horizontal="center"/>
    </xf>
    <xf numFmtId="0" fontId="9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42" fillId="0" borderId="0"/>
    <xf numFmtId="0" fontId="182" fillId="0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3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3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9" fillId="0" borderId="0">
      <alignment wrapText="1"/>
    </xf>
    <xf numFmtId="0" fontId="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41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116" fillId="14" borderId="0" applyNumberFormat="0" applyBorder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30" fillId="0" borderId="0"/>
    <xf numFmtId="0" fontId="30" fillId="0" borderId="0"/>
    <xf numFmtId="0" fontId="185" fillId="0" borderId="0"/>
    <xf numFmtId="179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6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116" fillId="22" borderId="0" applyNumberFormat="0" applyBorder="0" applyAlignment="0" applyProtection="0"/>
    <xf numFmtId="0" fontId="116" fillId="26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15" borderId="0" applyNumberFormat="0" applyBorder="0" applyAlignment="0" applyProtection="0"/>
    <xf numFmtId="0" fontId="8" fillId="27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28" borderId="0" applyNumberFormat="0" applyBorder="0" applyAlignment="0" applyProtection="0"/>
    <xf numFmtId="192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236" fontId="89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41" fillId="0" borderId="0"/>
    <xf numFmtId="0" fontId="42" fillId="0" borderId="0"/>
    <xf numFmtId="0" fontId="30" fillId="0" borderId="0"/>
    <xf numFmtId="0" fontId="30" fillId="0" borderId="0"/>
    <xf numFmtId="0" fontId="187" fillId="0" borderId="7" applyFont="0" applyFill="0" applyBorder="0" applyAlignment="0" applyProtection="0">
      <alignment horizontal="center" vertical="center"/>
    </xf>
    <xf numFmtId="0" fontId="64" fillId="0" borderId="0">
      <alignment horizontal="center" wrapText="1"/>
      <protection locked="0"/>
    </xf>
    <xf numFmtId="0" fontId="188" fillId="0" borderId="0" applyNumberFormat="0" applyBorder="0" applyAlignment="0">
      <alignment horizontal="center"/>
    </xf>
    <xf numFmtId="179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9" fillId="0" borderId="0" applyFont="0" applyFill="0" applyBorder="0" applyAlignment="0" applyProtection="0"/>
    <xf numFmtId="180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65" fillId="0" borderId="0"/>
    <xf numFmtId="0" fontId="117" fillId="5" borderId="0" applyNumberFormat="0" applyBorder="0" applyAlignment="0" applyProtection="0"/>
    <xf numFmtId="237" fontId="14" fillId="0" borderId="0">
      <alignment horizontal="right"/>
    </xf>
    <xf numFmtId="0" fontId="190" fillId="0" borderId="0"/>
    <xf numFmtId="0" fontId="66" fillId="0" borderId="0" applyNumberFormat="0" applyFill="0" applyBorder="0" applyAlignment="0" applyProtection="0"/>
    <xf numFmtId="0" fontId="74" fillId="0" borderId="0">
      <alignment horizontal="center"/>
    </xf>
    <xf numFmtId="0" fontId="191" fillId="0" borderId="0"/>
    <xf numFmtId="238" fontId="24" fillId="0" borderId="0" applyFont="0" applyFill="0" applyBorder="0" applyAlignment="0" applyProtection="0"/>
    <xf numFmtId="0" fontId="42" fillId="0" borderId="0"/>
    <xf numFmtId="0" fontId="20" fillId="0" borderId="0"/>
    <xf numFmtId="0" fontId="192" fillId="0" borderId="0"/>
    <xf numFmtId="0" fontId="191" fillId="0" borderId="0"/>
    <xf numFmtId="0" fontId="193" fillId="0" borderId="0"/>
    <xf numFmtId="0" fontId="63" fillId="0" borderId="0"/>
    <xf numFmtId="0" fontId="194" fillId="0" borderId="0"/>
    <xf numFmtId="184" fontId="14" fillId="0" borderId="0" applyFill="0" applyBorder="0" applyAlignment="0"/>
    <xf numFmtId="0" fontId="173" fillId="0" borderId="0" applyFill="0" applyBorder="0" applyAlignment="0"/>
    <xf numFmtId="239" fontId="195" fillId="0" borderId="0" applyFill="0" applyBorder="0" applyAlignment="0"/>
    <xf numFmtId="194" fontId="14" fillId="0" borderId="0" applyFill="0" applyBorder="0" applyAlignment="0"/>
    <xf numFmtId="206" fontId="14" fillId="0" borderId="0" applyFill="0" applyBorder="0" applyAlignment="0"/>
    <xf numFmtId="240" fontId="1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18" fillId="2" borderId="8" applyNumberFormat="0" applyAlignment="0" applyProtection="0"/>
    <xf numFmtId="0" fontId="34" fillId="0" borderId="0"/>
    <xf numFmtId="242" fontId="196" fillId="0" borderId="4" applyBorder="0"/>
    <xf numFmtId="242" fontId="197" fillId="0" borderId="6">
      <protection locked="0"/>
    </xf>
    <xf numFmtId="243" fontId="168" fillId="0" borderId="0" applyFont="0" applyFill="0" applyBorder="0" applyAlignment="0" applyProtection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164" fontId="14" fillId="0" borderId="0" applyFont="0" applyFill="0" applyBorder="0" applyAlignment="0" applyProtection="0"/>
    <xf numFmtId="178" fontId="195" fillId="0" borderId="0" applyFont="0" applyFill="0" applyBorder="0" applyAlignment="0" applyProtection="0"/>
    <xf numFmtId="165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82" fontId="115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8" fillId="0" borderId="0" applyFont="0" applyFill="0" applyBorder="0" applyAlignment="0" applyProtection="0"/>
    <xf numFmtId="200" fontId="48" fillId="0" borderId="0" applyFont="0" applyFill="0" applyBorder="0" applyAlignment="0" applyProtection="0"/>
    <xf numFmtId="184" fontId="48" fillId="0" borderId="0" applyFont="0" applyFill="0" applyBorder="0" applyAlignment="0" applyProtection="0"/>
    <xf numFmtId="165" fontId="103" fillId="0" borderId="0" applyFont="0" applyFill="0" applyBorder="0" applyAlignment="0" applyProtection="0"/>
    <xf numFmtId="176" fontId="9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03" fillId="0" borderId="0" applyFont="0" applyFill="0" applyBorder="0" applyAlignment="0" applyProtection="0"/>
    <xf numFmtId="224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52" fillId="0" borderId="0" applyFont="0" applyFill="0" applyBorder="0" applyAlignment="0" applyProtection="0"/>
    <xf numFmtId="165" fontId="14" fillId="0" borderId="0" applyFont="0" applyFill="0" applyBorder="0" applyAlignment="0" applyProtection="0"/>
    <xf numFmtId="245" fontId="32" fillId="0" borderId="0" applyFont="0" applyFill="0" applyBorder="0" applyAlignment="0" applyProtection="0"/>
    <xf numFmtId="165" fontId="14" fillId="0" borderId="0" applyFont="0" applyFill="0" applyBorder="0" applyAlignment="0" applyProtection="0"/>
    <xf numFmtId="208" fontId="41" fillId="0" borderId="0"/>
    <xf numFmtId="246" fontId="42" fillId="0" borderId="0"/>
    <xf numFmtId="3" fontId="14" fillId="0" borderId="0" applyFont="0" applyFill="0" applyBorder="0" applyAlignment="0" applyProtection="0"/>
    <xf numFmtId="165" fontId="9" fillId="0" borderId="9">
      <alignment vertical="center" wrapText="1"/>
    </xf>
    <xf numFmtId="0" fontId="68" fillId="0" borderId="0" applyNumberFormat="0" applyAlignment="0">
      <alignment horizontal="left"/>
    </xf>
    <xf numFmtId="238" fontId="24" fillId="0" borderId="0" applyFont="0" applyFill="0" applyBorder="0" applyAlignment="0" applyProtection="0"/>
    <xf numFmtId="247" fontId="147" fillId="0" borderId="0" applyFont="0" applyFill="0" applyBorder="0" applyAlignment="0" applyProtection="0"/>
    <xf numFmtId="165" fontId="170" fillId="0" borderId="0" applyFont="0" applyFill="0" applyBorder="0" applyAlignment="0" applyProtection="0"/>
    <xf numFmtId="248" fontId="200" fillId="0" borderId="0">
      <protection locked="0"/>
    </xf>
    <xf numFmtId="249" fontId="200" fillId="0" borderId="0">
      <protection locked="0"/>
    </xf>
    <xf numFmtId="250" fontId="201" fillId="0" borderId="10">
      <protection locked="0"/>
    </xf>
    <xf numFmtId="251" fontId="200" fillId="0" borderId="0">
      <protection locked="0"/>
    </xf>
    <xf numFmtId="252" fontId="200" fillId="0" borderId="0">
      <protection locked="0"/>
    </xf>
    <xf numFmtId="251" fontId="200" fillId="0" borderId="0" applyNumberFormat="0">
      <protection locked="0"/>
    </xf>
    <xf numFmtId="251" fontId="200" fillId="0" borderId="0">
      <protection locked="0"/>
    </xf>
    <xf numFmtId="242" fontId="202" fillId="0" borderId="2"/>
    <xf numFmtId="253" fontId="202" fillId="0" borderId="2"/>
    <xf numFmtId="239" fontId="195" fillId="0" borderId="0" applyFont="0" applyFill="0" applyBorder="0" applyAlignment="0" applyProtection="0"/>
    <xf numFmtId="190" fontId="14" fillId="0" borderId="0" applyFont="0" applyFill="0" applyBorder="0" applyAlignment="0" applyProtection="0"/>
    <xf numFmtId="209" fontId="41" fillId="0" borderId="0"/>
    <xf numFmtId="254" fontId="14" fillId="0" borderId="0"/>
    <xf numFmtId="244" fontId="198" fillId="0" borderId="6"/>
    <xf numFmtId="0" fontId="119" fillId="29" borderId="11" applyNumberFormat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4" fontId="89" fillId="0" borderId="0" applyAlignment="0"/>
    <xf numFmtId="1" fontId="199" fillId="0" borderId="12" applyBorder="0"/>
    <xf numFmtId="242" fontId="151" fillId="0" borderId="2">
      <alignment horizontal="center"/>
      <protection hidden="1"/>
    </xf>
    <xf numFmtId="255" fontId="203" fillId="0" borderId="2">
      <alignment horizontal="center"/>
      <protection hidden="1"/>
    </xf>
    <xf numFmtId="184" fontId="9" fillId="0" borderId="13"/>
    <xf numFmtId="2" fontId="151" fillId="0" borderId="2">
      <alignment horizontal="center"/>
      <protection hidden="1"/>
    </xf>
    <xf numFmtId="0" fontId="14" fillId="0" borderId="0" applyFont="0" applyFill="0" applyBorder="0" applyAlignment="0" applyProtection="0"/>
    <xf numFmtId="256" fontId="204" fillId="0" borderId="0">
      <protection locked="0"/>
    </xf>
    <xf numFmtId="14" fontId="84" fillId="0" borderId="0" applyFill="0" applyBorder="0" applyAlignment="0"/>
    <xf numFmtId="0" fontId="204" fillId="0" borderId="0">
      <protection locked="0"/>
    </xf>
    <xf numFmtId="0" fontId="205" fillId="0" borderId="0"/>
    <xf numFmtId="257" fontId="14" fillId="0" borderId="14">
      <alignment vertical="center"/>
    </xf>
    <xf numFmtId="258" fontId="14" fillId="0" borderId="0" applyFont="0" applyFill="0" applyBorder="0" applyAlignment="0" applyProtection="0"/>
    <xf numFmtId="259" fontId="14" fillId="0" borderId="0" applyFont="0" applyFill="0" applyBorder="0" applyAlignment="0" applyProtection="0"/>
    <xf numFmtId="260" fontId="147" fillId="0" borderId="0" applyFont="0" applyFill="0" applyBorder="0" applyAlignment="0" applyProtection="0"/>
    <xf numFmtId="229" fontId="158" fillId="0" borderId="0" applyFont="0" applyFill="0" applyBorder="0" applyAlignment="0" applyProtection="0"/>
    <xf numFmtId="210" fontId="41" fillId="0" borderId="0"/>
    <xf numFmtId="261" fontId="14" fillId="0" borderId="0"/>
    <xf numFmtId="0" fontId="185" fillId="0" borderId="0">
      <alignment vertical="top" wrapText="1"/>
    </xf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3" fontId="9" fillId="0" borderId="0" applyFont="0" applyBorder="0" applyAlignment="0"/>
    <xf numFmtId="0" fontId="148" fillId="30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68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70" fillId="0" borderId="0" applyNumberFormat="0" applyAlignment="0">
      <alignment horizontal="left"/>
    </xf>
    <xf numFmtId="0" fontId="146" fillId="0" borderId="0">
      <alignment horizontal="left"/>
    </xf>
    <xf numFmtId="0" fontId="14" fillId="0" borderId="0"/>
    <xf numFmtId="0" fontId="39" fillId="0" borderId="0"/>
    <xf numFmtId="0" fontId="120" fillId="0" borderId="0" applyNumberFormat="0" applyFill="0" applyBorder="0" applyAlignment="0" applyProtection="0"/>
    <xf numFmtId="3" fontId="9" fillId="0" borderId="0" applyFont="0" applyBorder="0" applyAlignment="0"/>
    <xf numFmtId="0" fontId="206" fillId="0" borderId="0" applyProtection="0"/>
    <xf numFmtId="0" fontId="207" fillId="0" borderId="0" applyProtection="0"/>
    <xf numFmtId="0" fontId="208" fillId="0" borderId="0" applyProtection="0"/>
    <xf numFmtId="0" fontId="209" fillId="0" borderId="0" applyProtection="0"/>
    <xf numFmtId="0" fontId="210" fillId="0" borderId="0" applyNumberFormat="0" applyFont="0" applyFill="0" applyBorder="0" applyAlignment="0" applyProtection="0"/>
    <xf numFmtId="0" fontId="211" fillId="0" borderId="0" applyProtection="0"/>
    <xf numFmtId="0" fontId="212" fillId="0" borderId="0" applyProtection="0"/>
    <xf numFmtId="2" fontId="14" fillId="0" borderId="0" applyFont="0" applyFill="0" applyBorder="0" applyAlignment="0" applyProtection="0"/>
    <xf numFmtId="262" fontId="204" fillId="0" borderId="0">
      <protection locked="0"/>
    </xf>
    <xf numFmtId="0" fontId="213" fillId="0" borderId="0" applyNumberFormat="0" applyFill="0" applyBorder="0" applyAlignment="0" applyProtection="0"/>
    <xf numFmtId="0" fontId="214" fillId="0" borderId="0" applyNumberFormat="0" applyFill="0" applyBorder="0" applyProtection="0">
      <alignment vertical="center"/>
    </xf>
    <xf numFmtId="0" fontId="215" fillId="0" borderId="0" applyNumberFormat="0" applyFill="0" applyBorder="0" applyAlignment="0" applyProtection="0"/>
    <xf numFmtId="0" fontId="216" fillId="0" borderId="0" applyNumberFormat="0" applyFill="0" applyBorder="0" applyProtection="0">
      <alignment vertical="center"/>
    </xf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5" fontId="14" fillId="0" borderId="15" applyNumberFormat="0" applyFill="0" applyBorder="0" applyAlignment="0" applyProtection="0"/>
    <xf numFmtId="0" fontId="219" fillId="0" borderId="0" applyNumberFormat="0" applyFill="0" applyBorder="0" applyAlignment="0" applyProtection="0"/>
    <xf numFmtId="0" fontId="42" fillId="0" borderId="0"/>
    <xf numFmtId="0" fontId="121" fillId="6" borderId="0" applyNumberFormat="0" applyBorder="0" applyAlignment="0" applyProtection="0"/>
    <xf numFmtId="38" fontId="35" fillId="33" borderId="0" applyNumberFormat="0" applyBorder="0" applyAlignment="0" applyProtection="0"/>
    <xf numFmtId="38" fontId="35" fillId="2" borderId="0" applyNumberFormat="0" applyBorder="0" applyAlignment="0" applyProtection="0"/>
    <xf numFmtId="3" fontId="9" fillId="34" borderId="16">
      <alignment horizontal="right" vertical="top" wrapText="1"/>
    </xf>
    <xf numFmtId="0" fontId="144" fillId="0" borderId="9" applyNumberFormat="0" applyFill="0" applyBorder="0" applyAlignment="0" applyProtection="0">
      <alignment horizontal="center" vertical="center"/>
    </xf>
    <xf numFmtId="0" fontId="220" fillId="0" borderId="9" applyNumberFormat="0" applyFill="0" applyBorder="0" applyAlignment="0" applyProtection="0">
      <alignment horizontal="center" vertical="center"/>
    </xf>
    <xf numFmtId="0" fontId="71" fillId="0" borderId="0" applyNumberFormat="0" applyFont="0" applyBorder="0" applyAlignment="0">
      <alignment horizontal="left" vertical="center"/>
    </xf>
    <xf numFmtId="0" fontId="72" fillId="35" borderId="0"/>
    <xf numFmtId="0" fontId="36" fillId="0" borderId="0">
      <alignment horizontal="left"/>
    </xf>
    <xf numFmtId="0" fontId="10" fillId="0" borderId="17" applyNumberFormat="0" applyAlignment="0" applyProtection="0">
      <alignment horizontal="left" vertical="center"/>
    </xf>
    <xf numFmtId="0" fontId="10" fillId="0" borderId="18">
      <alignment horizontal="left" vertical="center"/>
    </xf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2" fillId="0" borderId="19" applyNumberFormat="0" applyFill="0" applyAlignment="0" applyProtection="0"/>
    <xf numFmtId="196" fontId="40" fillId="0" borderId="0">
      <protection locked="0"/>
    </xf>
    <xf numFmtId="196" fontId="40" fillId="0" borderId="0">
      <protection locked="0"/>
    </xf>
    <xf numFmtId="0" fontId="73" fillId="0" borderId="20">
      <alignment horizontal="center"/>
    </xf>
    <xf numFmtId="0" fontId="73" fillId="0" borderId="0">
      <alignment horizontal="center"/>
    </xf>
    <xf numFmtId="171" fontId="74" fillId="36" borderId="1" applyNumberFormat="0" applyAlignment="0">
      <alignment horizontal="left" vertical="top"/>
    </xf>
    <xf numFmtId="0" fontId="30" fillId="0" borderId="0"/>
    <xf numFmtId="263" fontId="154" fillId="0" borderId="0" applyFont="0" applyFill="0" applyBorder="0" applyAlignment="0" applyProtection="0">
      <alignment horizontal="center" vertical="center"/>
    </xf>
    <xf numFmtId="49" fontId="45" fillId="0" borderId="1">
      <alignment vertical="center"/>
    </xf>
    <xf numFmtId="164" fontId="168" fillId="0" borderId="0" applyFont="0" applyFill="0" applyBorder="0" applyAlignment="0" applyProtection="0"/>
    <xf numFmtId="0" fontId="221" fillId="0" borderId="0"/>
    <xf numFmtId="0" fontId="29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30" fillId="0" borderId="0"/>
    <xf numFmtId="10" fontId="35" fillId="33" borderId="1" applyNumberFormat="0" applyBorder="0" applyAlignment="0" applyProtection="0"/>
    <xf numFmtId="10" fontId="35" fillId="37" borderId="1" applyNumberFormat="0" applyBorder="0" applyAlignment="0" applyProtection="0"/>
    <xf numFmtId="0" fontId="123" fillId="9" borderId="8" applyNumberFormat="0" applyAlignment="0" applyProtection="0"/>
    <xf numFmtId="2" fontId="75" fillId="0" borderId="21" applyBorder="0"/>
    <xf numFmtId="2" fontId="75" fillId="0" borderId="21" applyBorder="0"/>
    <xf numFmtId="2" fontId="75" fillId="0" borderId="21" applyBorder="0"/>
    <xf numFmtId="0" fontId="76" fillId="0" borderId="0"/>
    <xf numFmtId="264" fontId="9" fillId="38" borderId="16">
      <alignment vertical="top" wrapText="1"/>
    </xf>
    <xf numFmtId="0" fontId="9" fillId="0" borderId="22" applyNumberFormat="0" applyFill="0" applyAlignment="0" applyProtection="0"/>
    <xf numFmtId="0" fontId="9" fillId="0" borderId="23" applyNumberFormat="0" applyFill="0" applyAlignment="0" applyProtection="0"/>
    <xf numFmtId="0" fontId="9" fillId="0" borderId="0"/>
    <xf numFmtId="2" fontId="222" fillId="0" borderId="24" applyBorder="0"/>
    <xf numFmtId="0" fontId="14" fillId="0" borderId="0"/>
    <xf numFmtId="0" fontId="42" fillId="0" borderId="0" applyNumberFormat="0" applyFont="0" applyFill="0" applyBorder="0" applyProtection="0">
      <alignment horizontal="left" vertical="center"/>
    </xf>
    <xf numFmtId="0" fontId="223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24" fillId="0" borderId="25" applyNumberFormat="0" applyFill="0" applyAlignment="0" applyProtection="0"/>
    <xf numFmtId="242" fontId="35" fillId="0" borderId="4" applyFont="0"/>
    <xf numFmtId="3" fontId="14" fillId="0" borderId="26"/>
    <xf numFmtId="0" fontId="187" fillId="0" borderId="0" applyFont="0" applyFill="0" applyBorder="0" applyProtection="0">
      <alignment horizontal="center" vertical="center"/>
    </xf>
    <xf numFmtId="184" fontId="77" fillId="0" borderId="27" applyNumberFormat="0" applyFont="0" applyFill="0" applyBorder="0">
      <alignment horizontal="center"/>
    </xf>
    <xf numFmtId="184" fontId="224" fillId="0" borderId="27" applyNumberFormat="0" applyFont="0" applyFill="0" applyBorder="0">
      <alignment horizontal="center"/>
    </xf>
    <xf numFmtId="219" fontId="14" fillId="0" borderId="0" applyBorder="0">
      <alignment horizontal="left" vertical="center"/>
    </xf>
    <xf numFmtId="38" fontId="41" fillId="0" borderId="0" applyFont="0" applyFill="0" applyBorder="0" applyAlignment="0" applyProtection="0"/>
    <xf numFmtId="4" fontId="195" fillId="0" borderId="0" applyFont="0" applyFill="0" applyBorder="0" applyAlignment="0" applyProtection="0"/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42" fillId="0" borderId="0"/>
    <xf numFmtId="0" fontId="37" fillId="0" borderId="20"/>
    <xf numFmtId="169" fontId="14" fillId="0" borderId="27"/>
    <xf numFmtId="265" fontId="226" fillId="0" borderId="27"/>
    <xf numFmtId="197" fontId="41" fillId="0" borderId="0" applyFont="0" applyFill="0" applyBorder="0" applyAlignment="0" applyProtection="0"/>
    <xf numFmtId="198" fontId="41" fillId="0" borderId="0" applyFont="0" applyFill="0" applyBorder="0" applyAlignment="0" applyProtection="0"/>
    <xf numFmtId="266" fontId="14" fillId="0" borderId="0" applyFont="0" applyFill="0" applyBorder="0" applyAlignment="0" applyProtection="0"/>
    <xf numFmtId="267" fontId="14" fillId="0" borderId="0" applyFont="0" applyFill="0" applyBorder="0" applyAlignment="0" applyProtection="0"/>
    <xf numFmtId="0" fontId="225" fillId="0" borderId="6"/>
    <xf numFmtId="0" fontId="14" fillId="0" borderId="0"/>
    <xf numFmtId="0" fontId="26" fillId="0" borderId="0" applyNumberFormat="0" applyFont="0" applyFill="0" applyAlignment="0"/>
    <xf numFmtId="4" fontId="227" fillId="0" borderId="6" applyBorder="0"/>
    <xf numFmtId="0" fontId="9" fillId="0" borderId="0" applyNumberFormat="0" applyFill="0" applyAlignment="0"/>
    <xf numFmtId="0" fontId="9" fillId="0" borderId="0" applyNumberFormat="0" applyFill="0" applyAlignment="0"/>
    <xf numFmtId="0" fontId="202" fillId="0" borderId="0">
      <alignment horizontal="justify" vertical="top"/>
    </xf>
    <xf numFmtId="0" fontId="125" fillId="39" borderId="0" applyNumberFormat="0" applyBorder="0" applyAlignment="0" applyProtection="0"/>
    <xf numFmtId="0" fontId="24" fillId="0" borderId="1"/>
    <xf numFmtId="0" fontId="42" fillId="0" borderId="0"/>
    <xf numFmtId="0" fontId="24" fillId="0" borderId="1"/>
    <xf numFmtId="37" fontId="78" fillId="0" borderId="0"/>
    <xf numFmtId="0" fontId="229" fillId="0" borderId="1" applyNumberFormat="0" applyFont="0" applyFill="0" applyBorder="0" applyAlignment="0">
      <alignment horizontal="center"/>
    </xf>
    <xf numFmtId="0" fontId="230" fillId="0" borderId="1" applyNumberFormat="0" applyFont="0" applyFill="0" applyBorder="0" applyAlignment="0">
      <alignment horizontal="center"/>
    </xf>
    <xf numFmtId="0" fontId="171" fillId="0" borderId="0"/>
    <xf numFmtId="191" fontId="23" fillId="0" borderId="0"/>
    <xf numFmtId="168" fontId="231" fillId="0" borderId="0"/>
    <xf numFmtId="0" fontId="43" fillId="0" borderId="0"/>
    <xf numFmtId="0" fontId="115" fillId="0" borderId="0"/>
    <xf numFmtId="0" fontId="14" fillId="0" borderId="0"/>
    <xf numFmtId="0" fontId="14" fillId="0" borderId="0"/>
    <xf numFmtId="0" fontId="9" fillId="0" borderId="0"/>
    <xf numFmtId="0" fontId="47" fillId="0" borderId="0"/>
    <xf numFmtId="0" fontId="281" fillId="0" borderId="0"/>
    <xf numFmtId="0" fontId="14" fillId="0" borderId="0"/>
    <xf numFmtId="0" fontId="26" fillId="0" borderId="0"/>
    <xf numFmtId="0" fontId="9" fillId="0" borderId="0"/>
    <xf numFmtId="0" fontId="14" fillId="0" borderId="0"/>
    <xf numFmtId="0" fontId="26" fillId="0" borderId="0"/>
    <xf numFmtId="0" fontId="232" fillId="0" borderId="0">
      <protection locked="0"/>
    </xf>
    <xf numFmtId="0" fontId="9" fillId="0" borderId="0"/>
    <xf numFmtId="0" fontId="9" fillId="0" borderId="0"/>
    <xf numFmtId="0" fontId="280" fillId="0" borderId="0"/>
    <xf numFmtId="0" fontId="102" fillId="0" borderId="0"/>
    <xf numFmtId="0" fontId="14" fillId="0" borderId="0"/>
    <xf numFmtId="0" fontId="26" fillId="0" borderId="0"/>
    <xf numFmtId="0" fontId="44" fillId="0" borderId="0"/>
    <xf numFmtId="0" fontId="26" fillId="0" borderId="0"/>
    <xf numFmtId="0" fontId="103" fillId="0" borderId="0"/>
    <xf numFmtId="0" fontId="9" fillId="0" borderId="0"/>
    <xf numFmtId="0" fontId="9" fillId="0" borderId="0"/>
    <xf numFmtId="0" fontId="26" fillId="0" borderId="0"/>
    <xf numFmtId="0" fontId="26" fillId="0" borderId="0"/>
    <xf numFmtId="0" fontId="103" fillId="0" borderId="0"/>
    <xf numFmtId="0" fontId="9" fillId="0" borderId="0"/>
    <xf numFmtId="0" fontId="129" fillId="0" borderId="0"/>
    <xf numFmtId="0" fontId="9" fillId="0" borderId="0"/>
    <xf numFmtId="0" fontId="129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14" fillId="0" borderId="0"/>
    <xf numFmtId="0" fontId="9" fillId="0" borderId="0"/>
    <xf numFmtId="0" fontId="195" fillId="33" borderId="0"/>
    <xf numFmtId="0" fontId="69" fillId="0" borderId="0"/>
    <xf numFmtId="0" fontId="14" fillId="37" borderId="28" applyNumberFormat="0" applyFont="0" applyAlignment="0" applyProtection="0"/>
    <xf numFmtId="49" fontId="228" fillId="29" borderId="0">
      <alignment horizontal="center" wrapText="1"/>
      <protection hidden="1"/>
    </xf>
    <xf numFmtId="3" fontId="233" fillId="0" borderId="0" applyFont="0" applyFill="0" applyBorder="0" applyAlignment="0" applyProtection="0"/>
    <xf numFmtId="165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0" fontId="159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Font="0" applyFill="0" applyBorder="0" applyAlignment="0" applyProtection="0"/>
    <xf numFmtId="0" fontId="42" fillId="0" borderId="0"/>
    <xf numFmtId="0" fontId="126" fillId="2" borderId="29" applyNumberFormat="0" applyAlignment="0" applyProtection="0"/>
    <xf numFmtId="0" fontId="108" fillId="33" borderId="0"/>
    <xf numFmtId="164" fontId="14" fillId="0" borderId="0" applyFont="0" applyFill="0" applyBorder="0" applyAlignment="0" applyProtection="0"/>
    <xf numFmtId="14" fontId="64" fillId="0" borderId="0">
      <alignment horizontal="center" wrapText="1"/>
      <protection locked="0"/>
    </xf>
    <xf numFmtId="240" fontId="15" fillId="0" borderId="0" applyFont="0" applyFill="0" applyBorder="0" applyAlignment="0" applyProtection="0"/>
    <xf numFmtId="268" fontId="14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1" fillId="0" borderId="30" applyNumberFormat="0" applyBorder="0"/>
    <xf numFmtId="0" fontId="42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4" fontId="146" fillId="0" borderId="0">
      <alignment horizontal="right"/>
    </xf>
    <xf numFmtId="0" fontId="235" fillId="0" borderId="0"/>
    <xf numFmtId="0" fontId="41" fillId="0" borderId="0" applyNumberFormat="0" applyFont="0" applyFill="0" applyBorder="0" applyAlignment="0" applyProtection="0">
      <alignment horizontal="left"/>
    </xf>
    <xf numFmtId="0" fontId="236" fillId="0" borderId="20">
      <alignment horizontal="center"/>
    </xf>
    <xf numFmtId="0" fontId="14" fillId="0" borderId="0"/>
    <xf numFmtId="0" fontId="30" fillId="0" borderId="0"/>
    <xf numFmtId="0" fontId="79" fillId="40" borderId="0" applyNumberFormat="0" applyFont="0" applyBorder="0" applyAlignment="0">
      <alignment horizontal="center"/>
    </xf>
    <xf numFmtId="0" fontId="32" fillId="0" borderId="0">
      <alignment horizontal="center"/>
    </xf>
    <xf numFmtId="4" fontId="237" fillId="0" borderId="0">
      <alignment horizontal="right"/>
    </xf>
    <xf numFmtId="14" fontId="80" fillId="0" borderId="0" applyNumberFormat="0" applyFill="0" applyBorder="0" applyAlignment="0" applyProtection="0">
      <alignment horizontal="left"/>
    </xf>
    <xf numFmtId="0" fontId="30" fillId="0" borderId="0"/>
    <xf numFmtId="0" fontId="30" fillId="0" borderId="0"/>
    <xf numFmtId="0" fontId="30" fillId="0" borderId="0"/>
    <xf numFmtId="164" fontId="168" fillId="0" borderId="0" applyFont="0" applyFill="0" applyBorder="0" applyAlignment="0" applyProtection="0"/>
    <xf numFmtId="0" fontId="9" fillId="0" borderId="0" applyNumberFormat="0" applyFill="0" applyBorder="0" applyAlignment="0" applyProtection="0"/>
    <xf numFmtId="164" fontId="168" fillId="0" borderId="0" applyFont="0" applyFill="0" applyBorder="0" applyAlignment="0" applyProtection="0"/>
    <xf numFmtId="3" fontId="168" fillId="0" borderId="31">
      <alignment horizontal="right" wrapText="1"/>
    </xf>
    <xf numFmtId="4" fontId="81" fillId="39" borderId="32" applyNumberFormat="0" applyProtection="0">
      <alignment vertical="center"/>
    </xf>
    <xf numFmtId="4" fontId="82" fillId="39" borderId="32" applyNumberFormat="0" applyProtection="0">
      <alignment vertical="center"/>
    </xf>
    <xf numFmtId="4" fontId="83" fillId="39" borderId="32" applyNumberFormat="0" applyProtection="0">
      <alignment horizontal="left" vertical="center" indent="1"/>
    </xf>
    <xf numFmtId="4" fontId="83" fillId="41" borderId="0" applyNumberFormat="0" applyProtection="0">
      <alignment horizontal="left" vertical="center" indent="1"/>
    </xf>
    <xf numFmtId="4" fontId="83" fillId="24" borderId="32" applyNumberFormat="0" applyProtection="0">
      <alignment horizontal="right" vertical="center"/>
    </xf>
    <xf numFmtId="4" fontId="83" fillId="5" borderId="32" applyNumberFormat="0" applyProtection="0">
      <alignment horizontal="right" vertical="center"/>
    </xf>
    <xf numFmtId="4" fontId="83" fillId="11" borderId="32" applyNumberFormat="0" applyProtection="0">
      <alignment horizontal="right" vertical="center"/>
    </xf>
    <xf numFmtId="4" fontId="83" fillId="6" borderId="32" applyNumberFormat="0" applyProtection="0">
      <alignment horizontal="right" vertical="center"/>
    </xf>
    <xf numFmtId="4" fontId="83" fillId="13" borderId="32" applyNumberFormat="0" applyProtection="0">
      <alignment horizontal="right" vertical="center"/>
    </xf>
    <xf numFmtId="4" fontId="83" fillId="9" borderId="32" applyNumberFormat="0" applyProtection="0">
      <alignment horizontal="right" vertical="center"/>
    </xf>
    <xf numFmtId="4" fontId="83" fillId="42" borderId="32" applyNumberFormat="0" applyProtection="0">
      <alignment horizontal="right" vertical="center"/>
    </xf>
    <xf numFmtId="4" fontId="83" fillId="26" borderId="32" applyNumberFormat="0" applyProtection="0">
      <alignment horizontal="right" vertical="center"/>
    </xf>
    <xf numFmtId="4" fontId="83" fillId="43" borderId="32" applyNumberFormat="0" applyProtection="0">
      <alignment horizontal="right" vertical="center"/>
    </xf>
    <xf numFmtId="4" fontId="81" fillId="44" borderId="33" applyNumberFormat="0" applyProtection="0">
      <alignment horizontal="left" vertical="center" indent="1"/>
    </xf>
    <xf numFmtId="4" fontId="81" fillId="10" borderId="0" applyNumberFormat="0" applyProtection="0">
      <alignment horizontal="left" vertical="center" indent="1"/>
    </xf>
    <xf numFmtId="4" fontId="81" fillId="41" borderId="0" applyNumberFormat="0" applyProtection="0">
      <alignment horizontal="left" vertical="center" indent="1"/>
    </xf>
    <xf numFmtId="4" fontId="83" fillId="10" borderId="32" applyNumberFormat="0" applyProtection="0">
      <alignment horizontal="right" vertical="center"/>
    </xf>
    <xf numFmtId="4" fontId="84" fillId="10" borderId="0" applyNumberFormat="0" applyProtection="0">
      <alignment horizontal="left" vertical="center" indent="1"/>
    </xf>
    <xf numFmtId="4" fontId="84" fillId="41" borderId="0" applyNumberFormat="0" applyProtection="0">
      <alignment horizontal="left" vertical="center" indent="1"/>
    </xf>
    <xf numFmtId="4" fontId="83" fillId="45" borderId="32" applyNumberFormat="0" applyProtection="0">
      <alignment vertical="center"/>
    </xf>
    <xf numFmtId="4" fontId="85" fillId="45" borderId="32" applyNumberFormat="0" applyProtection="0">
      <alignment vertical="center"/>
    </xf>
    <xf numFmtId="4" fontId="81" fillId="10" borderId="34" applyNumberFormat="0" applyProtection="0">
      <alignment horizontal="left" vertical="center" indent="1"/>
    </xf>
    <xf numFmtId="4" fontId="83" fillId="45" borderId="32" applyNumberFormat="0" applyProtection="0">
      <alignment horizontal="right" vertical="center"/>
    </xf>
    <xf numFmtId="4" fontId="85" fillId="45" borderId="32" applyNumberFormat="0" applyProtection="0">
      <alignment horizontal="right" vertical="center"/>
    </xf>
    <xf numFmtId="4" fontId="81" fillId="10" borderId="32" applyNumberFormat="0" applyProtection="0">
      <alignment horizontal="left" vertical="center" indent="1"/>
    </xf>
    <xf numFmtId="4" fontId="86" fillId="36" borderId="34" applyNumberFormat="0" applyProtection="0">
      <alignment horizontal="left" vertical="center" indent="1"/>
    </xf>
    <xf numFmtId="4" fontId="87" fillId="45" borderId="32" applyNumberFormat="0" applyProtection="0">
      <alignment horizontal="right" vertical="center"/>
    </xf>
    <xf numFmtId="0" fontId="30" fillId="0" borderId="0">
      <alignment vertical="center"/>
    </xf>
    <xf numFmtId="0" fontId="109" fillId="0" borderId="0">
      <alignment horizontal="left"/>
    </xf>
    <xf numFmtId="269" fontId="238" fillId="0" borderId="0" applyFont="0" applyFill="0" applyBorder="0" applyAlignment="0" applyProtection="0"/>
    <xf numFmtId="0" fontId="79" fillId="1" borderId="18" applyNumberFormat="0" applyFont="0" applyAlignment="0">
      <alignment horizontal="center"/>
    </xf>
    <xf numFmtId="0" fontId="239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4" fontId="89" fillId="0" borderId="0" applyBorder="0"/>
    <xf numFmtId="2" fontId="89" fillId="0" borderId="35"/>
    <xf numFmtId="4" fontId="89" fillId="0" borderId="0" applyBorder="0"/>
    <xf numFmtId="3" fontId="89" fillId="0" borderId="0"/>
    <xf numFmtId="0" fontId="90" fillId="0" borderId="0" applyNumberFormat="0" applyFill="0" applyBorder="0" applyAlignment="0">
      <alignment horizontal="center"/>
    </xf>
    <xf numFmtId="0" fontId="14" fillId="46" borderId="0"/>
    <xf numFmtId="1" fontId="14" fillId="0" borderId="0"/>
    <xf numFmtId="182" fontId="240" fillId="0" borderId="0" applyNumberFormat="0" applyBorder="0" applyAlignment="0">
      <alignment horizontal="centerContinuous"/>
    </xf>
    <xf numFmtId="0" fontId="9" fillId="0" borderId="36">
      <alignment horizontal="center"/>
    </xf>
    <xf numFmtId="0" fontId="32" fillId="0" borderId="0" applyNumberFormat="0" applyFill="0" applyBorder="0" applyAlignment="0" applyProtection="0"/>
    <xf numFmtId="0" fontId="241" fillId="0" borderId="18">
      <alignment horizontal="left" vertical="center"/>
    </xf>
    <xf numFmtId="0" fontId="241" fillId="0" borderId="17" applyNumberFormat="0" applyAlignment="0" applyProtection="0">
      <alignment horizontal="left" vertical="center"/>
    </xf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63" fillId="0" borderId="0"/>
    <xf numFmtId="0" fontId="243" fillId="0" borderId="0"/>
    <xf numFmtId="0" fontId="24" fillId="0" borderId="0"/>
    <xf numFmtId="0" fontId="24" fillId="0" borderId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244" fillId="0" borderId="0" applyNumberFormat="0" applyFont="0" applyFill="0" applyAlignment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164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33" fontId="168" fillId="0" borderId="0" applyFont="0" applyFill="0" applyBorder="0" applyAlignment="0" applyProtection="0"/>
    <xf numFmtId="271" fontId="24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71" fontId="24" fillId="0" borderId="0" applyFont="0" applyFill="0" applyBorder="0" applyAlignment="0" applyProtection="0"/>
    <xf numFmtId="3" fontId="158" fillId="0" borderId="0" applyFont="0" applyFill="0" applyBorder="0" applyAlignment="0" applyProtection="0"/>
    <xf numFmtId="190" fontId="158" fillId="0" borderId="0" applyFont="0" applyFill="0" applyBorder="0" applyAlignment="0" applyProtection="0"/>
    <xf numFmtId="272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0" fontId="158" fillId="0" borderId="0" applyFont="0" applyFill="0" applyBorder="0" applyAlignment="0" applyProtection="0"/>
    <xf numFmtId="2" fontId="158" fillId="0" borderId="0" applyFont="0" applyFill="0" applyBorder="0" applyAlignment="0" applyProtection="0"/>
    <xf numFmtId="0" fontId="9" fillId="0" borderId="36">
      <alignment horizontal="center"/>
    </xf>
    <xf numFmtId="0" fontId="37" fillId="0" borderId="0"/>
    <xf numFmtId="40" fontId="91" fillId="0" borderId="0" applyBorder="0">
      <alignment horizontal="right"/>
    </xf>
    <xf numFmtId="0" fontId="245" fillId="0" borderId="0"/>
    <xf numFmtId="187" fontId="24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6" fontId="247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8" fontId="247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280" fontId="247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81" fontId="9" fillId="0" borderId="21">
      <alignment horizontal="right" vertical="center"/>
    </xf>
    <xf numFmtId="199" fontId="9" fillId="0" borderId="21">
      <alignment horizontal="right" vertical="center"/>
    </xf>
    <xf numFmtId="278" fontId="247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274" fontId="246" fillId="2" borderId="38" applyFont="0" applyFill="0" applyBorder="0"/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67" fontId="44" fillId="0" borderId="21">
      <alignment horizontal="right" vertical="center"/>
    </xf>
    <xf numFmtId="167" fontId="44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9" fontId="168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3" fontId="9" fillId="0" borderId="21">
      <alignment horizontal="right" vertical="center"/>
    </xf>
    <xf numFmtId="283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0" fontId="247" fillId="0" borderId="21">
      <alignment horizontal="right" vertical="center"/>
    </xf>
    <xf numFmtId="170" fontId="32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4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3" fontId="248" fillId="29" borderId="1" applyFill="0" applyAlignment="0" applyProtection="0">
      <alignment horizontal="justify" vertical="center"/>
    </xf>
    <xf numFmtId="1" fontId="92" fillId="0" borderId="0">
      <alignment horizontal="center"/>
    </xf>
    <xf numFmtId="242" fontId="202" fillId="0" borderId="2">
      <protection hidden="1"/>
    </xf>
    <xf numFmtId="49" fontId="84" fillId="0" borderId="0" applyFill="0" applyBorder="0" applyAlignment="0"/>
    <xf numFmtId="0" fontId="14" fillId="0" borderId="0" applyFill="0" applyBorder="0" applyAlignment="0"/>
    <xf numFmtId="185" fontId="14" fillId="0" borderId="0" applyFill="0" applyBorder="0" applyAlignment="0"/>
    <xf numFmtId="49" fontId="94" fillId="0" borderId="0">
      <alignment horizontal="justify" vertical="center" wrapText="1"/>
    </xf>
    <xf numFmtId="0" fontId="45" fillId="0" borderId="0">
      <alignment horizontal="center"/>
    </xf>
    <xf numFmtId="40" fontId="106" fillId="0" borderId="0"/>
    <xf numFmtId="0" fontId="250" fillId="0" borderId="6"/>
    <xf numFmtId="3" fontId="251" fillId="0" borderId="0" applyNumberFormat="0" applyFill="0" applyBorder="0" applyAlignment="0" applyProtection="0">
      <alignment horizontal="center" wrapText="1"/>
    </xf>
    <xf numFmtId="0" fontId="252" fillId="0" borderId="24" applyBorder="0" applyAlignment="0">
      <alignment horizontal="center" vertical="center"/>
    </xf>
    <xf numFmtId="0" fontId="253" fillId="0" borderId="0" applyNumberFormat="0" applyFill="0" applyBorder="0" applyAlignment="0" applyProtection="0">
      <alignment horizontal="centerContinuous"/>
    </xf>
    <xf numFmtId="0" fontId="144" fillId="0" borderId="39" applyNumberFormat="0" applyFill="0" applyBorder="0" applyAlignment="0" applyProtection="0">
      <alignment horizontal="center" vertical="center" wrapText="1"/>
    </xf>
    <xf numFmtId="0" fontId="127" fillId="0" borderId="0" applyNumberFormat="0" applyFill="0" applyBorder="0" applyAlignment="0" applyProtection="0"/>
    <xf numFmtId="0" fontId="254" fillId="0" borderId="40" applyNumberFormat="0" applyBorder="0" applyAlignment="0">
      <alignment vertical="center"/>
    </xf>
    <xf numFmtId="196" fontId="204" fillId="0" borderId="41">
      <protection locked="0"/>
    </xf>
    <xf numFmtId="0" fontId="255" fillId="0" borderId="0" applyBorder="0">
      <alignment vertical="top" wrapText="1"/>
    </xf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88" fontId="24" fillId="0" borderId="21">
      <alignment horizontal="center"/>
    </xf>
    <xf numFmtId="202" fontId="9" fillId="0" borderId="21">
      <alignment horizontal="center"/>
    </xf>
    <xf numFmtId="0" fontId="147" fillId="0" borderId="0">
      <alignment vertical="center" wrapText="1"/>
      <protection locked="0"/>
    </xf>
    <xf numFmtId="0" fontId="9" fillId="0" borderId="5"/>
    <xf numFmtId="0" fontId="76" fillId="0" borderId="5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5" fillId="0" borderId="6" applyNumberFormat="0" applyBorder="0" applyAlignment="0"/>
    <xf numFmtId="0" fontId="247" fillId="0" borderId="27" applyNumberFormat="0" applyBorder="0" applyAlignment="0">
      <alignment horizontal="center"/>
    </xf>
    <xf numFmtId="3" fontId="249" fillId="0" borderId="9" applyNumberFormat="0" applyBorder="0" applyAlignment="0"/>
    <xf numFmtId="182" fontId="115" fillId="0" borderId="42" applyNumberFormat="0" applyFont="0" applyAlignment="0">
      <alignment horizontal="centerContinuous"/>
    </xf>
    <xf numFmtId="0" fontId="41" fillId="0" borderId="0"/>
    <xf numFmtId="164" fontId="9" fillId="0" borderId="0" applyFont="0" applyFill="0" applyBorder="0" applyAlignment="0" applyProtection="0"/>
    <xf numFmtId="168" fontId="154" fillId="0" borderId="0" applyFont="0" applyFill="0" applyBorder="0" applyAlignment="0" applyProtection="0"/>
    <xf numFmtId="0" fontId="10" fillId="0" borderId="26">
      <alignment horizontal="center"/>
    </xf>
    <xf numFmtId="0" fontId="9" fillId="0" borderId="1"/>
    <xf numFmtId="185" fontId="24" fillId="0" borderId="0"/>
    <xf numFmtId="216" fontId="9" fillId="0" borderId="0"/>
    <xf numFmtId="186" fontId="24" fillId="0" borderId="1"/>
    <xf numFmtId="217" fontId="9" fillId="0" borderId="1"/>
    <xf numFmtId="3" fontId="9" fillId="24" borderId="16">
      <alignment horizontal="right" vertical="top" wrapText="1"/>
    </xf>
    <xf numFmtId="0" fontId="256" fillId="0" borderId="0"/>
    <xf numFmtId="0" fontId="257" fillId="0" borderId="0"/>
    <xf numFmtId="3" fontId="24" fillId="0" borderId="0" applyNumberFormat="0" applyBorder="0" applyAlignment="0" applyProtection="0">
      <alignment horizontal="centerContinuous"/>
      <protection locked="0"/>
    </xf>
    <xf numFmtId="3" fontId="172" fillId="0" borderId="0">
      <protection locked="0"/>
    </xf>
    <xf numFmtId="0" fontId="256" fillId="0" borderId="0"/>
    <xf numFmtId="0" fontId="46" fillId="0" borderId="43" applyFill="0" applyBorder="0" applyAlignment="0">
      <alignment horizontal="center"/>
    </xf>
    <xf numFmtId="171" fontId="93" fillId="47" borderId="24">
      <alignment vertical="top"/>
    </xf>
    <xf numFmtId="171" fontId="98" fillId="0" borderId="36">
      <alignment horizontal="left" vertical="top"/>
    </xf>
    <xf numFmtId="171" fontId="32" fillId="0" borderId="36">
      <alignment horizontal="left" vertical="top"/>
    </xf>
    <xf numFmtId="0" fontId="99" fillId="0" borderId="36">
      <alignment horizontal="left" vertical="center"/>
    </xf>
    <xf numFmtId="0" fontId="94" fillId="48" borderId="1">
      <alignment horizontal="left" vertical="center"/>
    </xf>
    <xf numFmtId="172" fontId="95" fillId="49" borderId="24"/>
    <xf numFmtId="171" fontId="96" fillId="0" borderId="24">
      <alignment horizontal="left" vertical="top"/>
    </xf>
    <xf numFmtId="171" fontId="74" fillId="0" borderId="24">
      <alignment horizontal="left" vertical="top"/>
    </xf>
    <xf numFmtId="0" fontId="97" fillId="50" borderId="0">
      <alignment horizontal="left"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195" fontId="14" fillId="0" borderId="0" applyFont="0" applyFill="0" applyBorder="0" applyAlignment="0" applyProtection="0"/>
    <xf numFmtId="285" fontId="14" fillId="0" borderId="0" applyFont="0" applyFill="0" applyBorder="0" applyAlignment="0" applyProtection="0"/>
    <xf numFmtId="17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258" fillId="0" borderId="0" applyNumberFormat="0" applyFont="0" applyFill="0" applyBorder="0" applyProtection="0">
      <alignment horizontal="center" vertical="center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259" fillId="0" borderId="0" applyNumberFormat="0" applyFill="0" applyBorder="0" applyAlignment="0">
      <alignment horizontal="centerContinuous" vertical="center"/>
    </xf>
    <xf numFmtId="0" fontId="260" fillId="0" borderId="6"/>
    <xf numFmtId="0" fontId="100" fillId="0" borderId="44" applyNumberFormat="0" applyFont="0" applyAlignment="0">
      <alignment horizontal="center"/>
    </xf>
    <xf numFmtId="0" fontId="38" fillId="0" borderId="0" applyNumberFormat="0" applyFill="0" applyBorder="0" applyAlignment="0" applyProtection="0"/>
    <xf numFmtId="173" fontId="261" fillId="0" borderId="0" applyFont="0" applyFill="0" applyBorder="0" applyAlignment="0" applyProtection="0"/>
    <xf numFmtId="174" fontId="261" fillId="0" borderId="0" applyFont="0" applyFill="0" applyBorder="0" applyAlignment="0" applyProtection="0"/>
    <xf numFmtId="0" fontId="26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>
      <alignment vertical="center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9" fontId="262" fillId="0" borderId="0" applyBorder="0" applyAlignment="0" applyProtection="0"/>
    <xf numFmtId="0" fontId="13" fillId="0" borderId="0"/>
    <xf numFmtId="0" fontId="13" fillId="0" borderId="0"/>
    <xf numFmtId="0" fontId="263" fillId="0" borderId="4"/>
    <xf numFmtId="180" fontId="264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73" fontId="14" fillId="0" borderId="0" applyFont="0" applyFill="0" applyBorder="0" applyAlignment="0" applyProtection="0"/>
    <xf numFmtId="174" fontId="14" fillId="0" borderId="0" applyFont="0" applyFill="0" applyBorder="0" applyAlignment="0" applyProtection="0"/>
    <xf numFmtId="0" fontId="43" fillId="0" borderId="0"/>
    <xf numFmtId="0" fontId="43" fillId="0" borderId="0"/>
    <xf numFmtId="0" fontId="26" fillId="0" borderId="0"/>
    <xf numFmtId="0" fontId="265" fillId="0" borderId="2"/>
    <xf numFmtId="164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4" fontId="258" fillId="0" borderId="0" applyFont="0" applyFill="0" applyBorder="0" applyAlignment="0" applyProtection="0"/>
    <xf numFmtId="38" fontId="266" fillId="0" borderId="0" applyFont="0" applyFill="0" applyBorder="0" applyAlignment="0" applyProtection="0"/>
    <xf numFmtId="0" fontId="14" fillId="0" borderId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286" fontId="265" fillId="0" borderId="0" applyFont="0" applyFill="0" applyBorder="0" applyAlignment="0" applyProtection="0"/>
    <xf numFmtId="287" fontId="265" fillId="0" borderId="0" applyFont="0" applyFill="0" applyBorder="0" applyAlignment="0" applyProtection="0"/>
    <xf numFmtId="263" fontId="154" fillId="0" borderId="21">
      <alignment horizontal="center"/>
    </xf>
    <xf numFmtId="0" fontId="26" fillId="0" borderId="0"/>
    <xf numFmtId="0" fontId="7" fillId="0" borderId="0"/>
    <xf numFmtId="0" fontId="7" fillId="0" borderId="0"/>
    <xf numFmtId="0" fontId="280" fillId="0" borderId="0"/>
    <xf numFmtId="165" fontId="280" fillId="0" borderId="0" applyFont="0" applyFill="0" applyBorder="0" applyAlignment="0" applyProtection="0"/>
    <xf numFmtId="0" fontId="6" fillId="0" borderId="0"/>
    <xf numFmtId="0" fontId="6" fillId="0" borderId="0"/>
    <xf numFmtId="300" fontId="5" fillId="0" borderId="0"/>
    <xf numFmtId="0" fontId="115" fillId="0" borderId="0"/>
    <xf numFmtId="0" fontId="9" fillId="0" borderId="0"/>
    <xf numFmtId="301" fontId="115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193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165" fontId="4" fillId="0" borderId="0" applyFont="0" applyFill="0" applyBorder="0" applyAlignment="0" applyProtection="0"/>
    <xf numFmtId="0" fontId="5" fillId="0" borderId="0"/>
    <xf numFmtId="0" fontId="5" fillId="0" borderId="0"/>
    <xf numFmtId="9" fontId="9" fillId="0" borderId="0" applyFont="0" applyFill="0" applyBorder="0" applyAlignment="0" applyProtection="0"/>
    <xf numFmtId="0" fontId="314" fillId="0" borderId="0"/>
    <xf numFmtId="0" fontId="9" fillId="0" borderId="0"/>
    <xf numFmtId="0" fontId="3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322" fillId="0" borderId="0"/>
    <xf numFmtId="165" fontId="32" fillId="0" borderId="0" applyFont="0" applyFill="0" applyBorder="0" applyAlignment="0" applyProtection="0"/>
    <xf numFmtId="0" fontId="1" fillId="0" borderId="0"/>
  </cellStyleXfs>
  <cellXfs count="945">
    <xf numFmtId="0" fontId="0" fillId="0" borderId="0" xfId="0"/>
    <xf numFmtId="0" fontId="51" fillId="0" borderId="0" xfId="2093" applyFont="1"/>
    <xf numFmtId="0" fontId="49" fillId="0" borderId="0" xfId="2093" applyFont="1"/>
    <xf numFmtId="0" fontId="51" fillId="0" borderId="0" xfId="2093" applyFont="1" applyAlignment="1">
      <alignment horizontal="center" vertical="center"/>
    </xf>
    <xf numFmtId="0" fontId="56" fillId="0" borderId="48" xfId="2093" applyFont="1" applyBorder="1"/>
    <xf numFmtId="0" fontId="30" fillId="0" borderId="0" xfId="2093" applyFont="1"/>
    <xf numFmtId="0" fontId="130" fillId="0" borderId="48" xfId="2093" applyFont="1" applyBorder="1"/>
    <xf numFmtId="0" fontId="132" fillId="0" borderId="0" xfId="2093" applyFont="1"/>
    <xf numFmtId="0" fontId="50" fillId="0" borderId="1" xfId="2093" applyFont="1" applyBorder="1" applyAlignment="1">
      <alignment horizontal="center" vertical="center"/>
    </xf>
    <xf numFmtId="0" fontId="30" fillId="0" borderId="1" xfId="2093" applyFont="1" applyBorder="1" applyAlignment="1">
      <alignment horizontal="center" vertical="center"/>
    </xf>
    <xf numFmtId="0" fontId="55" fillId="0" borderId="1" xfId="2093" applyFont="1" applyBorder="1" applyAlignment="1">
      <alignment horizontal="center" vertical="center"/>
    </xf>
    <xf numFmtId="0" fontId="30" fillId="0" borderId="6" xfId="2093" applyFont="1" applyBorder="1" applyAlignment="1">
      <alignment horizontal="center" vertical="center"/>
    </xf>
    <xf numFmtId="0" fontId="30" fillId="0" borderId="0" xfId="2093" applyFont="1" applyAlignment="1">
      <alignment vertical="center"/>
    </xf>
    <xf numFmtId="0" fontId="30" fillId="0" borderId="6" xfId="2093" applyFont="1" applyBorder="1" applyAlignment="1">
      <alignment vertical="center"/>
    </xf>
    <xf numFmtId="0" fontId="50" fillId="0" borderId="0" xfId="2093" applyFont="1" applyAlignment="1">
      <alignment vertical="center"/>
    </xf>
    <xf numFmtId="0" fontId="30" fillId="0" borderId="1" xfId="2093" applyFont="1" applyBorder="1" applyAlignment="1">
      <alignment vertical="center"/>
    </xf>
    <xf numFmtId="0" fontId="104" fillId="0" borderId="1" xfId="2093" applyFont="1" applyBorder="1" applyAlignment="1">
      <alignment horizontal="center" vertical="center"/>
    </xf>
    <xf numFmtId="0" fontId="30" fillId="0" borderId="50" xfId="2093" applyFont="1" applyBorder="1" applyAlignment="1">
      <alignment vertical="center"/>
    </xf>
    <xf numFmtId="0" fontId="30" fillId="0" borderId="9" xfId="2093" applyFont="1" applyBorder="1" applyAlignment="1">
      <alignment vertical="center"/>
    </xf>
    <xf numFmtId="165" fontId="132" fillId="0" borderId="0" xfId="2093" applyNumberFormat="1" applyFont="1"/>
    <xf numFmtId="182" fontId="51" fillId="0" borderId="0" xfId="2093" applyNumberFormat="1" applyFont="1"/>
    <xf numFmtId="0" fontId="30" fillId="0" borderId="9" xfId="2093" applyFont="1" applyBorder="1" applyAlignment="1">
      <alignment horizontal="center" vertical="center"/>
    </xf>
    <xf numFmtId="0" fontId="30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136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49" fillId="0" borderId="0" xfId="2093" applyFont="1" applyAlignment="1">
      <alignment horizontal="center"/>
    </xf>
    <xf numFmtId="0" fontId="105" fillId="0" borderId="0" xfId="2093" applyFont="1" applyAlignment="1">
      <alignment horizontal="center"/>
    </xf>
    <xf numFmtId="0" fontId="132" fillId="0" borderId="1" xfId="2093" applyFont="1" applyBorder="1" applyAlignment="1">
      <alignment horizontal="center"/>
    </xf>
    <xf numFmtId="0" fontId="51" fillId="0" borderId="1" xfId="2093" applyFont="1" applyBorder="1" applyAlignment="1">
      <alignment horizontal="center"/>
    </xf>
    <xf numFmtId="0" fontId="56" fillId="0" borderId="0" xfId="2093" applyFont="1"/>
    <xf numFmtId="0" fontId="137" fillId="0" borderId="0" xfId="2093" applyFont="1" applyAlignment="1">
      <alignment horizontal="center" vertical="center"/>
    </xf>
    <xf numFmtId="0" fontId="131" fillId="33" borderId="0" xfId="2114" applyFont="1" applyFill="1"/>
    <xf numFmtId="0" fontId="134" fillId="33" borderId="0" xfId="2114" applyFont="1" applyFill="1"/>
    <xf numFmtId="0" fontId="139" fillId="33" borderId="12" xfId="2114" applyFont="1" applyFill="1" applyBorder="1" applyAlignment="1">
      <alignment horizontal="center" vertical="center" wrapText="1"/>
    </xf>
    <xf numFmtId="0" fontId="140" fillId="33" borderId="1" xfId="2114" applyFont="1" applyFill="1" applyBorder="1" applyAlignment="1">
      <alignment vertical="center"/>
    </xf>
    <xf numFmtId="0" fontId="141" fillId="33" borderId="0" xfId="2114" applyFont="1" applyFill="1"/>
    <xf numFmtId="0" fontId="135" fillId="0" borderId="1" xfId="2114" applyFont="1" applyBorder="1"/>
    <xf numFmtId="0" fontId="130" fillId="0" borderId="1" xfId="2114" applyFont="1" applyBorder="1"/>
    <xf numFmtId="3" fontId="130" fillId="0" borderId="1" xfId="2114" applyNumberFormat="1" applyFont="1" applyBorder="1"/>
    <xf numFmtId="9" fontId="135" fillId="0" borderId="1" xfId="2114" applyNumberFormat="1" applyFont="1" applyBorder="1" applyAlignment="1">
      <alignment horizontal="center"/>
    </xf>
    <xf numFmtId="184" fontId="130" fillId="0" borderId="1" xfId="2114" applyNumberFormat="1" applyFont="1" applyBorder="1"/>
    <xf numFmtId="0" fontId="135" fillId="33" borderId="1" xfId="2114" applyFont="1" applyFill="1" applyBorder="1" applyAlignment="1">
      <alignment horizontal="center" vertical="center" wrapText="1"/>
    </xf>
    <xf numFmtId="182" fontId="130" fillId="0" borderId="1" xfId="2114" applyNumberFormat="1" applyFont="1" applyBorder="1"/>
    <xf numFmtId="0" fontId="130" fillId="33" borderId="0" xfId="2114" applyFont="1" applyFill="1"/>
    <xf numFmtId="0" fontId="142" fillId="0" borderId="0" xfId="2114" applyFont="1"/>
    <xf numFmtId="182" fontId="142" fillId="0" borderId="0" xfId="2114" applyNumberFormat="1" applyFont="1"/>
    <xf numFmtId="0" fontId="143" fillId="0" borderId="0" xfId="2114" applyFont="1" applyAlignment="1">
      <alignment vertical="center"/>
    </xf>
    <xf numFmtId="181" fontId="132" fillId="0" borderId="0" xfId="2114" applyNumberFormat="1" applyFont="1" applyAlignment="1">
      <alignment vertical="center"/>
    </xf>
    <xf numFmtId="184" fontId="143" fillId="0" borderId="0" xfId="2114" applyNumberFormat="1" applyFont="1" applyAlignment="1">
      <alignment vertical="center"/>
    </xf>
    <xf numFmtId="0" fontId="136" fillId="33" borderId="0" xfId="2114" applyFont="1" applyFill="1"/>
    <xf numFmtId="0" fontId="132" fillId="0" borderId="0" xfId="2114" applyFont="1"/>
    <xf numFmtId="0" fontId="138" fillId="0" borderId="0" xfId="2114" applyFont="1"/>
    <xf numFmtId="165" fontId="134" fillId="0" borderId="0" xfId="2114" applyNumberFormat="1" applyFont="1"/>
    <xf numFmtId="221" fontId="134" fillId="0" borderId="0" xfId="2114" applyNumberFormat="1" applyFont="1"/>
    <xf numFmtId="222" fontId="132" fillId="0" borderId="0" xfId="2114" applyNumberFormat="1" applyFont="1"/>
    <xf numFmtId="200" fontId="132" fillId="0" borderId="0" xfId="2114" applyNumberFormat="1" applyFont="1"/>
    <xf numFmtId="1" fontId="132" fillId="0" borderId="0" xfId="2114" applyNumberFormat="1" applyFont="1"/>
    <xf numFmtId="182" fontId="132" fillId="0" borderId="0" xfId="2114" applyNumberFormat="1" applyFont="1"/>
    <xf numFmtId="165" fontId="132" fillId="0" borderId="0" xfId="2114" applyNumberFormat="1" applyFont="1"/>
    <xf numFmtId="9" fontId="131" fillId="0" borderId="0" xfId="2114" applyNumberFormat="1" applyFont="1"/>
    <xf numFmtId="200" fontId="131" fillId="0" borderId="0" xfId="2114" applyNumberFormat="1" applyFont="1"/>
    <xf numFmtId="0" fontId="131" fillId="0" borderId="0" xfId="2114" applyFont="1"/>
    <xf numFmtId="0" fontId="134" fillId="0" borderId="0" xfId="2114" applyFont="1"/>
    <xf numFmtId="223" fontId="134" fillId="33" borderId="0" xfId="2114" applyNumberFormat="1" applyFont="1" applyFill="1"/>
    <xf numFmtId="0" fontId="138" fillId="33" borderId="0" xfId="2114" applyFont="1" applyFill="1"/>
    <xf numFmtId="182" fontId="113" fillId="0" borderId="1" xfId="2093" applyNumberFormat="1" applyFont="1" applyBorder="1"/>
    <xf numFmtId="165" fontId="30" fillId="0" borderId="6" xfId="1825" applyFont="1" applyFill="1" applyBorder="1" applyAlignment="1">
      <alignment horizontal="center" vertical="center" wrapText="1"/>
    </xf>
    <xf numFmtId="0" fontId="30" fillId="0" borderId="1" xfId="2093" applyFont="1" applyBorder="1" applyAlignment="1">
      <alignment horizontal="center"/>
    </xf>
    <xf numFmtId="0" fontId="30" fillId="0" borderId="6" xfId="2112" applyFont="1" applyBorder="1" applyAlignment="1">
      <alignment horizontal="left" vertical="center"/>
    </xf>
    <xf numFmtId="0" fontId="30" fillId="0" borderId="6" xfId="2112" applyFont="1" applyBorder="1" applyAlignment="1">
      <alignment horizontal="center" vertical="center"/>
    </xf>
    <xf numFmtId="0" fontId="30" fillId="0" borderId="50" xfId="2093" applyFont="1" applyBorder="1" applyAlignment="1">
      <alignment horizontal="center" vertical="center"/>
    </xf>
    <xf numFmtId="0" fontId="30" fillId="0" borderId="9" xfId="2112" applyFont="1" applyBorder="1" applyAlignment="1">
      <alignment horizontal="center" vertical="center"/>
    </xf>
    <xf numFmtId="0" fontId="30" fillId="0" borderId="9" xfId="2112" applyFont="1" applyBorder="1" applyAlignment="1">
      <alignment horizontal="left" vertical="center"/>
    </xf>
    <xf numFmtId="0" fontId="30" fillId="0" borderId="1" xfId="2112" applyFont="1" applyBorder="1" applyAlignment="1">
      <alignment horizontal="center" vertical="center"/>
    </xf>
    <xf numFmtId="0" fontId="30" fillId="0" borderId="50" xfId="2112" applyFont="1" applyBorder="1" applyAlignment="1">
      <alignment horizontal="left" vertical="center"/>
    </xf>
    <xf numFmtId="0" fontId="30" fillId="0" borderId="50" xfId="2112" applyFont="1" applyBorder="1" applyAlignment="1">
      <alignment horizontal="center" vertical="center"/>
    </xf>
    <xf numFmtId="213" fontId="30" fillId="0" borderId="0" xfId="2093" applyNumberFormat="1" applyFont="1" applyAlignment="1">
      <alignment vertical="center"/>
    </xf>
    <xf numFmtId="4" fontId="30" fillId="0" borderId="0" xfId="2093" applyNumberFormat="1" applyFont="1" applyAlignment="1">
      <alignment vertical="center"/>
    </xf>
    <xf numFmtId="176" fontId="49" fillId="0" borderId="0" xfId="2093" applyNumberFormat="1" applyFont="1"/>
    <xf numFmtId="0" fontId="30" fillId="0" borderId="0" xfId="2083" applyFont="1"/>
    <xf numFmtId="0" fontId="110" fillId="0" borderId="1" xfId="2093" applyFont="1" applyBorder="1" applyAlignment="1">
      <alignment horizontal="center" vertical="center" wrapText="1"/>
    </xf>
    <xf numFmtId="0" fontId="140" fillId="33" borderId="1" xfId="2114" applyFont="1" applyFill="1" applyBorder="1" applyAlignment="1">
      <alignment horizontal="center" vertical="center"/>
    </xf>
    <xf numFmtId="3" fontId="140" fillId="33" borderId="1" xfId="2114" applyNumberFormat="1" applyFont="1" applyFill="1" applyBorder="1" applyAlignment="1">
      <alignment horizontal="center" vertical="center"/>
    </xf>
    <xf numFmtId="0" fontId="30" fillId="0" borderId="49" xfId="2112" applyFont="1" applyBorder="1" applyAlignment="1">
      <alignment horizontal="left" vertical="center"/>
    </xf>
    <xf numFmtId="0" fontId="108" fillId="0" borderId="1" xfId="2093" applyFont="1" applyBorder="1" applyAlignment="1">
      <alignment horizontal="center" vertical="center"/>
    </xf>
    <xf numFmtId="0" fontId="30" fillId="53" borderId="0" xfId="2093" applyFont="1" applyFill="1" applyAlignment="1">
      <alignment horizontal="center" vertical="center"/>
    </xf>
    <xf numFmtId="0" fontId="30" fillId="0" borderId="1" xfId="2083" applyFont="1" applyBorder="1"/>
    <xf numFmtId="0" fontId="50" fillId="0" borderId="1" xfId="2083" applyFont="1" applyBorder="1"/>
    <xf numFmtId="0" fontId="50" fillId="0" borderId="0" xfId="2083" applyFont="1"/>
    <xf numFmtId="0" fontId="52" fillId="0" borderId="0" xfId="2083" applyFont="1"/>
    <xf numFmtId="0" fontId="30" fillId="0" borderId="1" xfId="2091" applyFont="1" applyBorder="1" applyAlignment="1" applyProtection="1">
      <alignment horizontal="right" vertical="center" wrapText="1"/>
    </xf>
    <xf numFmtId="0" fontId="30" fillId="0" borderId="1" xfId="2091" applyFont="1" applyBorder="1" applyAlignment="1" applyProtection="1">
      <alignment horizontal="justify" vertical="center" wrapText="1"/>
    </xf>
    <xf numFmtId="0" fontId="30" fillId="0" borderId="60" xfId="2091" applyFont="1" applyBorder="1" applyAlignment="1" applyProtection="1">
      <alignment horizontal="center" vertical="center" wrapText="1"/>
    </xf>
    <xf numFmtId="0" fontId="50" fillId="0" borderId="12" xfId="2091" applyFont="1" applyBorder="1" applyAlignment="1" applyProtection="1">
      <alignment vertical="center" wrapText="1"/>
    </xf>
    <xf numFmtId="0" fontId="50" fillId="0" borderId="24" xfId="2091" applyFont="1" applyBorder="1" applyAlignment="1" applyProtection="1">
      <alignment vertical="center" wrapText="1"/>
    </xf>
    <xf numFmtId="0" fontId="50" fillId="0" borderId="0" xfId="2091" applyFont="1" applyAlignment="1" applyProtection="1">
      <alignment horizontal="left" vertical="center"/>
    </xf>
    <xf numFmtId="0" fontId="50" fillId="0" borderId="59" xfId="2091" applyFont="1" applyBorder="1" applyAlignment="1" applyProtection="1">
      <alignment horizontal="left" vertical="center"/>
    </xf>
    <xf numFmtId="0" fontId="108" fillId="0" borderId="2" xfId="2113" applyFont="1" applyBorder="1" applyAlignment="1">
      <alignment horizontal="justify" vertical="center" wrapText="1"/>
    </xf>
    <xf numFmtId="0" fontId="108" fillId="0" borderId="49" xfId="2112" applyFont="1" applyBorder="1" applyAlignment="1">
      <alignment vertical="center"/>
    </xf>
    <xf numFmtId="0" fontId="50" fillId="0" borderId="27" xfId="2093" applyFont="1" applyBorder="1" applyAlignment="1">
      <alignment horizontal="center" vertical="center"/>
    </xf>
    <xf numFmtId="0" fontId="30" fillId="0" borderId="0" xfId="2083" applyFont="1" applyAlignment="1">
      <alignment vertical="center"/>
    </xf>
    <xf numFmtId="0" fontId="50" fillId="0" borderId="0" xfId="2093" applyFont="1" applyAlignment="1">
      <alignment horizontal="center" vertical="center"/>
    </xf>
    <xf numFmtId="0" fontId="56" fillId="0" borderId="0" xfId="2093" applyFont="1" applyAlignment="1">
      <alignment horizontal="center" vertical="center"/>
    </xf>
    <xf numFmtId="0" fontId="30" fillId="0" borderId="0" xfId="2083" applyFont="1" applyAlignment="1">
      <alignment horizontal="center" vertical="center"/>
    </xf>
    <xf numFmtId="0" fontId="50" fillId="0" borderId="1" xfId="2083" applyFont="1" applyBorder="1" applyAlignment="1">
      <alignment horizontal="center" vertical="center" wrapText="1"/>
    </xf>
    <xf numFmtId="0" fontId="50" fillId="0" borderId="27" xfId="2093" applyFont="1" applyBorder="1" applyAlignment="1">
      <alignment horizontal="left" vertical="center" wrapText="1"/>
    </xf>
    <xf numFmtId="0" fontId="30" fillId="0" borderId="27" xfId="2093" applyFont="1" applyBorder="1" applyAlignment="1">
      <alignment horizontal="center" vertical="center"/>
    </xf>
    <xf numFmtId="0" fontId="30" fillId="0" borderId="6" xfId="2083" applyFont="1" applyBorder="1" applyAlignment="1">
      <alignment horizontal="center" vertical="center"/>
    </xf>
    <xf numFmtId="0" fontId="30" fillId="0" borderId="6" xfId="2093" applyFont="1" applyBorder="1" applyAlignment="1">
      <alignment horizontal="left" vertical="center"/>
    </xf>
    <xf numFmtId="0" fontId="50" fillId="0" borderId="6" xfId="2093" applyFont="1" applyBorder="1" applyAlignment="1">
      <alignment horizontal="center" vertical="center"/>
    </xf>
    <xf numFmtId="0" fontId="50" fillId="0" borderId="6" xfId="2093" applyFont="1" applyBorder="1" applyAlignment="1">
      <alignment horizontal="left" vertical="center"/>
    </xf>
    <xf numFmtId="0" fontId="30" fillId="0" borderId="6" xfId="2083" applyFont="1" applyBorder="1" applyAlignment="1">
      <alignment vertical="center"/>
    </xf>
    <xf numFmtId="0" fontId="56" fillId="0" borderId="6" xfId="2093" applyFont="1" applyBorder="1" applyAlignment="1">
      <alignment horizontal="center" vertical="center"/>
    </xf>
    <xf numFmtId="0" fontId="55" fillId="0" borderId="6" xfId="2093" applyFont="1" applyBorder="1" applyAlignment="1">
      <alignment horizontal="center" vertical="center"/>
    </xf>
    <xf numFmtId="0" fontId="50" fillId="0" borderId="49" xfId="2093" applyFont="1" applyBorder="1" applyAlignment="1">
      <alignment horizontal="center" vertical="center"/>
    </xf>
    <xf numFmtId="0" fontId="30" fillId="0" borderId="49" xfId="2093" applyFont="1" applyBorder="1" applyAlignment="1">
      <alignment horizontal="left" vertical="center"/>
    </xf>
    <xf numFmtId="0" fontId="30" fillId="0" borderId="49" xfId="2093" applyFont="1" applyBorder="1" applyAlignment="1">
      <alignment horizontal="center" vertical="center"/>
    </xf>
    <xf numFmtId="176" fontId="30" fillId="0" borderId="0" xfId="2083" applyNumberFormat="1" applyFont="1" applyAlignment="1">
      <alignment vertical="center"/>
    </xf>
    <xf numFmtId="0" fontId="30" fillId="0" borderId="1" xfId="2083" applyFont="1" applyBorder="1" applyAlignment="1">
      <alignment horizontal="center" vertical="center"/>
    </xf>
    <xf numFmtId="0" fontId="50" fillId="0" borderId="1" xfId="2083" applyFont="1" applyBorder="1" applyAlignment="1">
      <alignment horizontal="left" vertical="center"/>
    </xf>
    <xf numFmtId="0" fontId="50" fillId="0" borderId="1" xfId="2083" applyFont="1" applyBorder="1" applyAlignment="1">
      <alignment horizontal="center" vertical="center"/>
    </xf>
    <xf numFmtId="0" fontId="50" fillId="0" borderId="0" xfId="2083" applyFont="1" applyAlignment="1">
      <alignment horizontal="center" vertical="center"/>
    </xf>
    <xf numFmtId="0" fontId="108" fillId="0" borderId="52" xfId="2083" applyFont="1" applyBorder="1" applyAlignment="1">
      <alignment horizontal="left" vertical="center"/>
    </xf>
    <xf numFmtId="0" fontId="108" fillId="0" borderId="6" xfId="2083" applyFont="1" applyBorder="1" applyAlignment="1">
      <alignment horizontal="left" vertical="center"/>
    </xf>
    <xf numFmtId="0" fontId="50" fillId="0" borderId="0" xfId="2083" applyFont="1" applyAlignment="1">
      <alignment horizontal="left" vertical="center"/>
    </xf>
    <xf numFmtId="0" fontId="30" fillId="0" borderId="6" xfId="2093" applyFont="1" applyBorder="1" applyAlignment="1">
      <alignment horizontal="left" vertical="center" wrapText="1"/>
    </xf>
    <xf numFmtId="0" fontId="30" fillId="0" borderId="27" xfId="2093" applyFont="1" applyBorder="1" applyAlignment="1">
      <alignment vertical="center"/>
    </xf>
    <xf numFmtId="0" fontId="30" fillId="0" borderId="49" xfId="2093" applyFont="1" applyBorder="1" applyAlignment="1">
      <alignment vertical="center"/>
    </xf>
    <xf numFmtId="223" fontId="134" fillId="0" borderId="0" xfId="2114" applyNumberFormat="1" applyFont="1"/>
    <xf numFmtId="0" fontId="136" fillId="0" borderId="0" xfId="2114" applyFont="1"/>
    <xf numFmtId="165" fontId="136" fillId="0" borderId="0" xfId="2114" applyNumberFormat="1" applyFont="1"/>
    <xf numFmtId="181" fontId="136" fillId="0" borderId="0" xfId="2114" applyNumberFormat="1" applyFont="1"/>
    <xf numFmtId="184" fontId="136" fillId="0" borderId="0" xfId="2114" applyNumberFormat="1" applyFont="1"/>
    <xf numFmtId="223" fontId="142" fillId="0" borderId="0" xfId="2114" applyNumberFormat="1" applyFont="1"/>
    <xf numFmtId="184" fontId="142" fillId="0" borderId="0" xfId="2114" applyNumberFormat="1" applyFont="1"/>
    <xf numFmtId="0" fontId="129" fillId="33" borderId="1" xfId="2114" applyFont="1" applyFill="1" applyBorder="1" applyAlignment="1">
      <alignment horizontal="center" vertical="center" wrapText="1"/>
    </xf>
    <xf numFmtId="294" fontId="129" fillId="33" borderId="1" xfId="2114" applyNumberFormat="1" applyFont="1" applyFill="1" applyBorder="1" applyAlignment="1">
      <alignment horizontal="center" vertical="center" wrapText="1"/>
    </xf>
    <xf numFmtId="294" fontId="288" fillId="33" borderId="1" xfId="2114" applyNumberFormat="1" applyFont="1" applyFill="1" applyBorder="1" applyAlignment="1">
      <alignment horizontal="center" vertical="center" wrapText="1"/>
    </xf>
    <xf numFmtId="288" fontId="288" fillId="33" borderId="1" xfId="2114" applyNumberFormat="1" applyFont="1" applyFill="1" applyBorder="1" applyAlignment="1">
      <alignment horizontal="center" vertical="center" wrapText="1"/>
    </xf>
    <xf numFmtId="0" fontId="129" fillId="33" borderId="1" xfId="2114" applyFont="1" applyFill="1" applyBorder="1" applyAlignment="1">
      <alignment horizontal="left" vertical="center" wrapText="1"/>
    </xf>
    <xf numFmtId="295" fontId="129" fillId="33" borderId="1" xfId="2114" applyNumberFormat="1" applyFont="1" applyFill="1" applyBorder="1" applyAlignment="1">
      <alignment horizontal="center" vertical="center" wrapText="1"/>
    </xf>
    <xf numFmtId="0" fontId="288" fillId="0" borderId="1" xfId="2114" applyFont="1" applyBorder="1" applyAlignment="1">
      <alignment vertical="center"/>
    </xf>
    <xf numFmtId="294" fontId="140" fillId="33" borderId="1" xfId="2114" applyNumberFormat="1" applyFont="1" applyFill="1" applyBorder="1" applyAlignment="1">
      <alignment horizontal="center" vertical="center" wrapText="1"/>
    </xf>
    <xf numFmtId="288" fontId="140" fillId="33" borderId="1" xfId="2114" applyNumberFormat="1" applyFont="1" applyFill="1" applyBorder="1" applyAlignment="1">
      <alignment horizontal="center" vertical="center" wrapText="1"/>
    </xf>
    <xf numFmtId="0" fontId="129" fillId="33" borderId="56" xfId="2114" applyFont="1" applyFill="1" applyBorder="1" applyAlignment="1">
      <alignment horizontal="center" vertical="center" wrapText="1"/>
    </xf>
    <xf numFmtId="294" fontId="129" fillId="33" borderId="27" xfId="2114" applyNumberFormat="1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1" xfId="2114" applyFont="1" applyFill="1" applyBorder="1" applyAlignment="1">
      <alignment horizontal="center" vertical="center" wrapText="1"/>
    </xf>
    <xf numFmtId="0" fontId="136" fillId="33" borderId="48" xfId="2114" applyFont="1" applyFill="1" applyBorder="1" applyAlignment="1">
      <alignment horizontal="center"/>
    </xf>
    <xf numFmtId="0" fontId="131" fillId="33" borderId="48" xfId="2114" applyFont="1" applyFill="1" applyBorder="1" applyAlignment="1">
      <alignment horizontal="center" vertical="justify" wrapText="1"/>
    </xf>
    <xf numFmtId="1" fontId="135" fillId="33" borderId="1" xfId="2114" applyNumberFormat="1" applyFont="1" applyFill="1" applyBorder="1" applyAlignment="1">
      <alignment horizontal="center" vertical="center" wrapText="1"/>
    </xf>
    <xf numFmtId="182" fontId="134" fillId="33" borderId="0" xfId="2114" applyNumberFormat="1" applyFont="1" applyFill="1"/>
    <xf numFmtId="0" fontId="50" fillId="0" borderId="0" xfId="2083" applyFont="1" applyAlignment="1">
      <alignment vertical="center"/>
    </xf>
    <xf numFmtId="165" fontId="113" fillId="0" borderId="27" xfId="1822" applyFont="1" applyFill="1" applyBorder="1" applyAlignment="1">
      <alignment horizontal="center" vertical="center"/>
    </xf>
    <xf numFmtId="183" fontId="113" fillId="0" borderId="6" xfId="1822" applyNumberFormat="1" applyFont="1" applyFill="1" applyBorder="1" applyAlignment="1">
      <alignment horizontal="center" vertical="center"/>
    </xf>
    <xf numFmtId="165" fontId="113" fillId="0" borderId="6" xfId="1822" applyFont="1" applyFill="1" applyBorder="1" applyAlignment="1">
      <alignment horizontal="center" vertical="center"/>
    </xf>
    <xf numFmtId="182" fontId="113" fillId="0" borderId="6" xfId="1822" applyNumberFormat="1" applyFont="1" applyFill="1" applyBorder="1" applyAlignment="1">
      <alignment horizontal="center" vertical="center"/>
    </xf>
    <xf numFmtId="181" fontId="113" fillId="0" borderId="6" xfId="1822" applyNumberFormat="1" applyFont="1" applyFill="1" applyBorder="1" applyAlignment="1">
      <alignment horizontal="center" vertical="center"/>
    </xf>
    <xf numFmtId="165" fontId="113" fillId="0" borderId="49" xfId="1822" applyFont="1" applyFill="1" applyBorder="1" applyAlignment="1">
      <alignment horizontal="center" vertical="center"/>
    </xf>
    <xf numFmtId="183" fontId="30" fillId="0" borderId="6" xfId="1822" applyNumberFormat="1" applyFont="1" applyFill="1" applyBorder="1" applyAlignment="1">
      <alignment horizontal="center" vertical="center"/>
    </xf>
    <xf numFmtId="165" fontId="30" fillId="0" borderId="6" xfId="1822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horizontal="center" vertical="center"/>
    </xf>
    <xf numFmtId="181" fontId="30" fillId="0" borderId="6" xfId="1822" applyNumberFormat="1" applyFont="1" applyFill="1" applyBorder="1" applyAlignment="1">
      <alignment horizontal="center" vertical="center"/>
    </xf>
    <xf numFmtId="165" fontId="50" fillId="0" borderId="6" xfId="1822" applyFont="1" applyFill="1" applyBorder="1" applyAlignment="1">
      <alignment horizontal="center" vertical="center"/>
    </xf>
    <xf numFmtId="165" fontId="30" fillId="0" borderId="49" xfId="1822" applyFont="1" applyFill="1" applyBorder="1" applyAlignment="1">
      <alignment horizontal="center" vertical="center"/>
    </xf>
    <xf numFmtId="183" fontId="113" fillId="0" borderId="49" xfId="1822" applyNumberFormat="1" applyFont="1" applyFill="1" applyBorder="1" applyAlignment="1">
      <alignment horizontal="center" vertical="center"/>
    </xf>
    <xf numFmtId="183" fontId="30" fillId="0" borderId="49" xfId="1822" applyNumberFormat="1" applyFont="1" applyFill="1" applyBorder="1" applyAlignment="1">
      <alignment horizontal="center" vertical="center"/>
    </xf>
    <xf numFmtId="165" fontId="50" fillId="0" borderId="24" xfId="1822" applyFont="1" applyFill="1" applyBorder="1" applyAlignment="1">
      <alignment horizontal="center" vertical="center"/>
    </xf>
    <xf numFmtId="165" fontId="30" fillId="0" borderId="9" xfId="1822" applyFont="1" applyFill="1" applyBorder="1" applyAlignment="1">
      <alignment horizontal="center" vertical="center"/>
    </xf>
    <xf numFmtId="296" fontId="129" fillId="33" borderId="27" xfId="2114" applyNumberFormat="1" applyFont="1" applyFill="1" applyBorder="1" applyAlignment="1">
      <alignment horizontal="center" vertical="center" wrapText="1"/>
    </xf>
    <xf numFmtId="219" fontId="135" fillId="33" borderId="1" xfId="2114" applyNumberFormat="1" applyFont="1" applyFill="1" applyBorder="1" applyAlignment="1">
      <alignment horizontal="center" vertical="center" wrapText="1"/>
    </xf>
    <xf numFmtId="182" fontId="30" fillId="0" borderId="0" xfId="2083" applyNumberFormat="1" applyFont="1"/>
    <xf numFmtId="181" fontId="30" fillId="0" borderId="0" xfId="2083" applyNumberFormat="1" applyFont="1"/>
    <xf numFmtId="183" fontId="30" fillId="0" borderId="0" xfId="2083" applyNumberFormat="1" applyFont="1"/>
    <xf numFmtId="0" fontId="30" fillId="0" borderId="0" xfId="2083" applyFont="1" applyAlignment="1">
      <alignment horizontal="right"/>
    </xf>
    <xf numFmtId="0" fontId="295" fillId="0" borderId="0" xfId="2091" applyFont="1" applyAlignment="1" applyProtection="1">
      <alignment vertical="center"/>
    </xf>
    <xf numFmtId="0" fontId="295" fillId="0" borderId="59" xfId="2091" applyFont="1" applyBorder="1" applyAlignment="1" applyProtection="1">
      <alignment vertical="center"/>
    </xf>
    <xf numFmtId="0" fontId="30" fillId="0" borderId="0" xfId="2088" applyFont="1" applyAlignment="1">
      <alignment vertical="center"/>
    </xf>
    <xf numFmtId="0" fontId="296" fillId="0" borderId="0" xfId="2088" applyFont="1" applyAlignment="1">
      <alignment horizontal="center" vertical="center"/>
    </xf>
    <xf numFmtId="0" fontId="42" fillId="0" borderId="0" xfId="2650" applyFont="1" applyAlignment="1">
      <alignment vertical="center" wrapText="1"/>
    </xf>
    <xf numFmtId="0" fontId="42" fillId="0" borderId="0" xfId="2082" applyFont="1"/>
    <xf numFmtId="0" fontId="42" fillId="0" borderId="0" xfId="2650" applyFont="1" applyAlignment="1">
      <alignment horizontal="center" vertical="center" wrapText="1"/>
    </xf>
    <xf numFmtId="165" fontId="30" fillId="55" borderId="0" xfId="2083" applyNumberFormat="1" applyFont="1" applyFill="1" applyAlignment="1">
      <alignment horizontal="center" vertical="center"/>
    </xf>
    <xf numFmtId="165" fontId="30" fillId="55" borderId="0" xfId="2083" applyNumberFormat="1" applyFont="1" applyFill="1" applyAlignment="1">
      <alignment vertical="center"/>
    </xf>
    <xf numFmtId="0" fontId="30" fillId="55" borderId="0" xfId="2083" applyFont="1" applyFill="1" applyAlignment="1">
      <alignment vertical="center"/>
    </xf>
    <xf numFmtId="2" fontId="30" fillId="55" borderId="0" xfId="2083" applyNumberFormat="1" applyFont="1" applyFill="1" applyAlignment="1">
      <alignment vertical="center"/>
    </xf>
    <xf numFmtId="0" fontId="297" fillId="0" borderId="0" xfId="2083" applyFont="1"/>
    <xf numFmtId="0" fontId="285" fillId="54" borderId="1" xfId="2083" applyFont="1" applyFill="1" applyBorder="1" applyAlignment="1">
      <alignment horizontal="center" vertical="center" wrapText="1"/>
    </xf>
    <xf numFmtId="0" fontId="285" fillId="54" borderId="1" xfId="2083" applyFont="1" applyFill="1" applyBorder="1" applyAlignment="1">
      <alignment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305" fontId="292" fillId="0" borderId="1" xfId="2088" applyNumberFormat="1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justify" vertical="center" wrapText="1"/>
    </xf>
    <xf numFmtId="0" fontId="297" fillId="0" borderId="1" xfId="2083" applyFont="1" applyBorder="1"/>
    <xf numFmtId="0" fontId="299" fillId="54" borderId="1" xfId="2083" applyFont="1" applyFill="1" applyBorder="1" applyAlignment="1">
      <alignment horizontal="center" vertical="center" wrapText="1"/>
    </xf>
    <xf numFmtId="0" fontId="146" fillId="0" borderId="1" xfId="2083" applyFont="1" applyBorder="1"/>
    <xf numFmtId="0" fontId="298" fillId="0" borderId="1" xfId="2083" applyFont="1" applyBorder="1" applyAlignment="1">
      <alignment horizontal="center" vertical="center"/>
    </xf>
    <xf numFmtId="306" fontId="30" fillId="0" borderId="1" xfId="2083" applyNumberFormat="1" applyFont="1" applyBorder="1" applyAlignment="1">
      <alignment horizontal="center" vertical="center"/>
    </xf>
    <xf numFmtId="307" fontId="30" fillId="0" borderId="1" xfId="2083" applyNumberFormat="1" applyFont="1" applyBorder="1" applyAlignment="1">
      <alignment horizontal="center" vertical="center"/>
    </xf>
    <xf numFmtId="304" fontId="30" fillId="0" borderId="1" xfId="2083" applyNumberFormat="1" applyFont="1" applyBorder="1" applyAlignment="1">
      <alignment horizontal="center" vertical="center"/>
    </xf>
    <xf numFmtId="0" fontId="304" fillId="0" borderId="0" xfId="2083" applyFont="1"/>
    <xf numFmtId="182" fontId="304" fillId="0" borderId="0" xfId="2083" applyNumberFormat="1" applyFont="1"/>
    <xf numFmtId="182" fontId="143" fillId="0" borderId="0" xfId="2114" applyNumberFormat="1" applyFont="1" applyAlignment="1">
      <alignment vertical="center"/>
    </xf>
    <xf numFmtId="224" fontId="134" fillId="0" borderId="0" xfId="2114" applyNumberFormat="1" applyFont="1"/>
    <xf numFmtId="165" fontId="51" fillId="0" borderId="0" xfId="2093" applyNumberFormat="1" applyFont="1"/>
    <xf numFmtId="165" fontId="30" fillId="0" borderId="0" xfId="2093" applyNumberFormat="1" applyFont="1"/>
    <xf numFmtId="182" fontId="42" fillId="0" borderId="0" xfId="2093" applyNumberFormat="1" applyFont="1" applyAlignment="1">
      <alignment horizontal="center"/>
    </xf>
    <xf numFmtId="183" fontId="110" fillId="0" borderId="1" xfId="2093" applyNumberFormat="1" applyFont="1" applyBorder="1" applyAlignment="1">
      <alignment horizontal="center" vertical="center" wrapText="1"/>
    </xf>
    <xf numFmtId="1" fontId="132" fillId="0" borderId="1" xfId="2093" applyNumberFormat="1" applyFont="1" applyBorder="1" applyAlignment="1">
      <alignment horizontal="center"/>
    </xf>
    <xf numFmtId="9" fontId="30" fillId="0" borderId="0" xfId="2093" applyNumberFormat="1" applyFont="1"/>
    <xf numFmtId="0" fontId="114" fillId="0" borderId="6" xfId="2093" applyFont="1" applyBorder="1" applyAlignment="1">
      <alignment horizontal="left" vertical="center" wrapText="1"/>
    </xf>
    <xf numFmtId="0" fontId="113" fillId="0" borderId="0" xfId="2083" applyFont="1" applyAlignment="1">
      <alignment vertical="center"/>
    </xf>
    <xf numFmtId="184" fontId="309" fillId="0" borderId="0" xfId="2114" applyNumberFormat="1" applyFont="1"/>
    <xf numFmtId="0" fontId="310" fillId="33" borderId="1" xfId="2114" applyFont="1" applyFill="1" applyBorder="1"/>
    <xf numFmtId="165" fontId="50" fillId="53" borderId="27" xfId="1822" applyFont="1" applyFill="1" applyBorder="1" applyAlignment="1">
      <alignment horizontal="center" vertical="center"/>
    </xf>
    <xf numFmtId="165" fontId="30" fillId="0" borderId="27" xfId="1822" applyFont="1" applyFill="1" applyBorder="1" applyAlignment="1">
      <alignment horizontal="center" vertical="center"/>
    </xf>
    <xf numFmtId="183" fontId="50" fillId="53" borderId="6" xfId="1822" applyNumberFormat="1" applyFont="1" applyFill="1" applyBorder="1" applyAlignment="1">
      <alignment horizontal="center" vertical="center"/>
    </xf>
    <xf numFmtId="165" fontId="50" fillId="53" borderId="6" xfId="1822" applyFont="1" applyFill="1" applyBorder="1" applyAlignment="1">
      <alignment horizontal="center" vertical="center"/>
    </xf>
    <xf numFmtId="182" fontId="50" fillId="53" borderId="6" xfId="1822" applyNumberFormat="1" applyFont="1" applyFill="1" applyBorder="1" applyAlignment="1">
      <alignment horizontal="center" vertical="center"/>
    </xf>
    <xf numFmtId="181" fontId="50" fillId="53" borderId="6" xfId="1822" applyNumberFormat="1" applyFont="1" applyFill="1" applyBorder="1" applyAlignment="1">
      <alignment horizontal="center" vertical="center"/>
    </xf>
    <xf numFmtId="165" fontId="50" fillId="53" borderId="49" xfId="1822" applyFont="1" applyFill="1" applyBorder="1" applyAlignment="1">
      <alignment horizontal="center" vertical="center"/>
    </xf>
    <xf numFmtId="183" fontId="50" fillId="53" borderId="49" xfId="1822" applyNumberFormat="1" applyFont="1" applyFill="1" applyBorder="1" applyAlignment="1">
      <alignment horizontal="center" vertical="center"/>
    </xf>
    <xf numFmtId="0" fontId="50" fillId="53" borderId="6" xfId="2093" applyFont="1" applyFill="1" applyBorder="1" applyAlignment="1">
      <alignment horizontal="center" vertical="center"/>
    </xf>
    <xf numFmtId="0" fontId="50" fillId="0" borderId="1" xfId="2083" applyFont="1" applyBorder="1" applyAlignment="1">
      <alignment vertical="center"/>
    </xf>
    <xf numFmtId="165" fontId="50" fillId="0" borderId="1" xfId="2083" applyNumberFormat="1" applyFont="1" applyBorder="1" applyAlignment="1">
      <alignment vertical="center"/>
    </xf>
    <xf numFmtId="183" fontId="30" fillId="0" borderId="6" xfId="1825" applyNumberFormat="1" applyFont="1" applyFill="1" applyBorder="1" applyAlignment="1">
      <alignment horizontal="right" vertical="center" wrapText="1"/>
    </xf>
    <xf numFmtId="183" fontId="110" fillId="0" borderId="1" xfId="2093" applyNumberFormat="1" applyFont="1" applyBorder="1" applyAlignment="1">
      <alignment horizontal="right" vertical="center" wrapText="1"/>
    </xf>
    <xf numFmtId="165" fontId="30" fillId="0" borderId="0" xfId="2083" applyNumberFormat="1" applyFont="1" applyAlignment="1">
      <alignment vertical="center"/>
    </xf>
    <xf numFmtId="165" fontId="50" fillId="0" borderId="1" xfId="1822" applyFont="1" applyBorder="1" applyAlignment="1">
      <alignment horizontal="center" vertical="center"/>
    </xf>
    <xf numFmtId="165" fontId="50" fillId="0" borderId="1" xfId="1822" applyFont="1" applyBorder="1" applyAlignment="1">
      <alignment horizontal="right" vertical="center"/>
    </xf>
    <xf numFmtId="165" fontId="313" fillId="0" borderId="1" xfId="1822" applyFont="1" applyBorder="1" applyAlignment="1">
      <alignment horizontal="center" vertical="center"/>
    </xf>
    <xf numFmtId="165" fontId="313" fillId="0" borderId="1" xfId="1822" applyFont="1" applyBorder="1" applyAlignment="1">
      <alignment horizontal="right" vertical="center"/>
    </xf>
    <xf numFmtId="165" fontId="311" fillId="0" borderId="1" xfId="1822" applyFont="1" applyBorder="1" applyAlignment="1">
      <alignment horizontal="center" vertical="center"/>
    </xf>
    <xf numFmtId="165" fontId="312" fillId="0" borderId="1" xfId="1822" applyFont="1" applyBorder="1" applyAlignment="1">
      <alignment horizontal="center" vertical="center"/>
    </xf>
    <xf numFmtId="182" fontId="30" fillId="0" borderId="0" xfId="1822" applyNumberFormat="1" applyFont="1"/>
    <xf numFmtId="182" fontId="50" fillId="0" borderId="1" xfId="1822" applyNumberFormat="1" applyFont="1" applyBorder="1" applyAlignment="1" applyProtection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182" fontId="30" fillId="0" borderId="1" xfId="1822" applyNumberFormat="1" applyFont="1" applyBorder="1" applyAlignment="1">
      <alignment horizontal="left"/>
    </xf>
    <xf numFmtId="182" fontId="30" fillId="0" borderId="1" xfId="1822" applyNumberFormat="1" applyFont="1" applyBorder="1"/>
    <xf numFmtId="181" fontId="110" fillId="0" borderId="36" xfId="1822" applyNumberFormat="1" applyFont="1" applyFill="1" applyBorder="1" applyAlignment="1">
      <alignment horizontal="center" vertical="center"/>
    </xf>
    <xf numFmtId="182" fontId="131" fillId="0" borderId="36" xfId="1822" applyNumberFormat="1" applyFont="1" applyFill="1" applyBorder="1" applyAlignment="1">
      <alignment vertical="center"/>
    </xf>
    <xf numFmtId="165" fontId="108" fillId="0" borderId="2" xfId="1822" applyFont="1" applyFill="1" applyBorder="1" applyAlignment="1">
      <alignment horizontal="right" vertical="center" wrapText="1"/>
    </xf>
    <xf numFmtId="182" fontId="108" fillId="0" borderId="2" xfId="1822" applyNumberFormat="1" applyFont="1" applyFill="1" applyBorder="1" applyAlignment="1">
      <alignment horizontal="right" vertical="center" wrapText="1"/>
    </xf>
    <xf numFmtId="182" fontId="132" fillId="0" borderId="0" xfId="1822" applyNumberFormat="1" applyFont="1"/>
    <xf numFmtId="165" fontId="30" fillId="0" borderId="0" xfId="1822" applyFont="1" applyFill="1" applyAlignment="1">
      <alignment vertical="center"/>
    </xf>
    <xf numFmtId="182" fontId="30" fillId="0" borderId="48" xfId="1822" applyNumberFormat="1" applyFont="1" applyFill="1" applyBorder="1" applyAlignment="1">
      <alignment vertical="center"/>
    </xf>
    <xf numFmtId="182" fontId="30" fillId="0" borderId="0" xfId="1822" applyNumberFormat="1" applyFont="1" applyFill="1" applyBorder="1" applyAlignment="1">
      <alignment vertical="center"/>
    </xf>
    <xf numFmtId="0" fontId="30" fillId="0" borderId="0" xfId="1822" applyNumberFormat="1" applyFont="1" applyAlignment="1">
      <alignment vertical="center"/>
    </xf>
    <xf numFmtId="182" fontId="30" fillId="0" borderId="27" xfId="1822" applyNumberFormat="1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horizontal="center" vertical="center"/>
    </xf>
    <xf numFmtId="165" fontId="50" fillId="0" borderId="1" xfId="1822" applyFont="1" applyFill="1" applyBorder="1" applyAlignment="1">
      <alignment vertical="center"/>
    </xf>
    <xf numFmtId="182" fontId="50" fillId="0" borderId="1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Border="1" applyAlignment="1">
      <alignment horizontal="center" vertical="center"/>
    </xf>
    <xf numFmtId="165" fontId="50" fillId="0" borderId="27" xfId="1822" applyFont="1" applyFill="1" applyBorder="1" applyAlignment="1">
      <alignment vertical="center"/>
    </xf>
    <xf numFmtId="182" fontId="108" fillId="0" borderId="6" xfId="1822" applyNumberFormat="1" applyFont="1" applyFill="1" applyBorder="1" applyAlignment="1">
      <alignment vertical="center"/>
    </xf>
    <xf numFmtId="182" fontId="50" fillId="0" borderId="6" xfId="1822" applyNumberFormat="1" applyFont="1" applyFill="1" applyBorder="1" applyAlignment="1">
      <alignment vertical="center"/>
    </xf>
    <xf numFmtId="165" fontId="30" fillId="0" borderId="6" xfId="1822" applyFont="1" applyFill="1" applyBorder="1" applyAlignment="1">
      <alignment vertical="center"/>
    </xf>
    <xf numFmtId="165" fontId="50" fillId="0" borderId="6" xfId="1822" applyFont="1" applyFill="1" applyBorder="1" applyAlignment="1">
      <alignment vertical="center"/>
    </xf>
    <xf numFmtId="182" fontId="50" fillId="0" borderId="9" xfId="1822" applyNumberFormat="1" applyFont="1" applyFill="1" applyBorder="1" applyAlignment="1">
      <alignment vertical="center"/>
    </xf>
    <xf numFmtId="165" fontId="30" fillId="0" borderId="49" xfId="1822" applyFont="1" applyFill="1" applyBorder="1" applyAlignment="1">
      <alignment vertical="center"/>
    </xf>
    <xf numFmtId="182" fontId="30" fillId="0" borderId="49" xfId="1822" applyNumberFormat="1" applyFont="1" applyFill="1" applyBorder="1" applyAlignment="1">
      <alignment horizontal="center" vertical="center"/>
    </xf>
    <xf numFmtId="165" fontId="50" fillId="0" borderId="0" xfId="1822" applyFont="1" applyFill="1" applyBorder="1" applyAlignment="1">
      <alignment vertical="center"/>
    </xf>
    <xf numFmtId="183" fontId="30" fillId="0" borderId="49" xfId="1822" applyNumberFormat="1" applyFont="1" applyFill="1" applyBorder="1" applyAlignment="1">
      <alignment vertical="center"/>
    </xf>
    <xf numFmtId="165" fontId="30" fillId="0" borderId="0" xfId="1822" applyFont="1" applyFill="1" applyBorder="1" applyAlignment="1">
      <alignment vertical="center"/>
    </xf>
    <xf numFmtId="182" fontId="30" fillId="0" borderId="0" xfId="1822" applyNumberFormat="1" applyFont="1" applyFill="1" applyAlignment="1">
      <alignment vertical="center"/>
    </xf>
    <xf numFmtId="182" fontId="30" fillId="0" borderId="0" xfId="1822" applyNumberFormat="1" applyFont="1" applyFill="1" applyBorder="1" applyAlignment="1">
      <alignment vertical="center" wrapText="1"/>
    </xf>
    <xf numFmtId="0" fontId="30" fillId="0" borderId="48" xfId="1822" applyNumberFormat="1" applyFont="1" applyBorder="1" applyAlignment="1">
      <alignment horizontal="left" vertical="center"/>
    </xf>
    <xf numFmtId="181" fontId="108" fillId="0" borderId="6" xfId="1822" applyNumberFormat="1" applyFont="1" applyFill="1" applyBorder="1" applyAlignment="1">
      <alignment vertical="center"/>
    </xf>
    <xf numFmtId="183" fontId="108" fillId="0" borderId="6" xfId="1822" applyNumberFormat="1" applyFont="1" applyFill="1" applyBorder="1" applyAlignment="1">
      <alignment vertical="center"/>
    </xf>
    <xf numFmtId="165" fontId="108" fillId="0" borderId="6" xfId="1822" applyFont="1" applyFill="1" applyBorder="1" applyAlignment="1">
      <alignment vertical="center"/>
    </xf>
    <xf numFmtId="165" fontId="110" fillId="0" borderId="6" xfId="1822" applyFont="1" applyFill="1" applyBorder="1" applyAlignment="1">
      <alignment vertical="center"/>
    </xf>
    <xf numFmtId="183" fontId="108" fillId="0" borderId="49" xfId="1822" applyNumberFormat="1" applyFont="1" applyFill="1" applyBorder="1" applyAlignment="1">
      <alignment vertical="center"/>
    </xf>
    <xf numFmtId="183" fontId="30" fillId="0" borderId="0" xfId="1822" applyNumberFormat="1" applyFont="1" applyFill="1" applyBorder="1" applyAlignment="1">
      <alignment vertical="center"/>
    </xf>
    <xf numFmtId="182" fontId="103" fillId="0" borderId="6" xfId="1822" applyNumberFormat="1" applyFont="1" applyFill="1" applyBorder="1" applyAlignment="1">
      <alignment vertical="center"/>
    </xf>
    <xf numFmtId="165" fontId="30" fillId="0" borderId="0" xfId="1822" applyFont="1" applyFill="1" applyAlignment="1">
      <alignment horizontal="center" vertical="center"/>
    </xf>
    <xf numFmtId="0" fontId="30" fillId="0" borderId="0" xfId="1822" applyNumberFormat="1" applyFont="1" applyFill="1" applyBorder="1" applyAlignment="1">
      <alignment vertical="center"/>
    </xf>
    <xf numFmtId="165" fontId="50" fillId="0" borderId="27" xfId="1822" applyFont="1" applyFill="1" applyBorder="1" applyAlignment="1">
      <alignment horizontal="center" vertical="center"/>
    </xf>
    <xf numFmtId="182" fontId="50" fillId="0" borderId="27" xfId="1822" applyNumberFormat="1" applyFont="1" applyFill="1" applyBorder="1" applyAlignment="1">
      <alignment horizontal="center" vertical="center"/>
    </xf>
    <xf numFmtId="182" fontId="50" fillId="0" borderId="6" xfId="1822" applyNumberFormat="1" applyFont="1" applyFill="1" applyBorder="1" applyAlignment="1">
      <alignment horizontal="center" vertical="center"/>
    </xf>
    <xf numFmtId="182" fontId="50" fillId="0" borderId="1" xfId="1822" applyNumberFormat="1" applyFont="1" applyFill="1" applyBorder="1" applyAlignment="1">
      <alignment horizontal="center" vertical="center"/>
    </xf>
    <xf numFmtId="181" fontId="50" fillId="0" borderId="6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Alignment="1">
      <alignment horizontal="center" vertical="center"/>
    </xf>
    <xf numFmtId="183" fontId="50" fillId="0" borderId="6" xfId="1822" applyNumberFormat="1" applyFont="1" applyFill="1" applyBorder="1" applyAlignment="1">
      <alignment horizontal="center" vertical="center"/>
    </xf>
    <xf numFmtId="0" fontId="132" fillId="0" borderId="0" xfId="2112" applyFont="1"/>
    <xf numFmtId="0" fontId="133" fillId="0" borderId="0" xfId="2112" applyFont="1" applyAlignment="1">
      <alignment horizontal="center" vertical="center"/>
    </xf>
    <xf numFmtId="0" fontId="133" fillId="0" borderId="0" xfId="2112" applyFont="1" applyAlignment="1">
      <alignment vertical="center"/>
    </xf>
    <xf numFmtId="0" fontId="133" fillId="0" borderId="0" xfId="2112" applyFont="1"/>
    <xf numFmtId="0" fontId="110" fillId="0" borderId="1" xfId="2112" applyFont="1" applyBorder="1" applyAlignment="1">
      <alignment horizontal="center" vertical="center" wrapText="1"/>
    </xf>
    <xf numFmtId="0" fontId="108" fillId="0" borderId="0" xfId="2112" applyFont="1" applyAlignment="1">
      <alignment vertical="center" wrapText="1"/>
    </xf>
    <xf numFmtId="0" fontId="108" fillId="0" borderId="1" xfId="2112" applyFont="1" applyBorder="1" applyAlignment="1">
      <alignment horizontal="center" vertical="center" wrapText="1"/>
    </xf>
    <xf numFmtId="0" fontId="108" fillId="0" borderId="1" xfId="2112" applyFont="1" applyBorder="1" applyAlignment="1">
      <alignment horizontal="left" vertical="center" wrapText="1" indent="1"/>
    </xf>
    <xf numFmtId="0" fontId="108" fillId="0" borderId="0" xfId="2112" applyFont="1" applyAlignment="1">
      <alignment horizontal="left" vertical="center" wrapText="1" indent="1"/>
    </xf>
    <xf numFmtId="0" fontId="110" fillId="0" borderId="27" xfId="2112" applyFont="1" applyBorder="1" applyAlignment="1">
      <alignment horizontal="left" vertical="center"/>
    </xf>
    <xf numFmtId="0" fontId="110" fillId="0" borderId="1" xfId="2112" applyFont="1" applyBorder="1" applyAlignment="1">
      <alignment horizontal="center" vertical="center"/>
    </xf>
    <xf numFmtId="182" fontId="110" fillId="0" borderId="1" xfId="2112" applyNumberFormat="1" applyFont="1" applyBorder="1" applyAlignment="1">
      <alignment vertical="center"/>
    </xf>
    <xf numFmtId="0" fontId="108" fillId="0" borderId="27" xfId="2112" applyFont="1" applyBorder="1" applyAlignment="1">
      <alignment horizontal="center" vertical="center" wrapText="1"/>
    </xf>
    <xf numFmtId="0" fontId="108" fillId="0" borderId="27" xfId="2112" applyFont="1" applyBorder="1" applyAlignment="1">
      <alignment vertical="center"/>
    </xf>
    <xf numFmtId="0" fontId="108" fillId="0" borderId="27" xfId="2112" applyFont="1" applyBorder="1" applyAlignment="1">
      <alignment horizontal="center" vertical="center"/>
    </xf>
    <xf numFmtId="3" fontId="108" fillId="0" borderId="27" xfId="2112" applyNumberFormat="1" applyFont="1" applyBorder="1" applyAlignment="1">
      <alignment horizontal="center" vertical="center"/>
    </xf>
    <xf numFmtId="182" fontId="108" fillId="0" borderId="27" xfId="2112" applyNumberFormat="1" applyFont="1" applyBorder="1" applyAlignment="1">
      <alignment vertical="center"/>
    </xf>
    <xf numFmtId="0" fontId="108" fillId="0" borderId="6" xfId="2112" applyFont="1" applyBorder="1" applyAlignment="1">
      <alignment horizontal="center" vertical="center" wrapText="1"/>
    </xf>
    <xf numFmtId="0" fontId="108" fillId="0" borderId="6" xfId="2112" applyFont="1" applyBorder="1" applyAlignment="1">
      <alignment vertical="center"/>
    </xf>
    <xf numFmtId="9" fontId="108" fillId="0" borderId="6" xfId="2112" applyNumberFormat="1" applyFont="1" applyBorder="1" applyAlignment="1">
      <alignment horizontal="center" vertical="center"/>
    </xf>
    <xf numFmtId="3" fontId="108" fillId="0" borderId="6" xfId="2112" applyNumberFormat="1" applyFont="1" applyBorder="1" applyAlignment="1">
      <alignment horizontal="center" vertical="center"/>
    </xf>
    <xf numFmtId="182" fontId="108" fillId="0" borderId="6" xfId="2112" applyNumberFormat="1" applyFont="1" applyBorder="1" applyAlignment="1">
      <alignment vertical="center"/>
    </xf>
    <xf numFmtId="9" fontId="108" fillId="0" borderId="0" xfId="2112" applyNumberFormat="1" applyFont="1" applyAlignment="1">
      <alignment horizontal="left" vertical="center" wrapText="1" indent="1"/>
    </xf>
    <xf numFmtId="0" fontId="108" fillId="0" borderId="49" xfId="2112" applyFont="1" applyBorder="1" applyAlignment="1">
      <alignment horizontal="center" vertical="center" wrapText="1"/>
    </xf>
    <xf numFmtId="9" fontId="108" fillId="0" borderId="49" xfId="2112" applyNumberFormat="1" applyFont="1" applyBorder="1" applyAlignment="1">
      <alignment horizontal="center" vertical="center"/>
    </xf>
    <xf numFmtId="3" fontId="108" fillId="0" borderId="49" xfId="2112" applyNumberFormat="1" applyFont="1" applyBorder="1" applyAlignment="1">
      <alignment horizontal="center" vertical="center"/>
    </xf>
    <xf numFmtId="182" fontId="108" fillId="0" borderId="49" xfId="2112" applyNumberFormat="1" applyFont="1" applyBorder="1" applyAlignment="1">
      <alignment vertical="center"/>
    </xf>
    <xf numFmtId="0" fontId="110" fillId="0" borderId="6" xfId="2112" applyFont="1" applyBorder="1" applyAlignment="1">
      <alignment horizontal="left" vertical="center"/>
    </xf>
    <xf numFmtId="2" fontId="108" fillId="0" borderId="27" xfId="2112" applyNumberFormat="1" applyFont="1" applyBorder="1" applyAlignment="1">
      <alignment horizontal="center" vertical="center"/>
    </xf>
    <xf numFmtId="0" fontId="110" fillId="0" borderId="49" xfId="2112" applyFont="1" applyBorder="1" applyAlignment="1">
      <alignment horizontal="left" vertical="center"/>
    </xf>
    <xf numFmtId="0" fontId="132" fillId="0" borderId="0" xfId="2112" applyFont="1" applyAlignment="1">
      <alignment horizontal="center" vertical="center"/>
    </xf>
    <xf numFmtId="0" fontId="132" fillId="0" borderId="0" xfId="2112" applyFont="1" applyAlignment="1">
      <alignment horizontal="center"/>
    </xf>
    <xf numFmtId="182" fontId="110" fillId="0" borderId="24" xfId="1822" applyNumberFormat="1" applyFont="1" applyBorder="1" applyAlignment="1">
      <alignment horizontal="center" vertical="center"/>
    </xf>
    <xf numFmtId="182" fontId="108" fillId="0" borderId="27" xfId="1822" applyNumberFormat="1" applyFont="1" applyBorder="1" applyAlignment="1">
      <alignment horizontal="center" vertical="center"/>
    </xf>
    <xf numFmtId="182" fontId="108" fillId="0" borderId="6" xfId="1822" applyNumberFormat="1" applyFont="1" applyBorder="1" applyAlignment="1">
      <alignment horizontal="center" vertical="center"/>
    </xf>
    <xf numFmtId="182" fontId="108" fillId="0" borderId="49" xfId="1822" applyNumberFormat="1" applyFont="1" applyFill="1" applyBorder="1" applyAlignment="1">
      <alignment horizontal="center" vertical="center"/>
    </xf>
    <xf numFmtId="182" fontId="108" fillId="0" borderId="6" xfId="1822" applyNumberFormat="1" applyFont="1" applyFill="1" applyBorder="1" applyAlignment="1">
      <alignment horizontal="center" vertical="center"/>
    </xf>
    <xf numFmtId="182" fontId="108" fillId="51" borderId="50" xfId="1822" applyNumberFormat="1" applyFont="1" applyFill="1" applyBorder="1" applyAlignment="1">
      <alignment horizontal="center" vertical="center"/>
    </xf>
    <xf numFmtId="182" fontId="108" fillId="0" borderId="50" xfId="1822" applyNumberFormat="1" applyFont="1" applyBorder="1" applyAlignment="1">
      <alignment horizontal="center" vertical="center"/>
    </xf>
    <xf numFmtId="182" fontId="108" fillId="0" borderId="50" xfId="1822" applyNumberFormat="1" applyFont="1" applyFill="1" applyBorder="1" applyAlignment="1">
      <alignment horizontal="center" vertical="center"/>
    </xf>
    <xf numFmtId="3" fontId="108" fillId="0" borderId="27" xfId="1822" applyNumberFormat="1" applyFont="1" applyFill="1" applyBorder="1" applyAlignment="1">
      <alignment vertical="center"/>
    </xf>
    <xf numFmtId="3" fontId="108" fillId="0" borderId="6" xfId="1822" applyNumberFormat="1" applyFont="1" applyFill="1" applyBorder="1" applyAlignment="1">
      <alignment vertical="center"/>
    </xf>
    <xf numFmtId="3" fontId="108" fillId="0" borderId="49" xfId="1822" applyNumberFormat="1" applyFont="1" applyFill="1" applyBorder="1" applyAlignment="1">
      <alignment vertical="center"/>
    </xf>
    <xf numFmtId="182" fontId="108" fillId="0" borderId="0" xfId="1822" applyNumberFormat="1" applyFont="1" applyFill="1" applyBorder="1" applyAlignment="1">
      <alignment horizontal="center" vertical="center"/>
    </xf>
    <xf numFmtId="2" fontId="110" fillId="0" borderId="21" xfId="1822" applyNumberFormat="1" applyFont="1" applyBorder="1" applyAlignment="1">
      <alignment horizontal="center" vertical="center"/>
    </xf>
    <xf numFmtId="4" fontId="110" fillId="0" borderId="18" xfId="1822" applyNumberFormat="1" applyFont="1" applyBorder="1" applyAlignment="1">
      <alignment horizontal="center" vertical="center"/>
    </xf>
    <xf numFmtId="4" fontId="110" fillId="0" borderId="1" xfId="1822" applyNumberFormat="1" applyFont="1" applyBorder="1" applyAlignment="1">
      <alignment horizontal="center" vertical="center"/>
    </xf>
    <xf numFmtId="3" fontId="134" fillId="0" borderId="6" xfId="1822" applyNumberFormat="1" applyFont="1" applyBorder="1" applyAlignment="1">
      <alignment horizontal="center" vertical="center"/>
    </xf>
    <xf numFmtId="3" fontId="108" fillId="0" borderId="6" xfId="1822" applyNumberFormat="1" applyFont="1" applyBorder="1" applyAlignment="1">
      <alignment horizontal="right" vertical="center"/>
    </xf>
    <xf numFmtId="3" fontId="134" fillId="0" borderId="49" xfId="1822" applyNumberFormat="1" applyFont="1" applyBorder="1" applyAlignment="1">
      <alignment horizontal="center" vertical="center"/>
    </xf>
    <xf numFmtId="3" fontId="108" fillId="0" borderId="49" xfId="1822" applyNumberFormat="1" applyFont="1" applyBorder="1" applyAlignment="1">
      <alignment horizontal="right" vertical="center"/>
    </xf>
    <xf numFmtId="0" fontId="129" fillId="33" borderId="0" xfId="2114" applyFont="1" applyFill="1"/>
    <xf numFmtId="0" fontId="129" fillId="33" borderId="12" xfId="2114" applyFont="1" applyFill="1" applyBorder="1" applyAlignment="1">
      <alignment horizontal="center" vertical="center" wrapText="1"/>
    </xf>
    <xf numFmtId="0" fontId="108" fillId="33" borderId="1" xfId="2114" applyFont="1" applyFill="1" applyBorder="1"/>
    <xf numFmtId="0" fontId="108" fillId="33" borderId="0" xfId="2114" applyFont="1" applyFill="1"/>
    <xf numFmtId="222" fontId="129" fillId="0" borderId="0" xfId="2114" applyNumberFormat="1" applyFont="1"/>
    <xf numFmtId="181" fontId="132" fillId="0" borderId="0" xfId="1822" applyNumberFormat="1" applyFont="1" applyFill="1"/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2" fontId="50" fillId="0" borderId="1" xfId="1822" applyNumberFormat="1" applyFont="1" applyBorder="1" applyAlignment="1">
      <alignment horizontal="left" vertical="center"/>
    </xf>
    <xf numFmtId="4" fontId="50" fillId="0" borderId="1" xfId="1822" applyNumberFormat="1" applyFont="1" applyBorder="1" applyAlignment="1">
      <alignment horizontal="center" vertical="center"/>
    </xf>
    <xf numFmtId="3" fontId="50" fillId="0" borderId="1" xfId="1822" applyNumberFormat="1" applyFont="1" applyBorder="1" applyAlignment="1">
      <alignment horizontal="right" vertical="center"/>
    </xf>
    <xf numFmtId="4" fontId="30" fillId="0" borderId="9" xfId="1822" applyNumberFormat="1" applyFont="1" applyBorder="1" applyAlignment="1">
      <alignment horizontal="center" vertical="center"/>
    </xf>
    <xf numFmtId="213" fontId="30" fillId="0" borderId="9" xfId="1822" applyNumberFormat="1" applyFont="1" applyBorder="1" applyAlignment="1">
      <alignment horizontal="right" vertical="center"/>
    </xf>
    <xf numFmtId="218" fontId="30" fillId="0" borderId="9" xfId="1822" applyNumberFormat="1" applyFont="1" applyBorder="1" applyAlignment="1">
      <alignment horizontal="right" vertical="center"/>
    </xf>
    <xf numFmtId="214" fontId="30" fillId="0" borderId="9" xfId="1822" applyNumberFormat="1" applyFont="1" applyBorder="1" applyAlignment="1">
      <alignment horizontal="right" vertical="center"/>
    </xf>
    <xf numFmtId="4" fontId="30" fillId="0" borderId="6" xfId="1822" applyNumberFormat="1" applyFont="1" applyBorder="1" applyAlignment="1">
      <alignment horizontal="center" vertical="center"/>
    </xf>
    <xf numFmtId="213" fontId="30" fillId="0" borderId="6" xfId="1822" applyNumberFormat="1" applyFont="1" applyBorder="1" applyAlignment="1">
      <alignment horizontal="right" vertical="center"/>
    </xf>
    <xf numFmtId="214" fontId="30" fillId="0" borderId="6" xfId="1822" applyNumberFormat="1" applyFont="1" applyBorder="1" applyAlignment="1">
      <alignment horizontal="right" vertical="center"/>
    </xf>
    <xf numFmtId="4" fontId="30" fillId="0" borderId="50" xfId="1822" applyNumberFormat="1" applyFont="1" applyBorder="1" applyAlignment="1">
      <alignment horizontal="center" vertical="center"/>
    </xf>
    <xf numFmtId="218" fontId="30" fillId="0" borderId="50" xfId="1822" applyNumberFormat="1" applyFont="1" applyBorder="1" applyAlignment="1">
      <alignment horizontal="right" vertical="center"/>
    </xf>
    <xf numFmtId="214" fontId="30" fillId="0" borderId="50" xfId="1822" applyNumberFormat="1" applyFont="1" applyBorder="1" applyAlignment="1">
      <alignment horizontal="right" vertical="center"/>
    </xf>
    <xf numFmtId="214" fontId="113" fillId="0" borderId="1" xfId="1822" applyNumberFormat="1" applyFont="1" applyBorder="1" applyAlignment="1">
      <alignment horizontal="right" vertical="center"/>
    </xf>
    <xf numFmtId="3" fontId="30" fillId="0" borderId="6" xfId="1822" applyNumberFormat="1" applyFont="1" applyBorder="1" applyAlignment="1">
      <alignment horizontal="right" vertical="center"/>
    </xf>
    <xf numFmtId="213" fontId="30" fillId="0" borderId="50" xfId="1822" applyNumberFormat="1" applyFont="1" applyBorder="1" applyAlignment="1">
      <alignment horizontal="right" vertical="center"/>
    </xf>
    <xf numFmtId="3" fontId="30" fillId="0" borderId="50" xfId="1822" applyNumberFormat="1" applyFont="1" applyBorder="1" applyAlignment="1">
      <alignment horizontal="right" vertical="center"/>
    </xf>
    <xf numFmtId="3" fontId="30" fillId="0" borderId="1" xfId="1822" applyNumberFormat="1" applyFont="1" applyBorder="1" applyAlignment="1">
      <alignment horizontal="right" vertical="center"/>
    </xf>
    <xf numFmtId="213" fontId="30" fillId="0" borderId="27" xfId="1822" applyNumberFormat="1" applyFont="1" applyBorder="1" applyAlignment="1">
      <alignment horizontal="right" vertical="center"/>
    </xf>
    <xf numFmtId="3" fontId="30" fillId="0" borderId="27" xfId="1822" applyNumberFormat="1" applyFont="1" applyBorder="1" applyAlignment="1">
      <alignment horizontal="right" vertical="center"/>
    </xf>
    <xf numFmtId="214" fontId="30" fillId="0" borderId="27" xfId="1822" applyNumberFormat="1" applyFont="1" applyBorder="1" applyAlignment="1">
      <alignment horizontal="right" vertical="center"/>
    </xf>
    <xf numFmtId="213" fontId="30" fillId="0" borderId="49" xfId="1822" applyNumberFormat="1" applyFont="1" applyBorder="1" applyAlignment="1">
      <alignment horizontal="right" vertical="center"/>
    </xf>
    <xf numFmtId="3" fontId="30" fillId="0" borderId="49" xfId="1822" applyNumberFormat="1" applyFont="1" applyBorder="1" applyAlignment="1">
      <alignment horizontal="right" vertical="center"/>
    </xf>
    <xf numFmtId="214" fontId="30" fillId="0" borderId="49" xfId="1822" applyNumberFormat="1" applyFont="1" applyBorder="1" applyAlignment="1">
      <alignment horizontal="right" vertical="center"/>
    </xf>
    <xf numFmtId="3" fontId="50" fillId="0" borderId="1" xfId="1822" applyNumberFormat="1" applyFont="1" applyFill="1" applyBorder="1" applyAlignment="1">
      <alignment horizontal="right" vertical="center"/>
    </xf>
    <xf numFmtId="213" fontId="113" fillId="0" borderId="1" xfId="1822" applyNumberFormat="1" applyFont="1" applyBorder="1" applyAlignment="1">
      <alignment horizontal="right" vertical="center"/>
    </xf>
    <xf numFmtId="213" fontId="30" fillId="0" borderId="1" xfId="1822" applyNumberFormat="1" applyFont="1" applyBorder="1" applyAlignment="1">
      <alignment horizontal="right" vertical="center"/>
    </xf>
    <xf numFmtId="214" fontId="30" fillId="0" borderId="1" xfId="1822" applyNumberFormat="1" applyFont="1" applyBorder="1" applyAlignment="1">
      <alignment horizontal="right" vertical="center"/>
    </xf>
    <xf numFmtId="3" fontId="30" fillId="0" borderId="9" xfId="1822" applyNumberFormat="1" applyFont="1" applyBorder="1" applyAlignment="1">
      <alignment horizontal="right" vertical="center"/>
    </xf>
    <xf numFmtId="182" fontId="108" fillId="0" borderId="36" xfId="1822" applyNumberFormat="1" applyFont="1" applyFill="1" applyBorder="1" applyAlignment="1">
      <alignment horizontal="right" vertical="center" wrapText="1"/>
    </xf>
    <xf numFmtId="0" fontId="55" fillId="0" borderId="62" xfId="2113" applyFont="1" applyBorder="1" applyAlignment="1">
      <alignment vertical="center"/>
    </xf>
    <xf numFmtId="0" fontId="304" fillId="0" borderId="0" xfId="2083" applyFont="1" applyAlignment="1">
      <alignment horizontal="right"/>
    </xf>
    <xf numFmtId="182" fontId="304" fillId="0" borderId="0" xfId="1822" applyNumberFormat="1" applyFont="1"/>
    <xf numFmtId="303" fontId="304" fillId="0" borderId="0" xfId="2083" applyNumberFormat="1" applyFont="1"/>
    <xf numFmtId="165" fontId="315" fillId="0" borderId="1" xfId="1822" applyFont="1" applyBorder="1" applyAlignment="1">
      <alignment horizontal="center" vertical="center"/>
    </xf>
    <xf numFmtId="182" fontId="50" fillId="0" borderId="1" xfId="2093" applyNumberFormat="1" applyFont="1" applyBorder="1" applyAlignment="1">
      <alignment vertical="center"/>
    </xf>
    <xf numFmtId="183" fontId="108" fillId="0" borderId="56" xfId="1822" applyNumberFormat="1" applyFont="1" applyFill="1" applyBorder="1" applyAlignment="1">
      <alignment horizontal="right" vertical="center" wrapText="1"/>
    </xf>
    <xf numFmtId="214" fontId="108" fillId="0" borderId="56" xfId="1822" applyNumberFormat="1" applyFont="1" applyFill="1" applyBorder="1" applyAlignment="1">
      <alignment vertical="center"/>
    </xf>
    <xf numFmtId="214" fontId="108" fillId="0" borderId="2" xfId="1822" applyNumberFormat="1" applyFont="1" applyFill="1" applyBorder="1" applyAlignment="1">
      <alignment vertical="center"/>
    </xf>
    <xf numFmtId="0" fontId="108" fillId="0" borderId="2" xfId="2113" applyFont="1" applyBorder="1" applyAlignment="1">
      <alignment horizontal="center" vertical="center" wrapText="1"/>
    </xf>
    <xf numFmtId="165" fontId="108" fillId="0" borderId="36" xfId="1822" applyFont="1" applyFill="1" applyBorder="1" applyAlignment="1">
      <alignment horizontal="right" vertical="center" wrapText="1"/>
    </xf>
    <xf numFmtId="214" fontId="108" fillId="0" borderId="36" xfId="1822" applyNumberFormat="1" applyFont="1" applyFill="1" applyBorder="1" applyAlignment="1">
      <alignment vertical="center"/>
    </xf>
    <xf numFmtId="0" fontId="113" fillId="0" borderId="1" xfId="2093" applyFont="1" applyBorder="1" applyAlignment="1">
      <alignment vertical="center"/>
    </xf>
    <xf numFmtId="0" fontId="113" fillId="0" borderId="1" xfId="2093" applyFont="1" applyBorder="1" applyAlignment="1">
      <alignment horizontal="center" vertical="center"/>
    </xf>
    <xf numFmtId="0" fontId="113" fillId="0" borderId="1" xfId="2093" applyFont="1" applyBorder="1" applyAlignment="1">
      <alignment vertical="center" wrapText="1"/>
    </xf>
    <xf numFmtId="3" fontId="113" fillId="0" borderId="1" xfId="2093" applyNumberFormat="1" applyFont="1" applyBorder="1" applyAlignment="1">
      <alignment vertical="center"/>
    </xf>
    <xf numFmtId="0" fontId="30" fillId="0" borderId="56" xfId="2093" applyFont="1" applyBorder="1" applyAlignment="1">
      <alignment vertical="center"/>
    </xf>
    <xf numFmtId="3" fontId="114" fillId="0" borderId="56" xfId="2093" applyNumberFormat="1" applyFont="1" applyBorder="1" applyAlignment="1">
      <alignment vertical="center"/>
    </xf>
    <xf numFmtId="3" fontId="30" fillId="0" borderId="56" xfId="2093" applyNumberFormat="1" applyFont="1" applyBorder="1" applyAlignment="1">
      <alignment vertical="center"/>
    </xf>
    <xf numFmtId="0" fontId="30" fillId="0" borderId="2" xfId="2093" applyFont="1" applyBorder="1" applyAlignment="1">
      <alignment vertical="center"/>
    </xf>
    <xf numFmtId="3" fontId="114" fillId="0" borderId="2" xfId="2093" applyNumberFormat="1" applyFont="1" applyBorder="1" applyAlignment="1">
      <alignment vertical="center"/>
    </xf>
    <xf numFmtId="3" fontId="30" fillId="0" borderId="2" xfId="2093" applyNumberFormat="1" applyFont="1" applyBorder="1" applyAlignment="1">
      <alignment vertical="center"/>
    </xf>
    <xf numFmtId="0" fontId="30" fillId="0" borderId="62" xfId="2093" applyFont="1" applyBorder="1" applyAlignment="1">
      <alignment vertical="center"/>
    </xf>
    <xf numFmtId="3" fontId="114" fillId="0" borderId="62" xfId="2093" applyNumberFormat="1" applyFont="1" applyBorder="1" applyAlignment="1">
      <alignment vertical="center"/>
    </xf>
    <xf numFmtId="3" fontId="30" fillId="0" borderId="62" xfId="2093" applyNumberFormat="1" applyFont="1" applyBorder="1" applyAlignment="1">
      <alignment vertical="center"/>
    </xf>
    <xf numFmtId="2" fontId="113" fillId="0" borderId="1" xfId="2093" applyNumberFormat="1" applyFont="1" applyBorder="1" applyAlignment="1">
      <alignment vertical="center"/>
    </xf>
    <xf numFmtId="3" fontId="55" fillId="0" borderId="1" xfId="2093" applyNumberFormat="1" applyFont="1" applyBorder="1" applyAlignment="1">
      <alignment horizontal="left" vertical="center"/>
    </xf>
    <xf numFmtId="165" fontId="30" fillId="0" borderId="1" xfId="2093" applyNumberFormat="1" applyFont="1" applyBorder="1" applyAlignment="1">
      <alignment vertical="center"/>
    </xf>
    <xf numFmtId="184" fontId="30" fillId="0" borderId="1" xfId="2093" applyNumberFormat="1" applyFont="1" applyBorder="1" applyAlignment="1">
      <alignment vertical="center"/>
    </xf>
    <xf numFmtId="219" fontId="30" fillId="0" borderId="1" xfId="2093" applyNumberFormat="1" applyFont="1" applyBorder="1" applyAlignment="1">
      <alignment vertical="center"/>
    </xf>
    <xf numFmtId="0" fontId="50" fillId="0" borderId="1" xfId="2093" applyFont="1" applyBorder="1" applyAlignment="1">
      <alignment vertical="center"/>
    </xf>
    <xf numFmtId="0" fontId="30" fillId="0" borderId="1" xfId="2093" applyFont="1" applyBorder="1" applyAlignment="1">
      <alignment horizontal="right" vertical="center"/>
    </xf>
    <xf numFmtId="0" fontId="114" fillId="0" borderId="0" xfId="2675" applyFont="1" applyAlignment="1">
      <alignment horizontal="center" vertical="center"/>
    </xf>
    <xf numFmtId="0" fontId="114" fillId="0" borderId="0" xfId="2675" applyFont="1" applyAlignment="1">
      <alignment vertical="center"/>
    </xf>
    <xf numFmtId="0" fontId="114" fillId="0" borderId="1" xfId="2675" applyFont="1" applyBorder="1" applyAlignment="1">
      <alignment vertical="center"/>
    </xf>
    <xf numFmtId="0" fontId="50" fillId="0" borderId="0" xfId="2675" applyFont="1" applyAlignment="1">
      <alignment horizontal="center" vertical="center"/>
    </xf>
    <xf numFmtId="0" fontId="50" fillId="0" borderId="24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297" fontId="56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left" vertical="center"/>
    </xf>
    <xf numFmtId="0" fontId="313" fillId="0" borderId="0" xfId="2675" applyFont="1" applyAlignment="1">
      <alignment vertical="center"/>
    </xf>
    <xf numFmtId="1" fontId="312" fillId="0" borderId="1" xfId="2675" quotePrefix="1" applyNumberFormat="1" applyFont="1" applyBorder="1" applyAlignment="1">
      <alignment horizontal="center" vertical="center"/>
    </xf>
    <xf numFmtId="297" fontId="312" fillId="0" borderId="1" xfId="2675" applyNumberFormat="1" applyFont="1" applyBorder="1" applyAlignment="1">
      <alignment horizontal="left" vertical="center"/>
    </xf>
    <xf numFmtId="297" fontId="312" fillId="0" borderId="1" xfId="2675" applyNumberFormat="1" applyFont="1" applyBorder="1" applyAlignment="1">
      <alignment horizontal="center" vertical="center" wrapText="1"/>
    </xf>
    <xf numFmtId="0" fontId="312" fillId="0" borderId="0" xfId="2675" applyFont="1" applyAlignment="1">
      <alignment vertical="center"/>
    </xf>
    <xf numFmtId="0" fontId="53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3" fillId="0" borderId="0" xfId="2675" applyFont="1" applyAlignment="1">
      <alignment vertical="center"/>
    </xf>
    <xf numFmtId="0" fontId="51" fillId="0" borderId="0" xfId="2675" applyFont="1" applyAlignment="1">
      <alignment horizontal="center" vertical="center"/>
    </xf>
    <xf numFmtId="0" fontId="52" fillId="0" borderId="0" xfId="2675" applyFont="1" applyAlignment="1">
      <alignment horizontal="center" vertical="center"/>
    </xf>
    <xf numFmtId="0" fontId="290" fillId="0" borderId="0" xfId="2675" applyFont="1" applyAlignment="1">
      <alignment horizontal="center" vertical="center"/>
    </xf>
    <xf numFmtId="0" fontId="306" fillId="0" borderId="0" xfId="2675" applyFont="1" applyAlignment="1">
      <alignment vertical="center" wrapText="1"/>
    </xf>
    <xf numFmtId="297" fontId="50" fillId="0" borderId="1" xfId="2675" applyNumberFormat="1" applyFont="1" applyBorder="1" applyAlignment="1">
      <alignment horizontal="center" vertical="center"/>
    </xf>
    <xf numFmtId="176" fontId="313" fillId="0" borderId="0" xfId="2675" applyNumberFormat="1" applyFont="1" applyAlignment="1">
      <alignment vertical="center"/>
    </xf>
    <xf numFmtId="1" fontId="315" fillId="0" borderId="1" xfId="2675" quotePrefix="1" applyNumberFormat="1" applyFont="1" applyBorder="1" applyAlignment="1">
      <alignment horizontal="center" vertical="center"/>
    </xf>
    <xf numFmtId="297" fontId="315" fillId="0" borderId="1" xfId="2675" applyNumberFormat="1" applyFont="1" applyBorder="1" applyAlignment="1">
      <alignment horizontal="right" vertical="center"/>
    </xf>
    <xf numFmtId="297" fontId="315" fillId="0" borderId="1" xfId="2675" applyNumberFormat="1" applyFont="1" applyBorder="1" applyAlignment="1">
      <alignment horizontal="center" vertical="center" wrapText="1"/>
    </xf>
    <xf numFmtId="0" fontId="315" fillId="0" borderId="0" xfId="2675" applyFont="1" applyAlignment="1">
      <alignment vertical="center"/>
    </xf>
    <xf numFmtId="297" fontId="50" fillId="0" borderId="1" xfId="2675" applyNumberFormat="1" applyFont="1" applyBorder="1" applyAlignment="1">
      <alignment horizontal="center" vertical="center" wrapText="1"/>
    </xf>
    <xf numFmtId="0" fontId="50" fillId="0" borderId="0" xfId="2675" applyFont="1" applyAlignment="1">
      <alignment vertical="center"/>
    </xf>
    <xf numFmtId="0" fontId="110" fillId="0" borderId="0" xfId="2112" applyFont="1" applyAlignment="1">
      <alignment vertical="center" wrapText="1"/>
    </xf>
    <xf numFmtId="0" fontId="110" fillId="0" borderId="0" xfId="2112" applyFont="1" applyAlignment="1">
      <alignment vertical="center"/>
    </xf>
    <xf numFmtId="0" fontId="318" fillId="0" borderId="0" xfId="2114" applyFont="1"/>
    <xf numFmtId="0" fontId="319" fillId="0" borderId="0" xfId="2114" applyFont="1"/>
    <xf numFmtId="219" fontId="318" fillId="0" borderId="0" xfId="2114" applyNumberFormat="1" applyFont="1"/>
    <xf numFmtId="184" fontId="320" fillId="0" borderId="0" xfId="2114" applyNumberFormat="1" applyFont="1"/>
    <xf numFmtId="165" fontId="320" fillId="0" borderId="0" xfId="2114" applyNumberFormat="1" applyFont="1"/>
    <xf numFmtId="183" fontId="320" fillId="0" borderId="0" xfId="2114" applyNumberFormat="1" applyFont="1"/>
    <xf numFmtId="10" fontId="320" fillId="0" borderId="0" xfId="2138" applyNumberFormat="1" applyFont="1"/>
    <xf numFmtId="182" fontId="320" fillId="0" borderId="0" xfId="2114" applyNumberFormat="1" applyFont="1"/>
    <xf numFmtId="0" fontId="318" fillId="33" borderId="0" xfId="2114" applyFont="1" applyFill="1"/>
    <xf numFmtId="0" fontId="321" fillId="33" borderId="0" xfId="2114" applyFont="1" applyFill="1"/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9" fillId="0" borderId="0" xfId="2088"/>
    <xf numFmtId="302" fontId="313" fillId="55" borderId="1" xfId="2675" applyNumberFormat="1" applyFont="1" applyFill="1" applyBorder="1" applyAlignment="1">
      <alignment horizontal="center" vertical="center"/>
    </xf>
    <xf numFmtId="291" fontId="52" fillId="55" borderId="57" xfId="2675" applyNumberFormat="1" applyFont="1" applyFill="1" applyBorder="1" applyAlignment="1">
      <alignment horizontal="center" vertical="center"/>
    </xf>
    <xf numFmtId="302" fontId="50" fillId="55" borderId="1" xfId="2675" applyNumberFormat="1" applyFont="1" applyFill="1" applyBorder="1" applyAlignment="1">
      <alignment horizontal="center" vertical="center"/>
    </xf>
    <xf numFmtId="0" fontId="52" fillId="0" borderId="48" xfId="2675" applyFont="1" applyBorder="1" applyAlignment="1">
      <alignment horizontal="center" vertical="center"/>
    </xf>
    <xf numFmtId="291" fontId="53" fillId="55" borderId="1" xfId="2675" applyNumberFormat="1" applyFont="1" applyFill="1" applyBorder="1" applyAlignment="1">
      <alignment horizontal="center" vertical="center"/>
    </xf>
    <xf numFmtId="0" fontId="9" fillId="0" borderId="0" xfId="2675"/>
    <xf numFmtId="0" fontId="301" fillId="0" borderId="45" xfId="2675" applyFont="1" applyBorder="1" applyAlignment="1">
      <alignment horizontal="center" vertical="center" wrapText="1"/>
    </xf>
    <xf numFmtId="0" fontId="301" fillId="0" borderId="66" xfId="2675" applyFont="1" applyBorder="1" applyAlignment="1">
      <alignment horizontal="center" vertical="center" wrapText="1"/>
    </xf>
    <xf numFmtId="0" fontId="301" fillId="0" borderId="0" xfId="2675" applyFont="1" applyAlignment="1">
      <alignment horizontal="center" vertical="center" wrapText="1"/>
    </xf>
    <xf numFmtId="0" fontId="52" fillId="0" borderId="1" xfId="2675" applyFont="1" applyBorder="1" applyAlignment="1">
      <alignment horizontal="center" vertical="center" wrapText="1"/>
    </xf>
    <xf numFmtId="0" fontId="52" fillId="0" borderId="1" xfId="2675" applyFont="1" applyBorder="1" applyAlignment="1">
      <alignment horizontal="justify" vertical="center" wrapText="1"/>
    </xf>
    <xf numFmtId="0" fontId="285" fillId="0" borderId="1" xfId="2675" applyFont="1" applyBorder="1" applyAlignment="1">
      <alignment horizontal="center" vertical="center" wrapText="1"/>
    </xf>
    <xf numFmtId="0" fontId="285" fillId="0" borderId="1" xfId="2675" applyFont="1" applyBorder="1" applyAlignment="1">
      <alignment horizontal="justify" vertical="center" wrapText="1"/>
    </xf>
    <xf numFmtId="0" fontId="301" fillId="0" borderId="26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85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justify" vertical="center" wrapText="1"/>
    </xf>
    <xf numFmtId="0" fontId="302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left" vertical="center" wrapText="1"/>
    </xf>
    <xf numFmtId="0" fontId="303" fillId="0" borderId="0" xfId="2675" applyFont="1" applyAlignment="1">
      <alignment horizontal="justify" vertical="center"/>
    </xf>
    <xf numFmtId="0" fontId="30" fillId="0" borderId="0" xfId="2675" applyFont="1"/>
    <xf numFmtId="0" fontId="282" fillId="0" borderId="0" xfId="2675" applyFont="1" applyAlignment="1">
      <alignment horizontal="justify" vertical="center"/>
    </xf>
    <xf numFmtId="0" fontId="292" fillId="0" borderId="46" xfId="2675" applyFont="1" applyBorder="1" applyAlignment="1">
      <alignment horizontal="center" vertical="center" wrapText="1"/>
    </xf>
    <xf numFmtId="0" fontId="292" fillId="0" borderId="65" xfId="2675" applyFont="1" applyBorder="1" applyAlignment="1">
      <alignment horizontal="center" vertical="center" wrapText="1"/>
    </xf>
    <xf numFmtId="0" fontId="292" fillId="0" borderId="66" xfId="2675" applyFont="1" applyBorder="1" applyAlignment="1">
      <alignment horizontal="center" vertical="center" wrapText="1"/>
    </xf>
    <xf numFmtId="0" fontId="292" fillId="0" borderId="68" xfId="2675" applyFont="1" applyBorder="1" applyAlignment="1">
      <alignment horizontal="center" vertical="center" wrapText="1"/>
    </xf>
    <xf numFmtId="0" fontId="279" fillId="0" borderId="47" xfId="2675" applyFont="1" applyBorder="1" applyAlignment="1">
      <alignment horizontal="center" vertical="center" wrapText="1"/>
    </xf>
    <xf numFmtId="0" fontId="279" fillId="0" borderId="64" xfId="2675" applyFont="1" applyBorder="1" applyAlignment="1">
      <alignment horizontal="center" vertical="center" wrapText="1"/>
    </xf>
    <xf numFmtId="0" fontId="279" fillId="0" borderId="45" xfId="2675" applyFont="1" applyBorder="1" applyAlignment="1">
      <alignment horizontal="center" vertical="center" wrapText="1"/>
    </xf>
    <xf numFmtId="0" fontId="279" fillId="0" borderId="65" xfId="2675" applyFont="1" applyBorder="1" applyAlignment="1">
      <alignment horizontal="center" vertical="center" wrapText="1"/>
    </xf>
    <xf numFmtId="0" fontId="305" fillId="0" borderId="66" xfId="2675" applyFont="1" applyBorder="1" applyAlignment="1">
      <alignment horizontal="center" vertical="center" wrapText="1"/>
    </xf>
    <xf numFmtId="0" fontId="305" fillId="0" borderId="68" xfId="2675" applyFont="1" applyBorder="1" applyAlignment="1">
      <alignment horizontal="center" vertical="center" wrapText="1"/>
    </xf>
    <xf numFmtId="0" fontId="305" fillId="0" borderId="46" xfId="2675" applyFont="1" applyBorder="1" applyAlignment="1">
      <alignment horizontal="center" vertical="center" wrapText="1"/>
    </xf>
    <xf numFmtId="0" fontId="305" fillId="0" borderId="65" xfId="2675" applyFont="1" applyBorder="1" applyAlignment="1">
      <alignment horizontal="center" vertical="center" wrapText="1"/>
    </xf>
    <xf numFmtId="0" fontId="285" fillId="0" borderId="45" xfId="2675" applyFont="1" applyBorder="1" applyAlignment="1">
      <alignment horizontal="center" vertical="center" wrapText="1"/>
    </xf>
    <xf numFmtId="0" fontId="285" fillId="0" borderId="65" xfId="2675" applyFont="1" applyBorder="1" applyAlignment="1">
      <alignment horizontal="center" vertical="center" wrapText="1"/>
    </xf>
    <xf numFmtId="0" fontId="301" fillId="0" borderId="65" xfId="2675" applyFont="1" applyBorder="1" applyAlignment="1">
      <alignment horizontal="center" vertical="center" wrapText="1"/>
    </xf>
    <xf numFmtId="0" fontId="30" fillId="0" borderId="68" xfId="2675" applyFont="1" applyBorder="1" applyAlignment="1">
      <alignment vertical="center" wrapText="1"/>
    </xf>
    <xf numFmtId="0" fontId="301" fillId="0" borderId="68" xfId="2675" applyFont="1" applyBorder="1" applyAlignment="1">
      <alignment horizontal="center" vertical="center" wrapText="1"/>
    </xf>
    <xf numFmtId="0" fontId="52" fillId="0" borderId="47" xfId="2675" applyFont="1" applyBorder="1" applyAlignment="1">
      <alignment horizontal="center" vertical="center" wrapText="1"/>
    </xf>
    <xf numFmtId="0" fontId="52" fillId="0" borderId="64" xfId="2675" applyFont="1" applyBorder="1" applyAlignment="1">
      <alignment horizontal="center" vertical="center" wrapText="1"/>
    </xf>
    <xf numFmtId="0" fontId="52" fillId="0" borderId="45" xfId="2675" applyFont="1" applyBorder="1" applyAlignment="1">
      <alignment horizontal="center" vertical="center" wrapText="1"/>
    </xf>
    <xf numFmtId="0" fontId="52" fillId="0" borderId="65" xfId="2675" applyFont="1" applyBorder="1" applyAlignment="1">
      <alignment horizontal="center" vertical="center" wrapText="1"/>
    </xf>
    <xf numFmtId="0" fontId="110" fillId="0" borderId="1" xfId="2675" applyFont="1" applyBorder="1" applyAlignment="1">
      <alignment horizontal="center" vertical="center"/>
    </xf>
    <xf numFmtId="0" fontId="110" fillId="0" borderId="36" xfId="2675" applyFont="1" applyBorder="1" applyAlignment="1">
      <alignment horizontal="center" vertical="center"/>
    </xf>
    <xf numFmtId="182" fontId="110" fillId="0" borderId="36" xfId="2675" applyNumberFormat="1" applyFont="1" applyBorder="1" applyAlignment="1">
      <alignment horizontal="center" vertical="center"/>
    </xf>
    <xf numFmtId="0" fontId="108" fillId="0" borderId="1" xfId="2675" applyFont="1" applyBorder="1" applyAlignment="1">
      <alignment horizontal="center" vertical="center"/>
    </xf>
    <xf numFmtId="0" fontId="108" fillId="0" borderId="56" xfId="2675" quotePrefix="1" applyFont="1" applyBorder="1" applyAlignment="1">
      <alignment horizontal="center" vertical="center"/>
    </xf>
    <xf numFmtId="0" fontId="108" fillId="0" borderId="56" xfId="2675" applyFont="1" applyBorder="1" applyAlignment="1">
      <alignment horizontal="center" vertical="center"/>
    </xf>
    <xf numFmtId="0" fontId="30" fillId="0" borderId="0" xfId="2675" applyFont="1" applyAlignment="1">
      <alignment vertical="center"/>
    </xf>
    <xf numFmtId="0" fontId="108" fillId="0" borderId="2" xfId="2675" quotePrefix="1" applyFont="1" applyBorder="1" applyAlignment="1">
      <alignment horizontal="center" vertical="center"/>
    </xf>
    <xf numFmtId="0" fontId="108" fillId="0" borderId="2" xfId="2675" applyFont="1" applyBorder="1" applyAlignment="1">
      <alignment horizontal="center" vertical="center"/>
    </xf>
    <xf numFmtId="297" fontId="30" fillId="0" borderId="1" xfId="2675" applyNumberFormat="1" applyFont="1" applyBorder="1" applyAlignment="1">
      <alignment horizontal="left" vertical="center"/>
    </xf>
    <xf numFmtId="0" fontId="108" fillId="0" borderId="36" xfId="2088" applyFont="1" applyBorder="1" applyAlignment="1">
      <alignment horizontal="center" vertical="center"/>
    </xf>
    <xf numFmtId="0" fontId="108" fillId="0" borderId="1" xfId="2088" applyFont="1" applyBorder="1" applyAlignment="1">
      <alignment horizontal="center" vertical="center"/>
    </xf>
    <xf numFmtId="49" fontId="110" fillId="0" borderId="1" xfId="2675" applyNumberFormat="1" applyFont="1" applyBorder="1" applyAlignment="1">
      <alignment horizontal="center" vertical="center" wrapText="1"/>
    </xf>
    <xf numFmtId="49" fontId="108" fillId="0" borderId="1" xfId="2675" applyNumberFormat="1" applyFont="1" applyBorder="1" applyAlignment="1">
      <alignment horizontal="justify" vertical="center" wrapText="1"/>
    </xf>
    <xf numFmtId="182" fontId="110" fillId="0" borderId="1" xfId="2675" applyNumberFormat="1" applyFont="1" applyBorder="1" applyAlignment="1">
      <alignment horizontal="justify" vertical="center" wrapText="1"/>
    </xf>
    <xf numFmtId="182" fontId="110" fillId="0" borderId="36" xfId="2675" applyNumberFormat="1" applyFont="1" applyBorder="1" applyAlignment="1">
      <alignment horizontal="justify" vertical="center" wrapText="1"/>
    </xf>
    <xf numFmtId="0" fontId="30" fillId="0" borderId="0" xfId="2675" applyFont="1" applyAlignment="1">
      <alignment horizontal="center" vertical="center"/>
    </xf>
    <xf numFmtId="0" fontId="56" fillId="0" borderId="0" xfId="2675" applyFont="1" applyAlignment="1">
      <alignment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5" fillId="0" borderId="0" xfId="2675" applyFont="1" applyAlignment="1">
      <alignment vertical="center"/>
    </xf>
    <xf numFmtId="0" fontId="50" fillId="0" borderId="21" xfId="2675" applyFont="1" applyBorder="1" applyAlignment="1">
      <alignment vertical="center" wrapText="1"/>
    </xf>
    <xf numFmtId="0" fontId="50" fillId="53" borderId="1" xfId="2675" applyFont="1" applyFill="1" applyBorder="1" applyAlignment="1">
      <alignment vertical="center" wrapText="1"/>
    </xf>
    <xf numFmtId="0" fontId="9" fillId="0" borderId="1" xfId="2675" applyBorder="1"/>
    <xf numFmtId="0" fontId="50" fillId="0" borderId="27" xfId="2675" applyFont="1" applyBorder="1" applyAlignment="1">
      <alignment horizontal="left" vertical="center" wrapText="1"/>
    </xf>
    <xf numFmtId="298" fontId="284" fillId="0" borderId="1" xfId="2675" applyNumberFormat="1" applyFont="1" applyBorder="1"/>
    <xf numFmtId="298" fontId="283" fillId="53" borderId="1" xfId="2675" applyNumberFormat="1" applyFont="1" applyFill="1" applyBorder="1"/>
    <xf numFmtId="0" fontId="50" fillId="0" borderId="6" xfId="2675" applyFont="1" applyBorder="1" applyAlignment="1">
      <alignment horizontal="center" vertical="center"/>
    </xf>
    <xf numFmtId="0" fontId="50" fillId="0" borderId="6" xfId="2675" applyFont="1" applyBorder="1" applyAlignment="1">
      <alignment horizontal="left" vertical="center"/>
    </xf>
    <xf numFmtId="0" fontId="50" fillId="0" borderId="6" xfId="2675" applyFont="1" applyBorder="1" applyAlignment="1">
      <alignment horizontal="center" vertical="center" wrapText="1"/>
    </xf>
    <xf numFmtId="298" fontId="50" fillId="0" borderId="6" xfId="2675" applyNumberFormat="1" applyFont="1" applyBorder="1" applyAlignment="1">
      <alignment horizontal="center" vertical="center" wrapText="1"/>
    </xf>
    <xf numFmtId="0" fontId="30" fillId="0" borderId="6" xfId="2675" applyFont="1" applyBorder="1" applyAlignment="1">
      <alignment horizontal="left" vertical="center"/>
    </xf>
    <xf numFmtId="0" fontId="30" fillId="0" borderId="6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left" vertical="center"/>
    </xf>
    <xf numFmtId="0" fontId="3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left" vertical="center"/>
    </xf>
    <xf numFmtId="298" fontId="284" fillId="0" borderId="1" xfId="2675" applyNumberFormat="1" applyFont="1" applyBorder="1" applyAlignment="1">
      <alignment horizontal="right"/>
    </xf>
    <xf numFmtId="298" fontId="283" fillId="53" borderId="1" xfId="2675" applyNumberFormat="1" applyFont="1" applyFill="1" applyBorder="1" applyAlignment="1">
      <alignment horizontal="right"/>
    </xf>
    <xf numFmtId="0" fontId="50" fillId="0" borderId="0" xfId="2675" applyFont="1" applyAlignment="1">
      <alignment horizontal="left" vertical="center"/>
    </xf>
    <xf numFmtId="165" fontId="55" fillId="0" borderId="0" xfId="2675" applyNumberFormat="1" applyFont="1" applyAlignment="1">
      <alignment vertical="center"/>
    </xf>
    <xf numFmtId="0" fontId="30" fillId="0" borderId="6" xfId="2675" applyFont="1" applyBorder="1" applyAlignment="1">
      <alignment vertical="center"/>
    </xf>
    <xf numFmtId="0" fontId="30" fillId="0" borderId="49" xfId="2675" applyFont="1" applyBorder="1" applyAlignment="1">
      <alignment vertical="center"/>
    </xf>
    <xf numFmtId="0" fontId="30" fillId="0" borderId="49" xfId="2675" applyFont="1" applyBorder="1" applyAlignment="1">
      <alignment horizontal="center" vertical="center"/>
    </xf>
    <xf numFmtId="298" fontId="284" fillId="0" borderId="0" xfId="2675" applyNumberFormat="1" applyFont="1" applyAlignment="1">
      <alignment horizontal="right"/>
    </xf>
    <xf numFmtId="299" fontId="284" fillId="0" borderId="1" xfId="2675" applyNumberFormat="1" applyFont="1" applyBorder="1"/>
    <xf numFmtId="299" fontId="283" fillId="53" borderId="1" xfId="2675" applyNumberFormat="1" applyFont="1" applyFill="1" applyBorder="1"/>
    <xf numFmtId="165" fontId="30" fillId="0" borderId="0" xfId="2675" applyNumberFormat="1" applyFont="1" applyAlignment="1">
      <alignment vertical="center"/>
    </xf>
    <xf numFmtId="165" fontId="30" fillId="51" borderId="0" xfId="2675" applyNumberFormat="1" applyFont="1" applyFill="1" applyAlignment="1">
      <alignment vertical="center"/>
    </xf>
    <xf numFmtId="4" fontId="55" fillId="0" borderId="0" xfId="2675" applyNumberFormat="1" applyFont="1" applyAlignment="1">
      <alignment vertical="center"/>
    </xf>
    <xf numFmtId="0" fontId="108" fillId="0" borderId="6" xfId="2675" applyFont="1" applyBorder="1" applyAlignment="1">
      <alignment horizontal="center" vertical="center"/>
    </xf>
    <xf numFmtId="0" fontId="108" fillId="0" borderId="6" xfId="2675" applyFont="1" applyBorder="1" applyAlignment="1">
      <alignment vertical="center"/>
    </xf>
    <xf numFmtId="0" fontId="50" fillId="0" borderId="6" xfId="2675" applyFont="1" applyBorder="1" applyAlignment="1">
      <alignment vertical="center"/>
    </xf>
    <xf numFmtId="4" fontId="30" fillId="51" borderId="0" xfId="2675" applyNumberFormat="1" applyFont="1" applyFill="1" applyAlignment="1">
      <alignment vertical="center"/>
    </xf>
    <xf numFmtId="298" fontId="283" fillId="53" borderId="0" xfId="2675" applyNumberFormat="1" applyFont="1" applyFill="1" applyAlignment="1">
      <alignment horizontal="right"/>
    </xf>
    <xf numFmtId="0" fontId="289" fillId="0" borderId="1" xfId="2675" applyFont="1" applyBorder="1" applyAlignment="1">
      <alignment horizontal="right"/>
    </xf>
    <xf numFmtId="0" fontId="291" fillId="53" borderId="1" xfId="2675" applyFont="1" applyFill="1" applyBorder="1" applyAlignment="1">
      <alignment horizontal="right"/>
    </xf>
    <xf numFmtId="0" fontId="291" fillId="0" borderId="1" xfId="2675" applyFont="1" applyBorder="1" applyAlignment="1">
      <alignment horizontal="right"/>
    </xf>
    <xf numFmtId="0" fontId="113" fillId="53" borderId="1" xfId="2675" applyFont="1" applyFill="1" applyBorder="1" applyAlignment="1">
      <alignment vertical="center" wrapText="1"/>
    </xf>
    <xf numFmtId="298" fontId="283" fillId="0" borderId="1" xfId="2675" applyNumberFormat="1" applyFont="1" applyBorder="1" applyAlignment="1">
      <alignment horizontal="right"/>
    </xf>
    <xf numFmtId="298" fontId="283" fillId="0" borderId="1" xfId="2675" applyNumberFormat="1" applyFont="1" applyBorder="1" applyAlignment="1">
      <alignment horizontal="right" indent="1"/>
    </xf>
    <xf numFmtId="14" fontId="132" fillId="0" borderId="0" xfId="2675" applyNumberFormat="1" applyFont="1" applyAlignment="1">
      <alignment vertical="center" wrapText="1"/>
    </xf>
    <xf numFmtId="0" fontId="132" fillId="0" borderId="0" xfId="2675" applyFont="1" applyAlignment="1">
      <alignment vertical="center" wrapText="1"/>
    </xf>
    <xf numFmtId="0" fontId="143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vertical="center" wrapText="1"/>
    </xf>
    <xf numFmtId="289" fontId="132" fillId="0" borderId="1" xfId="2675" quotePrefix="1" applyNumberFormat="1" applyFont="1" applyBorder="1" applyAlignment="1">
      <alignment horizontal="center" vertical="center" wrapText="1"/>
    </xf>
    <xf numFmtId="289" fontId="132" fillId="0" borderId="1" xfId="2675" applyNumberFormat="1" applyFont="1" applyBorder="1" applyAlignment="1">
      <alignment horizontal="center" vertical="center" wrapText="1"/>
    </xf>
    <xf numFmtId="14" fontId="143" fillId="0" borderId="1" xfId="2675" applyNumberFormat="1" applyFont="1" applyBorder="1" applyAlignment="1">
      <alignment horizontal="center" vertical="center" wrapText="1"/>
    </xf>
    <xf numFmtId="0" fontId="132" fillId="0" borderId="0" xfId="2675" applyFont="1" applyAlignment="1">
      <alignment horizontal="center" vertical="center" wrapText="1"/>
    </xf>
    <xf numFmtId="289" fontId="132" fillId="0" borderId="0" xfId="2675" applyNumberFormat="1" applyFont="1" applyAlignment="1">
      <alignment vertical="center" wrapText="1"/>
    </xf>
    <xf numFmtId="0" fontId="110" fillId="0" borderId="0" xfId="2675" applyFont="1" applyAlignment="1">
      <alignment horizontal="center" vertical="center"/>
    </xf>
    <xf numFmtId="0" fontId="108" fillId="0" borderId="0" xfId="2675" applyFont="1" applyAlignment="1">
      <alignment horizontal="center" vertical="center"/>
    </xf>
    <xf numFmtId="0" fontId="110" fillId="0" borderId="24" xfId="2675" applyFont="1" applyBorder="1" applyAlignment="1">
      <alignment horizontal="center" vertical="center"/>
    </xf>
    <xf numFmtId="0" fontId="110" fillId="0" borderId="24" xfId="2675" applyFont="1" applyBorder="1" applyAlignment="1">
      <alignment horizontal="left" vertical="center"/>
    </xf>
    <xf numFmtId="0" fontId="108" fillId="0" borderId="24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left" vertical="center"/>
    </xf>
    <xf numFmtId="3" fontId="108" fillId="0" borderId="27" xfId="2675" applyNumberFormat="1" applyFont="1" applyBorder="1" applyAlignment="1">
      <alignment horizontal="center" vertical="center"/>
    </xf>
    <xf numFmtId="0" fontId="108" fillId="0" borderId="6" xfId="2675" applyFont="1" applyBorder="1" applyAlignment="1">
      <alignment horizontal="left" vertical="center"/>
    </xf>
    <xf numFmtId="3" fontId="108" fillId="0" borderId="6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center" vertical="center"/>
    </xf>
    <xf numFmtId="3" fontId="108" fillId="0" borderId="49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left" vertical="center"/>
    </xf>
    <xf numFmtId="0" fontId="110" fillId="0" borderId="1" xfId="2675" applyFont="1" applyBorder="1" applyAlignment="1">
      <alignment horizontal="left" vertical="center"/>
    </xf>
    <xf numFmtId="0" fontId="108" fillId="51" borderId="50" xfId="2675" applyFont="1" applyFill="1" applyBorder="1" applyAlignment="1">
      <alignment horizontal="center" vertical="center"/>
    </xf>
    <xf numFmtId="0" fontId="108" fillId="51" borderId="50" xfId="2675" applyFont="1" applyFill="1" applyBorder="1" applyAlignment="1">
      <alignment horizontal="left" vertical="center"/>
    </xf>
    <xf numFmtId="3" fontId="108" fillId="51" borderId="49" xfId="2675" applyNumberFormat="1" applyFont="1" applyFill="1" applyBorder="1" applyAlignment="1">
      <alignment horizontal="center" vertical="center"/>
    </xf>
    <xf numFmtId="182" fontId="110" fillId="0" borderId="1" xfId="2675" applyNumberFormat="1" applyFont="1" applyBorder="1" applyAlignment="1">
      <alignment horizontal="center" vertical="center"/>
    </xf>
    <xf numFmtId="0" fontId="108" fillId="0" borderId="50" xfId="2675" applyFont="1" applyBorder="1" applyAlignment="1">
      <alignment horizontal="center" vertical="center"/>
    </xf>
    <xf numFmtId="0" fontId="108" fillId="0" borderId="50" xfId="2675" applyFont="1" applyBorder="1" applyAlignment="1">
      <alignment horizontal="left" vertical="center"/>
    </xf>
    <xf numFmtId="0" fontId="108" fillId="0" borderId="0" xfId="2675" applyFont="1" applyAlignment="1">
      <alignment horizontal="left" vertical="center"/>
    </xf>
    <xf numFmtId="3" fontId="108" fillId="0" borderId="0" xfId="2675" applyNumberFormat="1" applyFont="1" applyAlignment="1">
      <alignment horizontal="center" vertical="center"/>
    </xf>
    <xf numFmtId="0" fontId="110" fillId="0" borderId="48" xfId="2675" applyFont="1" applyBorder="1" applyAlignment="1">
      <alignment horizontal="center" vertical="center"/>
    </xf>
    <xf numFmtId="0" fontId="279" fillId="52" borderId="0" xfId="2675" applyFont="1" applyFill="1" applyAlignment="1">
      <alignment vertical="center"/>
    </xf>
    <xf numFmtId="0" fontId="108" fillId="0" borderId="52" xfId="2675" applyFont="1" applyBorder="1" applyAlignment="1">
      <alignment vertical="center"/>
    </xf>
    <xf numFmtId="0" fontId="108" fillId="0" borderId="16" xfId="2675" applyFont="1" applyBorder="1" applyAlignment="1">
      <alignment horizontal="center" vertical="center"/>
    </xf>
    <xf numFmtId="0" fontId="108" fillId="0" borderId="31" xfId="2675" applyFont="1" applyBorder="1" applyAlignment="1">
      <alignment horizontal="center" vertical="center"/>
    </xf>
    <xf numFmtId="0" fontId="108" fillId="0" borderId="52" xfId="2675" applyFont="1" applyBorder="1" applyAlignment="1">
      <alignment horizontal="left" vertical="center"/>
    </xf>
    <xf numFmtId="0" fontId="108" fillId="0" borderId="54" xfId="2675" applyFont="1" applyBorder="1" applyAlignment="1">
      <alignment horizontal="left" vertical="center" wrapText="1"/>
    </xf>
    <xf numFmtId="0" fontId="108" fillId="0" borderId="55" xfId="2675" applyFont="1" applyBorder="1" applyAlignment="1">
      <alignment horizontal="center" vertical="center"/>
    </xf>
    <xf numFmtId="0" fontId="136" fillId="33" borderId="0" xfId="2675" applyFont="1" applyFill="1"/>
    <xf numFmtId="0" fontId="131" fillId="33" borderId="0" xfId="2675" applyFont="1" applyFill="1"/>
    <xf numFmtId="0" fontId="108" fillId="0" borderId="0" xfId="2675" applyFont="1"/>
    <xf numFmtId="220" fontId="287" fillId="0" borderId="27" xfId="2675" applyNumberFormat="1" applyFont="1" applyBorder="1" applyAlignment="1">
      <alignment horizontal="center" vertical="center"/>
    </xf>
    <xf numFmtId="3" fontId="287" fillId="0" borderId="27" xfId="2675" applyNumberFormat="1" applyFont="1" applyBorder="1" applyAlignment="1">
      <alignment vertical="center"/>
    </xf>
    <xf numFmtId="3" fontId="108" fillId="0" borderId="1" xfId="2675" applyNumberFormat="1" applyFont="1" applyBorder="1" applyAlignment="1">
      <alignment vertical="center"/>
    </xf>
    <xf numFmtId="0" fontId="269" fillId="0" borderId="1" xfId="2675" applyFont="1" applyBorder="1" applyAlignment="1">
      <alignment horizontal="left" vertical="center"/>
    </xf>
    <xf numFmtId="0" fontId="110" fillId="0" borderId="1" xfId="2093" applyFont="1" applyBorder="1" applyAlignment="1">
      <alignment horizontal="justify" vertical="center" wrapText="1"/>
    </xf>
    <xf numFmtId="0" fontId="108" fillId="0" borderId="56" xfId="2093" applyFont="1" applyBorder="1" applyAlignment="1">
      <alignment horizontal="justify" vertical="center" wrapText="1"/>
    </xf>
    <xf numFmtId="0" fontId="108" fillId="0" borderId="70" xfId="2113" applyFont="1" applyBorder="1" applyAlignment="1">
      <alignment horizontal="justify" vertical="center" wrapText="1"/>
    </xf>
    <xf numFmtId="293" fontId="129" fillId="33" borderId="1" xfId="2114" applyNumberFormat="1" applyFont="1" applyFill="1" applyBorder="1" applyAlignment="1">
      <alignment horizontal="center" vertical="center" wrapText="1"/>
    </xf>
    <xf numFmtId="220" fontId="129" fillId="0" borderId="1" xfId="1823" applyNumberFormat="1" applyFont="1" applyFill="1" applyBorder="1" applyAlignment="1">
      <alignment horizontal="center" vertical="center"/>
    </xf>
    <xf numFmtId="3" fontId="129" fillId="0" borderId="1" xfId="2675" applyNumberFormat="1" applyFont="1" applyBorder="1" applyAlignment="1">
      <alignment horizontal="right" vertical="center"/>
    </xf>
    <xf numFmtId="290" fontId="129" fillId="33" borderId="1" xfId="2114" applyNumberFormat="1" applyFont="1" applyFill="1" applyBorder="1" applyAlignment="1">
      <alignment horizontal="center" vertical="center" wrapText="1"/>
    </xf>
    <xf numFmtId="290" fontId="140" fillId="33" borderId="1" xfId="2114" applyNumberFormat="1" applyFont="1" applyFill="1" applyBorder="1" applyAlignment="1">
      <alignment horizontal="center" vertical="center" wrapText="1"/>
    </xf>
    <xf numFmtId="309" fontId="129" fillId="33" borderId="1" xfId="2114" applyNumberFormat="1" applyFont="1" applyFill="1" applyBorder="1" applyAlignment="1">
      <alignment horizontal="center" vertical="center" wrapText="1"/>
    </xf>
    <xf numFmtId="311" fontId="129" fillId="33" borderId="1" xfId="2114" applyNumberFormat="1" applyFont="1" applyFill="1" applyBorder="1" applyAlignment="1">
      <alignment horizontal="center" vertical="center" wrapText="1"/>
    </xf>
    <xf numFmtId="3" fontId="108" fillId="0" borderId="6" xfId="1822" applyNumberFormat="1" applyFont="1" applyFill="1" applyBorder="1" applyAlignment="1">
      <alignment horizontal="right" vertical="center"/>
    </xf>
    <xf numFmtId="0" fontId="30" fillId="0" borderId="0" xfId="0" applyFont="1"/>
    <xf numFmtId="182" fontId="30" fillId="0" borderId="1" xfId="2093" applyNumberFormat="1" applyFont="1" applyBorder="1" applyAlignment="1">
      <alignment vertical="center"/>
    </xf>
    <xf numFmtId="312" fontId="30" fillId="0" borderId="0" xfId="2093" applyNumberFormat="1" applyFont="1" applyAlignment="1">
      <alignment vertical="center"/>
    </xf>
    <xf numFmtId="0" fontId="108" fillId="0" borderId="51" xfId="2675" applyFont="1" applyBorder="1" applyAlignment="1">
      <alignment vertical="center"/>
    </xf>
    <xf numFmtId="4" fontId="108" fillId="0" borderId="72" xfId="1822" applyNumberFormat="1" applyFont="1" applyBorder="1" applyAlignment="1">
      <alignment horizontal="center" vertical="center"/>
    </xf>
    <xf numFmtId="3" fontId="134" fillId="0" borderId="27" xfId="1822" applyNumberFormat="1" applyFont="1" applyBorder="1" applyAlignment="1">
      <alignment horizontal="center" vertical="center"/>
    </xf>
    <xf numFmtId="4" fontId="108" fillId="0" borderId="27" xfId="1822" applyNumberFormat="1" applyFont="1" applyBorder="1" applyAlignment="1">
      <alignment horizontal="center" vertical="center"/>
    </xf>
    <xf numFmtId="3" fontId="108" fillId="0" borderId="27" xfId="1822" applyNumberFormat="1" applyFont="1" applyBorder="1" applyAlignment="1">
      <alignment horizontal="right" vertical="center"/>
    </xf>
    <xf numFmtId="4" fontId="108" fillId="0" borderId="31" xfId="1822" applyNumberFormat="1" applyFont="1" applyBorder="1" applyAlignment="1">
      <alignment horizontal="center" vertical="center"/>
    </xf>
    <xf numFmtId="4" fontId="108" fillId="0" borderId="6" xfId="1822" applyNumberFormat="1" applyFont="1" applyBorder="1" applyAlignment="1">
      <alignment horizontal="center" vertical="center"/>
    </xf>
    <xf numFmtId="0" fontId="267" fillId="0" borderId="0" xfId="2675" applyFont="1" applyAlignment="1">
      <alignment vertical="center"/>
    </xf>
    <xf numFmtId="0" fontId="269" fillId="0" borderId="0" xfId="2093" applyFont="1" applyAlignment="1">
      <alignment vertical="center"/>
    </xf>
    <xf numFmtId="0" fontId="271" fillId="0" borderId="0" xfId="2093" applyFont="1" applyAlignment="1">
      <alignment vertical="center"/>
    </xf>
    <xf numFmtId="0" fontId="271" fillId="0" borderId="0" xfId="2093" applyFont="1" applyAlignment="1">
      <alignment vertical="center" wrapText="1"/>
    </xf>
    <xf numFmtId="0" fontId="272" fillId="0" borderId="0" xfId="2093" applyFont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7" fillId="0" borderId="0" xfId="2675" applyFont="1" applyAlignment="1">
      <alignment horizontal="center" vertical="center" wrapText="1"/>
    </xf>
    <xf numFmtId="0" fontId="53" fillId="0" borderId="24" xfId="2675" applyFont="1" applyBorder="1" applyAlignment="1">
      <alignment vertical="center"/>
    </xf>
    <xf numFmtId="0" fontId="53" fillId="0" borderId="24" xfId="2675" applyFont="1" applyBorder="1" applyAlignment="1">
      <alignment horizontal="center" vertical="center"/>
    </xf>
    <xf numFmtId="0" fontId="53" fillId="0" borderId="24" xfId="2675" applyFont="1" applyBorder="1" applyAlignment="1">
      <alignment horizontal="center" vertical="center" wrapText="1"/>
    </xf>
    <xf numFmtId="0" fontId="53" fillId="0" borderId="57" xfId="2675" applyFont="1" applyBorder="1" applyAlignment="1">
      <alignment horizontal="center" vertical="center" wrapText="1"/>
    </xf>
    <xf numFmtId="0" fontId="53" fillId="0" borderId="1" xfId="2675" applyFont="1" applyBorder="1" applyAlignment="1">
      <alignment horizontal="center" vertical="center"/>
    </xf>
    <xf numFmtId="0" fontId="53" fillId="0" borderId="1" xfId="2675" applyFont="1" applyBorder="1" applyAlignment="1">
      <alignment horizontal="left" vertical="center"/>
    </xf>
    <xf numFmtId="0" fontId="52" fillId="0" borderId="1" xfId="2675" applyFont="1" applyBorder="1"/>
    <xf numFmtId="0" fontId="30" fillId="0" borderId="1" xfId="2675" applyFont="1" applyBorder="1"/>
    <xf numFmtId="0" fontId="274" fillId="0" borderId="0" xfId="2093" applyFont="1" applyAlignment="1">
      <alignment vertical="center"/>
    </xf>
    <xf numFmtId="0" fontId="52" fillId="0" borderId="56" xfId="2675" applyFont="1" applyBorder="1" applyAlignment="1">
      <alignment horizontal="center" vertical="center"/>
    </xf>
    <xf numFmtId="0" fontId="52" fillId="0" borderId="56" xfId="2675" applyFont="1" applyBorder="1" applyAlignment="1">
      <alignment horizontal="left" vertical="center"/>
    </xf>
    <xf numFmtId="0" fontId="53" fillId="0" borderId="56" xfId="2675" applyFont="1" applyBorder="1" applyAlignment="1">
      <alignment horizontal="center" vertical="center"/>
    </xf>
    <xf numFmtId="182" fontId="52" fillId="0" borderId="56" xfId="1822" applyNumberFormat="1" applyFont="1" applyFill="1" applyBorder="1" applyAlignment="1">
      <alignment vertical="center"/>
    </xf>
    <xf numFmtId="182" fontId="30" fillId="0" borderId="56" xfId="1822" applyNumberFormat="1" applyFont="1" applyFill="1" applyBorder="1" applyAlignment="1">
      <alignment vertical="center"/>
    </xf>
    <xf numFmtId="0" fontId="52" fillId="0" borderId="2" xfId="2675" applyFont="1" applyBorder="1" applyAlignment="1">
      <alignment horizontal="center" vertical="center"/>
    </xf>
    <xf numFmtId="0" fontId="52" fillId="0" borderId="2" xfId="2675" applyFont="1" applyBorder="1" applyAlignment="1">
      <alignment horizontal="left" vertical="center"/>
    </xf>
    <xf numFmtId="0" fontId="53" fillId="0" borderId="2" xfId="2675" applyFont="1" applyBorder="1" applyAlignment="1">
      <alignment horizontal="center" vertical="center"/>
    </xf>
    <xf numFmtId="182" fontId="52" fillId="0" borderId="2" xfId="1822" applyNumberFormat="1" applyFont="1" applyFill="1" applyBorder="1" applyAlignment="1">
      <alignment vertical="center"/>
    </xf>
    <xf numFmtId="182" fontId="30" fillId="0" borderId="2" xfId="1822" applyNumberFormat="1" applyFont="1" applyFill="1" applyBorder="1" applyAlignment="1">
      <alignment vertical="center"/>
    </xf>
    <xf numFmtId="182" fontId="274" fillId="0" borderId="0" xfId="1822" applyNumberFormat="1" applyFont="1" applyFill="1" applyAlignment="1">
      <alignment vertical="center"/>
    </xf>
    <xf numFmtId="0" fontId="52" fillId="0" borderId="62" xfId="2675" applyFont="1" applyBorder="1" applyAlignment="1">
      <alignment horizontal="center" vertical="center"/>
    </xf>
    <xf numFmtId="0" fontId="52" fillId="0" borderId="62" xfId="2675" applyFont="1" applyBorder="1" applyAlignment="1">
      <alignment horizontal="left" vertical="center"/>
    </xf>
    <xf numFmtId="0" fontId="53" fillId="0" borderId="62" xfId="2675" applyFont="1" applyBorder="1" applyAlignment="1">
      <alignment horizontal="center" vertical="center"/>
    </xf>
    <xf numFmtId="182" fontId="52" fillId="0" borderId="62" xfId="1822" applyNumberFormat="1" applyFont="1" applyFill="1" applyBorder="1" applyAlignment="1">
      <alignment vertical="center"/>
    </xf>
    <xf numFmtId="182" fontId="30" fillId="0" borderId="62" xfId="1822" applyNumberFormat="1" applyFont="1" applyFill="1" applyBorder="1" applyAlignment="1">
      <alignment vertical="center"/>
    </xf>
    <xf numFmtId="182" fontId="274" fillId="0" borderId="0" xfId="2093" applyNumberFormat="1" applyFont="1" applyAlignment="1">
      <alignment vertical="center"/>
    </xf>
    <xf numFmtId="0" fontId="52" fillId="0" borderId="1" xfId="2675" applyFont="1" applyBorder="1" applyAlignment="1">
      <alignment horizontal="center" vertical="center"/>
    </xf>
    <xf numFmtId="0" fontId="52" fillId="0" borderId="1" xfId="2675" applyFont="1" applyBorder="1" applyAlignment="1">
      <alignment horizontal="left" vertical="center"/>
    </xf>
    <xf numFmtId="182" fontId="53" fillId="0" borderId="1" xfId="1822" applyNumberFormat="1" applyFont="1" applyFill="1" applyBorder="1" applyAlignment="1">
      <alignment vertical="center"/>
    </xf>
    <xf numFmtId="182" fontId="275" fillId="0" borderId="0" xfId="2093" applyNumberFormat="1" applyFont="1" applyAlignment="1">
      <alignment vertical="center"/>
    </xf>
    <xf numFmtId="0" fontId="275" fillId="0" borderId="0" xfId="2093" applyFont="1" applyAlignment="1">
      <alignment vertical="center"/>
    </xf>
    <xf numFmtId="182" fontId="52" fillId="0" borderId="1" xfId="1822" applyNumberFormat="1" applyFont="1" applyFill="1" applyBorder="1" applyAlignment="1">
      <alignment vertical="center"/>
    </xf>
    <xf numFmtId="182" fontId="30" fillId="0" borderId="1" xfId="1822" applyNumberFormat="1" applyFont="1" applyFill="1" applyBorder="1" applyAlignment="1">
      <alignment vertical="center"/>
    </xf>
    <xf numFmtId="0" fontId="276" fillId="0" borderId="0" xfId="2093" applyFont="1" applyAlignment="1">
      <alignment vertical="center"/>
    </xf>
    <xf numFmtId="0" fontId="307" fillId="0" borderId="1" xfId="2675" applyFont="1" applyBorder="1" applyAlignment="1">
      <alignment horizontal="center" vertical="center"/>
    </xf>
    <xf numFmtId="308" fontId="52" fillId="0" borderId="56" xfId="2675" applyNumberFormat="1" applyFont="1" applyBorder="1" applyAlignment="1">
      <alignment horizontal="center" vertical="center"/>
    </xf>
    <xf numFmtId="291" fontId="52" fillId="0" borderId="56" xfId="2675" applyNumberFormat="1" applyFont="1" applyBorder="1" applyAlignment="1">
      <alignment horizontal="center" vertical="center"/>
    </xf>
    <xf numFmtId="308" fontId="52" fillId="0" borderId="2" xfId="2675" applyNumberFormat="1" applyFont="1" applyBorder="1" applyAlignment="1">
      <alignment horizontal="center" vertical="center"/>
    </xf>
    <xf numFmtId="292" fontId="52" fillId="0" borderId="2" xfId="2675" applyNumberFormat="1" applyFont="1" applyBorder="1" applyAlignment="1">
      <alignment horizontal="center" vertical="center"/>
    </xf>
    <xf numFmtId="291" fontId="52" fillId="0" borderId="2" xfId="2675" applyNumberFormat="1" applyFont="1" applyBorder="1" applyAlignment="1">
      <alignment horizontal="center" vertical="center"/>
    </xf>
    <xf numFmtId="182" fontId="269" fillId="0" borderId="0" xfId="2093" applyNumberFormat="1" applyFont="1" applyAlignment="1">
      <alignment vertical="center"/>
    </xf>
    <xf numFmtId="302" fontId="267" fillId="0" borderId="2" xfId="2675" applyNumberFormat="1" applyFont="1" applyBorder="1" applyAlignment="1">
      <alignment horizontal="center" vertical="center"/>
    </xf>
    <xf numFmtId="182" fontId="267" fillId="0" borderId="2" xfId="1822" applyNumberFormat="1" applyFont="1" applyFill="1" applyBorder="1" applyAlignment="1">
      <alignment vertical="center"/>
    </xf>
    <xf numFmtId="308" fontId="52" fillId="0" borderId="62" xfId="2675" applyNumberFormat="1" applyFont="1" applyBorder="1" applyAlignment="1">
      <alignment horizontal="center" vertical="center"/>
    </xf>
    <xf numFmtId="310" fontId="52" fillId="0" borderId="62" xfId="2675" applyNumberFormat="1" applyFont="1" applyBorder="1" applyAlignment="1">
      <alignment horizontal="center" vertical="center"/>
    </xf>
    <xf numFmtId="165" fontId="275" fillId="0" borderId="0" xfId="2093" applyNumberFormat="1" applyFont="1" applyAlignment="1">
      <alignment vertical="center"/>
    </xf>
    <xf numFmtId="165" fontId="269" fillId="0" borderId="0" xfId="2093" applyNumberFormat="1" applyFont="1" applyAlignment="1">
      <alignment vertical="center"/>
    </xf>
    <xf numFmtId="0" fontId="308" fillId="0" borderId="0" xfId="2675" applyFont="1" applyAlignment="1">
      <alignment horizontal="center" vertical="center"/>
    </xf>
    <xf numFmtId="0" fontId="308" fillId="0" borderId="7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51" fillId="0" borderId="0" xfId="2675" applyFont="1" applyAlignment="1">
      <alignment vertical="center"/>
    </xf>
    <xf numFmtId="0" fontId="104" fillId="0" borderId="0" xfId="2675" applyFont="1" applyAlignment="1">
      <alignment vertical="center"/>
    </xf>
    <xf numFmtId="0" fontId="273" fillId="0" borderId="0" xfId="2675" applyFont="1" applyAlignment="1">
      <alignment vertical="center" wrapText="1"/>
    </xf>
    <xf numFmtId="0" fontId="273" fillId="0" borderId="0" xfId="2675" applyFont="1" applyAlignment="1">
      <alignment horizontal="left" vertical="center" wrapText="1"/>
    </xf>
    <xf numFmtId="0" fontId="268" fillId="0" borderId="0" xfId="2675" applyFont="1" applyAlignment="1">
      <alignment vertical="center"/>
    </xf>
    <xf numFmtId="0" fontId="304" fillId="0" borderId="0" xfId="2675" applyFont="1" applyAlignment="1">
      <alignment vertical="center"/>
    </xf>
    <xf numFmtId="0" fontId="114" fillId="0" borderId="1" xfId="2675" applyFont="1" applyBorder="1" applyAlignment="1">
      <alignment horizontal="center" vertical="center"/>
    </xf>
    <xf numFmtId="0" fontId="304" fillId="0" borderId="1" xfId="2675" applyFont="1" applyBorder="1" applyAlignment="1">
      <alignment vertical="center"/>
    </xf>
    <xf numFmtId="0" fontId="323" fillId="0" borderId="1" xfId="2675" applyFont="1" applyBorder="1" applyAlignment="1">
      <alignment vertical="center"/>
    </xf>
    <xf numFmtId="165" fontId="323" fillId="0" borderId="1" xfId="2675" applyNumberFormat="1" applyFont="1" applyBorder="1" applyAlignment="1">
      <alignment vertical="center"/>
    </xf>
    <xf numFmtId="0" fontId="323" fillId="0" borderId="0" xfId="2675" applyFont="1" applyAlignment="1">
      <alignment vertical="center"/>
    </xf>
    <xf numFmtId="0" fontId="324" fillId="0" borderId="0" xfId="2675" applyFont="1" applyAlignment="1">
      <alignment horizontal="center" vertical="center"/>
    </xf>
    <xf numFmtId="10" fontId="114" fillId="0" borderId="1" xfId="2138" applyNumberFormat="1" applyFont="1" applyBorder="1" applyAlignment="1">
      <alignment vertical="center"/>
    </xf>
    <xf numFmtId="176" fontId="323" fillId="0" borderId="0" xfId="2675" applyNumberFormat="1" applyFont="1" applyAlignment="1">
      <alignment vertical="center"/>
    </xf>
    <xf numFmtId="10" fontId="323" fillId="0" borderId="1" xfId="2138" applyNumberFormat="1" applyFont="1" applyBorder="1" applyAlignment="1">
      <alignment vertical="center"/>
    </xf>
    <xf numFmtId="165" fontId="304" fillId="0" borderId="0" xfId="2675" applyNumberFormat="1" applyFont="1" applyAlignment="1">
      <alignment vertical="center"/>
    </xf>
    <xf numFmtId="0" fontId="325" fillId="0" borderId="0" xfId="2083" applyFont="1" applyAlignment="1">
      <alignment horizontal="left" vertical="center"/>
    </xf>
    <xf numFmtId="165" fontId="304" fillId="0" borderId="0" xfId="2083" applyNumberFormat="1" applyFont="1" applyAlignment="1">
      <alignment vertical="center"/>
    </xf>
    <xf numFmtId="0" fontId="304" fillId="0" borderId="0" xfId="2083" applyFont="1" applyAlignment="1">
      <alignment vertical="center"/>
    </xf>
    <xf numFmtId="0" fontId="326" fillId="0" borderId="0" xfId="2675" applyFont="1" applyAlignment="1">
      <alignment horizontal="center" vertical="center"/>
    </xf>
    <xf numFmtId="165" fontId="290" fillId="0" borderId="0" xfId="2675" applyNumberFormat="1" applyFont="1" applyAlignment="1">
      <alignment horizontal="center" vertical="center"/>
    </xf>
    <xf numFmtId="0" fontId="2" fillId="0" borderId="1" xfId="2675" applyFont="1" applyBorder="1" applyAlignment="1">
      <alignment horizontal="right"/>
    </xf>
    <xf numFmtId="0" fontId="327" fillId="0" borderId="0" xfId="2678" applyFont="1" applyAlignment="1">
      <alignment vertical="center"/>
    </xf>
    <xf numFmtId="0" fontId="307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right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wrapText="1"/>
    </xf>
    <xf numFmtId="297" fontId="328" fillId="0" borderId="1" xfId="2678" applyNumberFormat="1" applyFont="1" applyBorder="1" applyAlignment="1">
      <alignment horizontal="center" vertical="center" shrinkToFit="1"/>
    </xf>
    <xf numFmtId="297" fontId="328" fillId="0" borderId="1" xfId="2678" applyNumberFormat="1" applyFont="1" applyBorder="1" applyAlignment="1">
      <alignment horizontal="center" vertical="center" wrapText="1"/>
    </xf>
    <xf numFmtId="297" fontId="328" fillId="0" borderId="0" xfId="2678" applyNumberFormat="1" applyFont="1" applyAlignment="1">
      <alignment horizontal="center" vertical="center" wrapText="1"/>
    </xf>
    <xf numFmtId="297" fontId="328" fillId="56" borderId="0" xfId="2678" applyNumberFormat="1" applyFont="1" applyFill="1" applyAlignment="1">
      <alignment horizontal="center" vertical="center" wrapText="1"/>
    </xf>
    <xf numFmtId="0" fontId="30" fillId="0" borderId="1" xfId="2682" applyFont="1" applyBorder="1" applyAlignment="1">
      <alignment horizontal="center" vertical="center"/>
    </xf>
    <xf numFmtId="0" fontId="327" fillId="0" borderId="0" xfId="2678" applyFont="1" applyAlignment="1">
      <alignment horizontal="center" vertical="center"/>
    </xf>
    <xf numFmtId="0" fontId="327" fillId="53" borderId="0" xfId="2678" applyFont="1" applyFill="1" applyAlignment="1">
      <alignment horizontal="center" vertical="center"/>
    </xf>
    <xf numFmtId="220" fontId="327" fillId="0" borderId="0" xfId="2678" applyNumberFormat="1" applyFont="1" applyAlignment="1">
      <alignment vertical="center"/>
    </xf>
    <xf numFmtId="0" fontId="327" fillId="0" borderId="0" xfId="2678" applyFont="1" applyAlignment="1">
      <alignment horizontal="center" vertical="center" shrinkToFit="1"/>
    </xf>
    <xf numFmtId="0" fontId="327" fillId="0" borderId="0" xfId="2678" applyFont="1" applyAlignment="1">
      <alignment horizontal="right" vertical="center"/>
    </xf>
    <xf numFmtId="0" fontId="329" fillId="0" borderId="0" xfId="2678" applyFont="1" applyAlignment="1">
      <alignment vertical="center"/>
    </xf>
    <xf numFmtId="0" fontId="329" fillId="0" borderId="0" xfId="2678" applyFont="1" applyAlignment="1">
      <alignment horizontal="center" vertical="center"/>
    </xf>
    <xf numFmtId="0" fontId="114" fillId="0" borderId="57" xfId="2675" applyFont="1" applyBorder="1" applyAlignment="1">
      <alignment horizontal="center" vertical="center"/>
    </xf>
    <xf numFmtId="0" fontId="113" fillId="0" borderId="57" xfId="2675" applyFont="1" applyBorder="1" applyAlignment="1">
      <alignment vertical="center"/>
    </xf>
    <xf numFmtId="0" fontId="113" fillId="0" borderId="1" xfId="2675" applyFont="1" applyBorder="1" applyAlignment="1">
      <alignment vertical="center"/>
    </xf>
    <xf numFmtId="165" fontId="113" fillId="0" borderId="1" xfId="2675" applyNumberFormat="1" applyFont="1" applyBorder="1" applyAlignment="1">
      <alignment vertical="center"/>
    </xf>
    <xf numFmtId="10" fontId="113" fillId="0" borderId="1" xfId="2138" applyNumberFormat="1" applyFont="1" applyBorder="1" applyAlignment="1">
      <alignment vertical="center"/>
    </xf>
    <xf numFmtId="176" fontId="113" fillId="0" borderId="0" xfId="2675" applyNumberFormat="1" applyFont="1" applyAlignment="1">
      <alignment vertical="center"/>
    </xf>
    <xf numFmtId="0" fontId="330" fillId="0" borderId="0" xfId="2675" applyFont="1" applyAlignment="1">
      <alignment vertical="center"/>
    </xf>
    <xf numFmtId="176" fontId="330" fillId="0" borderId="0" xfId="2675" applyNumberFormat="1" applyFont="1" applyAlignment="1">
      <alignment vertical="center"/>
    </xf>
    <xf numFmtId="0" fontId="113" fillId="0" borderId="0" xfId="2675" applyFont="1" applyAlignment="1">
      <alignment vertical="center"/>
    </xf>
    <xf numFmtId="0" fontId="323" fillId="0" borderId="57" xfId="2675" applyFont="1" applyBorder="1" applyAlignment="1">
      <alignment vertical="center"/>
    </xf>
    <xf numFmtId="0" fontId="316" fillId="0" borderId="0" xfId="2675" applyFont="1" applyAlignment="1">
      <alignment vertical="center"/>
    </xf>
    <xf numFmtId="165" fontId="316" fillId="0" borderId="0" xfId="2675" applyNumberFormat="1" applyFont="1" applyAlignment="1">
      <alignment vertical="center"/>
    </xf>
    <xf numFmtId="10" fontId="316" fillId="0" borderId="0" xfId="2138" applyNumberFormat="1" applyFont="1" applyBorder="1" applyAlignment="1">
      <alignment vertical="center"/>
    </xf>
    <xf numFmtId="176" fontId="316" fillId="0" borderId="0" xfId="2675" applyNumberFormat="1" applyFont="1" applyAlignment="1">
      <alignment vertical="center"/>
    </xf>
    <xf numFmtId="0" fontId="136" fillId="0" borderId="1" xfId="0" applyFont="1" applyBorder="1" applyAlignment="1">
      <alignment horizontal="center" vertical="center"/>
    </xf>
    <xf numFmtId="315" fontId="136" fillId="0" borderId="1" xfId="0" applyNumberFormat="1" applyFont="1" applyBorder="1" applyAlignment="1">
      <alignment horizontal="center" vertical="center"/>
    </xf>
    <xf numFmtId="182" fontId="307" fillId="0" borderId="1" xfId="1822" applyNumberFormat="1" applyFont="1" applyBorder="1" applyAlignment="1">
      <alignment vertical="center"/>
    </xf>
    <xf numFmtId="182" fontId="284" fillId="0" borderId="1" xfId="1822" applyNumberFormat="1" applyFont="1" applyBorder="1" applyAlignment="1">
      <alignment vertical="center"/>
    </xf>
    <xf numFmtId="182" fontId="284" fillId="0" borderId="0" xfId="1822" applyNumberFormat="1" applyFont="1" applyBorder="1" applyAlignment="1">
      <alignment vertical="center"/>
    </xf>
    <xf numFmtId="0" fontId="331" fillId="53" borderId="0" xfId="0" applyFont="1" applyFill="1" applyAlignment="1">
      <alignment horizontal="center" vertical="center" wrapText="1"/>
    </xf>
    <xf numFmtId="0" fontId="331" fillId="0" borderId="0" xfId="2093" applyFont="1" applyAlignment="1">
      <alignment vertical="center"/>
    </xf>
    <xf numFmtId="182" fontId="283" fillId="0" borderId="1" xfId="1822" applyNumberFormat="1" applyFont="1" applyBorder="1" applyAlignment="1">
      <alignment vertical="center"/>
    </xf>
    <xf numFmtId="182" fontId="283" fillId="0" borderId="12" xfId="1822" applyNumberFormat="1" applyFont="1" applyBorder="1" applyAlignment="1">
      <alignment vertical="center"/>
    </xf>
    <xf numFmtId="182" fontId="307" fillId="0" borderId="12" xfId="1822" applyNumberFormat="1" applyFont="1" applyBorder="1" applyAlignment="1">
      <alignment vertical="center"/>
    </xf>
    <xf numFmtId="0" fontId="284" fillId="0" borderId="0" xfId="2093" applyFont="1" applyAlignment="1">
      <alignment vertical="center"/>
    </xf>
    <xf numFmtId="0" fontId="285" fillId="0" borderId="0" xfId="0" applyFont="1" applyAlignment="1">
      <alignment horizontal="left" vertical="center"/>
    </xf>
    <xf numFmtId="0" fontId="106" fillId="0" borderId="75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77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2" fillId="0" borderId="64" xfId="0" applyFont="1" applyBorder="1" applyAlignment="1">
      <alignment vertical="center" wrapText="1"/>
    </xf>
    <xf numFmtId="0" fontId="52" fillId="0" borderId="79" xfId="0" applyFont="1" applyBorder="1" applyAlignment="1">
      <alignment horizontal="center" vertical="center" wrapText="1"/>
    </xf>
    <xf numFmtId="0" fontId="52" fillId="0" borderId="80" xfId="0" applyFont="1" applyBorder="1" applyAlignment="1">
      <alignment horizontal="center" vertical="center" wrapText="1"/>
    </xf>
    <xf numFmtId="0" fontId="52" fillId="0" borderId="81" xfId="0" applyFont="1" applyBorder="1" applyAlignment="1">
      <alignment vertical="center" wrapText="1"/>
    </xf>
    <xf numFmtId="0" fontId="52" fillId="0" borderId="82" xfId="0" applyFont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/>
    </xf>
    <xf numFmtId="0" fontId="106" fillId="56" borderId="1" xfId="2678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right" vertical="center" wrapText="1"/>
    </xf>
    <xf numFmtId="297" fontId="106" fillId="56" borderId="1" xfId="2678" applyNumberFormat="1" applyFont="1" applyFill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 wrapText="1"/>
    </xf>
    <xf numFmtId="314" fontId="106" fillId="56" borderId="1" xfId="2678" applyNumberFormat="1" applyFont="1" applyFill="1" applyBorder="1" applyAlignment="1">
      <alignment horizontal="right" vertical="center" wrapText="1"/>
    </xf>
    <xf numFmtId="1" fontId="106" fillId="56" borderId="1" xfId="2678" applyNumberFormat="1" applyFont="1" applyFill="1" applyBorder="1" applyAlignment="1">
      <alignment horizontal="center" vertical="center" wrapText="1"/>
    </xf>
    <xf numFmtId="0" fontId="279" fillId="0" borderId="1" xfId="2678" applyFont="1" applyBorder="1" applyAlignment="1">
      <alignment horizontal="center" vertical="center" shrinkToFit="1"/>
    </xf>
    <xf numFmtId="0" fontId="279" fillId="0" borderId="1" xfId="2678" applyFont="1" applyBorder="1" applyAlignment="1">
      <alignment horizontal="center" vertical="center"/>
    </xf>
    <xf numFmtId="220" fontId="279" fillId="0" borderId="1" xfId="2678" applyNumberFormat="1" applyFont="1" applyBorder="1" applyAlignment="1">
      <alignment horizontal="center" vertical="center" wrapText="1"/>
    </xf>
    <xf numFmtId="220" fontId="279" fillId="0" borderId="1" xfId="2678" applyNumberFormat="1" applyFont="1" applyBorder="1" applyAlignment="1">
      <alignment horizontal="left" vertical="center"/>
    </xf>
    <xf numFmtId="314" fontId="279" fillId="0" borderId="1" xfId="2678" applyNumberFormat="1" applyFont="1" applyBorder="1" applyAlignment="1">
      <alignment horizontal="center" vertical="center" wrapText="1"/>
    </xf>
    <xf numFmtId="314" fontId="279" fillId="0" borderId="1" xfId="2678" applyNumberFormat="1" applyFont="1" applyBorder="1" applyAlignment="1">
      <alignment horizontal="right" vertical="center" wrapText="1"/>
    </xf>
    <xf numFmtId="314" fontId="279" fillId="0" borderId="1" xfId="2678" applyNumberFormat="1" applyFont="1" applyBorder="1" applyAlignment="1">
      <alignment horizontal="right" vertical="center"/>
    </xf>
    <xf numFmtId="220" fontId="279" fillId="0" borderId="1" xfId="2678" applyNumberFormat="1" applyFont="1" applyBorder="1" applyAlignment="1">
      <alignment horizontal="center" vertical="center"/>
    </xf>
    <xf numFmtId="0" fontId="106" fillId="0" borderId="1" xfId="2678" applyFont="1" applyBorder="1" applyAlignment="1">
      <alignment horizontal="center" vertical="center" shrinkToFit="1"/>
    </xf>
    <xf numFmtId="314" fontId="106" fillId="0" borderId="1" xfId="2678" applyNumberFormat="1" applyFont="1" applyBorder="1" applyAlignment="1">
      <alignment horizontal="right" vertical="center"/>
    </xf>
    <xf numFmtId="314" fontId="106" fillId="0" borderId="1" xfId="2678" applyNumberFormat="1" applyFont="1" applyBorder="1" applyAlignment="1">
      <alignment vertical="center"/>
    </xf>
    <xf numFmtId="314" fontId="106" fillId="0" borderId="1" xfId="2678" applyNumberFormat="1" applyFont="1" applyBorder="1" applyAlignment="1">
      <alignment horizontal="center" vertical="center" wrapText="1"/>
    </xf>
    <xf numFmtId="314" fontId="106" fillId="0" borderId="1" xfId="2678" applyNumberFormat="1" applyFont="1" applyBorder="1" applyAlignment="1">
      <alignment horizontal="right" vertical="center" wrapText="1"/>
    </xf>
    <xf numFmtId="0" fontId="106" fillId="0" borderId="1" xfId="2678" applyFont="1" applyBorder="1" applyAlignment="1">
      <alignment horizontal="center" vertical="center"/>
    </xf>
    <xf numFmtId="0" fontId="50" fillId="0" borderId="1" xfId="2678" applyFont="1" applyBorder="1" applyAlignment="1">
      <alignment horizontal="left" vertical="center" shrinkToFit="1"/>
    </xf>
    <xf numFmtId="220" fontId="106" fillId="0" borderId="1" xfId="2678" applyNumberFormat="1" applyFont="1" applyBorder="1" applyAlignment="1">
      <alignment horizontal="center" vertical="center"/>
    </xf>
    <xf numFmtId="0" fontId="106" fillId="53" borderId="1" xfId="2678" applyFont="1" applyFill="1" applyBorder="1" applyAlignment="1">
      <alignment horizontal="center" vertical="center" shrinkToFit="1"/>
    </xf>
    <xf numFmtId="0" fontId="106" fillId="53" borderId="1" xfId="2678" applyFont="1" applyFill="1" applyBorder="1" applyAlignment="1">
      <alignment vertical="center"/>
    </xf>
    <xf numFmtId="2" fontId="106" fillId="53" borderId="1" xfId="2678" applyNumberFormat="1" applyFont="1" applyFill="1" applyBorder="1" applyAlignment="1">
      <alignment horizontal="right" vertical="center"/>
    </xf>
    <xf numFmtId="2" fontId="106" fillId="53" borderId="1" xfId="2678" applyNumberFormat="1" applyFont="1" applyFill="1" applyBorder="1" applyAlignment="1">
      <alignment vertical="center"/>
    </xf>
    <xf numFmtId="0" fontId="106" fillId="53" borderId="1" xfId="2678" applyFont="1" applyFill="1" applyBorder="1" applyAlignment="1">
      <alignment horizontal="center" vertical="center"/>
    </xf>
    <xf numFmtId="314" fontId="106" fillId="53" borderId="1" xfId="2678" applyNumberFormat="1" applyFont="1" applyFill="1" applyBorder="1" applyAlignment="1">
      <alignment horizontal="right" vertical="center" wrapText="1"/>
    </xf>
    <xf numFmtId="1" fontId="106" fillId="53" borderId="1" xfId="2678" applyNumberFormat="1" applyFont="1" applyFill="1" applyBorder="1" applyAlignment="1">
      <alignment horizontal="center" vertical="center" wrapText="1"/>
    </xf>
    <xf numFmtId="0" fontId="279" fillId="56" borderId="0" xfId="2678" applyFont="1" applyFill="1" applyAlignment="1">
      <alignment horizontal="center" vertical="center"/>
    </xf>
    <xf numFmtId="0" fontId="106" fillId="0" borderId="24" xfId="2678" applyFont="1" applyBorder="1" applyAlignment="1">
      <alignment horizontal="center" vertical="center" wrapText="1"/>
    </xf>
    <xf numFmtId="297" fontId="50" fillId="0" borderId="1" xfId="2675" applyNumberFormat="1" applyFont="1" applyBorder="1" applyAlignment="1">
      <alignment horizontal="left" vertical="center"/>
    </xf>
    <xf numFmtId="1" fontId="56" fillId="0" borderId="1" xfId="2675" quotePrefix="1" applyNumberFormat="1" applyFont="1" applyBorder="1" applyAlignment="1">
      <alignment horizontal="center" vertical="center"/>
    </xf>
    <xf numFmtId="297" fontId="56" fillId="0" borderId="1" xfId="2675" applyNumberFormat="1" applyFont="1" applyBorder="1" applyAlignment="1">
      <alignment vertical="center"/>
    </xf>
    <xf numFmtId="314" fontId="56" fillId="0" borderId="1" xfId="2675" applyNumberFormat="1" applyFont="1" applyBorder="1" applyAlignment="1">
      <alignment vertical="center"/>
    </xf>
    <xf numFmtId="165" fontId="56" fillId="0" borderId="1" xfId="1822" applyFont="1" applyBorder="1" applyAlignment="1">
      <alignment horizontal="center" vertical="center"/>
    </xf>
    <xf numFmtId="297" fontId="56" fillId="0" borderId="1" xfId="2675" applyNumberFormat="1" applyFont="1" applyBorder="1" applyAlignment="1">
      <alignment horizontal="center" vertical="center" wrapText="1"/>
    </xf>
    <xf numFmtId="1" fontId="50" fillId="0" borderId="1" xfId="2675" quotePrefix="1" applyNumberFormat="1" applyFont="1" applyBorder="1" applyAlignment="1">
      <alignment horizontal="center" vertical="center"/>
    </xf>
    <xf numFmtId="297" fontId="50" fillId="0" borderId="1" xfId="2675" applyNumberFormat="1" applyFont="1" applyBorder="1" applyAlignment="1">
      <alignment vertical="center"/>
    </xf>
    <xf numFmtId="0" fontId="332" fillId="0" borderId="0" xfId="2083" applyFont="1" applyAlignment="1">
      <alignment vertical="center"/>
    </xf>
    <xf numFmtId="313" fontId="50" fillId="0" borderId="0" xfId="1822" applyNumberFormat="1" applyFont="1" applyBorder="1" applyAlignment="1">
      <alignment vertical="center"/>
    </xf>
    <xf numFmtId="0" fontId="136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136" fillId="0" borderId="0" xfId="2093" applyFont="1" applyAlignment="1">
      <alignment horizontal="center" vertical="center" wrapText="1"/>
    </xf>
    <xf numFmtId="181" fontId="110" fillId="0" borderId="1" xfId="1822" applyNumberFormat="1" applyFont="1" applyFill="1" applyBorder="1" applyAlignment="1">
      <alignment horizontal="center" vertical="center"/>
    </xf>
    <xf numFmtId="165" fontId="108" fillId="0" borderId="0" xfId="1822" applyFont="1" applyFill="1" applyBorder="1" applyAlignment="1">
      <alignment horizontal="center" vertical="center" wrapText="1"/>
    </xf>
    <xf numFmtId="165" fontId="108" fillId="0" borderId="61" xfId="1822" applyFont="1" applyFill="1" applyBorder="1" applyAlignment="1">
      <alignment horizontal="center" vertical="center" wrapText="1"/>
    </xf>
    <xf numFmtId="0" fontId="137" fillId="0" borderId="0" xfId="2093" applyFont="1" applyAlignment="1">
      <alignment horizontal="center" vertical="center"/>
    </xf>
    <xf numFmtId="0" fontId="110" fillId="0" borderId="24" xfId="2093" applyFont="1" applyBorder="1" applyAlignment="1">
      <alignment horizontal="center" vertical="center" wrapText="1"/>
    </xf>
    <xf numFmtId="0" fontId="110" fillId="0" borderId="12" xfId="2093" applyFont="1" applyBorder="1" applyAlignment="1">
      <alignment horizontal="center" vertical="center" wrapText="1"/>
    </xf>
    <xf numFmtId="0" fontId="307" fillId="0" borderId="0" xfId="2678" applyFont="1" applyAlignment="1">
      <alignment horizontal="center" vertical="center" wrapText="1"/>
    </xf>
    <xf numFmtId="0" fontId="328" fillId="0" borderId="73" xfId="2678" applyFont="1" applyBorder="1" applyAlignment="1">
      <alignment horizontal="center" vertical="center" wrapText="1"/>
    </xf>
    <xf numFmtId="0" fontId="328" fillId="0" borderId="71" xfId="2678" applyFont="1" applyBorder="1" applyAlignment="1">
      <alignment horizontal="center" vertical="center" wrapText="1"/>
    </xf>
    <xf numFmtId="0" fontId="328" fillId="0" borderId="74" xfId="2678" applyFont="1" applyBorder="1" applyAlignment="1">
      <alignment horizontal="center" vertical="center" wrapText="1"/>
    </xf>
    <xf numFmtId="0" fontId="328" fillId="0" borderId="24" xfId="2678" applyFont="1" applyBorder="1" applyAlignment="1">
      <alignment horizontal="center" vertical="center" wrapText="1"/>
    </xf>
    <xf numFmtId="0" fontId="328" fillId="0" borderId="12" xfId="2678" applyFont="1" applyBorder="1" applyAlignment="1">
      <alignment horizontal="center" vertical="center" wrapText="1"/>
    </xf>
    <xf numFmtId="0" fontId="328" fillId="0" borderId="21" xfId="2678" applyFont="1" applyBorder="1" applyAlignment="1">
      <alignment horizontal="center" vertical="center" wrapText="1"/>
    </xf>
    <xf numFmtId="0" fontId="328" fillId="0" borderId="57" xfId="2678" applyFont="1" applyBorder="1" applyAlignment="1">
      <alignment horizontal="center" vertical="center" wrapText="1"/>
    </xf>
    <xf numFmtId="0" fontId="328" fillId="0" borderId="18" xfId="2678" applyFont="1" applyBorder="1" applyAlignment="1">
      <alignment horizontal="center" vertical="center" wrapText="1"/>
    </xf>
    <xf numFmtId="49" fontId="328" fillId="0" borderId="0" xfId="2678" applyNumberFormat="1" applyFont="1" applyAlignment="1">
      <alignment horizontal="center" vertical="center" wrapText="1"/>
    </xf>
    <xf numFmtId="0" fontId="329" fillId="0" borderId="0" xfId="2678" applyFont="1" applyAlignment="1">
      <alignment horizontal="center" vertical="center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shrinkToFit="1"/>
    </xf>
    <xf numFmtId="0" fontId="328" fillId="0" borderId="1" xfId="2678" applyFont="1" applyBorder="1" applyAlignment="1">
      <alignment horizontal="center" vertical="center" wrapText="1"/>
    </xf>
    <xf numFmtId="0" fontId="53" fillId="0" borderId="0" xfId="2675" applyFont="1" applyAlignment="1">
      <alignment horizontal="center" vertical="center"/>
    </xf>
    <xf numFmtId="0" fontId="50" fillId="0" borderId="0" xfId="2675" applyFont="1" applyAlignment="1">
      <alignment horizontal="center" vertical="center"/>
    </xf>
    <xf numFmtId="49" fontId="50" fillId="0" borderId="0" xfId="2675" applyNumberFormat="1" applyFont="1" applyAlignment="1">
      <alignment horizontal="center" vertical="center" wrapText="1"/>
    </xf>
    <xf numFmtId="0" fontId="50" fillId="0" borderId="0" xfId="2675" applyFont="1" applyAlignment="1">
      <alignment horizontal="center" vertical="center" wrapText="1"/>
    </xf>
    <xf numFmtId="0" fontId="30" fillId="0" borderId="0" xfId="2083" quotePrefix="1" applyFont="1" applyAlignment="1">
      <alignment horizontal="left" vertical="center" wrapText="1"/>
    </xf>
    <xf numFmtId="0" fontId="50" fillId="0" borderId="24" xfId="2675" applyFont="1" applyBorder="1" applyAlignment="1">
      <alignment horizontal="center" vertical="center"/>
    </xf>
    <xf numFmtId="0" fontId="50" fillId="0" borderId="12" xfId="2675" applyFont="1" applyBorder="1" applyAlignment="1">
      <alignment horizontal="center" vertical="center"/>
    </xf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50" fillId="0" borderId="24" xfId="2675" applyFont="1" applyBorder="1" applyAlignment="1">
      <alignment horizontal="center" vertical="center" wrapText="1"/>
    </xf>
    <xf numFmtId="0" fontId="50" fillId="0" borderId="12" xfId="2675" applyFont="1" applyBorder="1" applyAlignment="1">
      <alignment horizontal="center" vertical="center" wrapText="1"/>
    </xf>
    <xf numFmtId="0" fontId="292" fillId="0" borderId="45" xfId="2675" applyFont="1" applyBorder="1" applyAlignment="1">
      <alignment horizontal="center" vertical="center" wrapText="1"/>
    </xf>
    <xf numFmtId="0" fontId="292" fillId="0" borderId="46" xfId="2675" applyFont="1" applyBorder="1" applyAlignment="1">
      <alignment horizontal="center" vertical="center" wrapText="1"/>
    </xf>
    <xf numFmtId="0" fontId="292" fillId="0" borderId="67" xfId="2675" applyFont="1" applyBorder="1" applyAlignment="1">
      <alignment horizontal="center" vertical="center" wrapText="1"/>
    </xf>
    <xf numFmtId="0" fontId="50" fillId="0" borderId="69" xfId="2675" applyFont="1" applyBorder="1" applyAlignment="1">
      <alignment horizontal="center" vertical="center" wrapText="1"/>
    </xf>
    <xf numFmtId="0" fontId="50" fillId="0" borderId="17" xfId="2675" applyFont="1" applyBorder="1" applyAlignment="1">
      <alignment horizontal="center" vertical="center" wrapText="1"/>
    </xf>
    <xf numFmtId="0" fontId="50" fillId="0" borderId="63" xfId="2675" applyFont="1" applyBorder="1" applyAlignment="1">
      <alignment horizontal="center" vertical="center" wrapText="1"/>
    </xf>
    <xf numFmtId="0" fontId="301" fillId="0" borderId="45" xfId="2675" applyFont="1" applyBorder="1" applyAlignment="1">
      <alignment horizontal="center" vertical="center" wrapText="1"/>
    </xf>
    <xf numFmtId="0" fontId="301" fillId="0" borderId="67" xfId="2675" applyFont="1" applyBorder="1" applyAlignment="1">
      <alignment horizontal="center" vertical="center" wrapText="1"/>
    </xf>
    <xf numFmtId="0" fontId="305" fillId="0" borderId="45" xfId="2675" applyFont="1" applyBorder="1" applyAlignment="1">
      <alignment horizontal="center" vertical="center" wrapText="1"/>
    </xf>
    <xf numFmtId="0" fontId="305" fillId="0" borderId="67" xfId="2675" applyFont="1" applyBorder="1" applyAlignment="1">
      <alignment horizontal="center" vertical="center" wrapText="1"/>
    </xf>
    <xf numFmtId="0" fontId="305" fillId="0" borderId="69" xfId="2675" applyFont="1" applyBorder="1" applyAlignment="1">
      <alignment horizontal="center" vertical="center" wrapText="1"/>
    </xf>
    <xf numFmtId="0" fontId="305" fillId="0" borderId="17" xfId="2675" applyFont="1" applyBorder="1" applyAlignment="1">
      <alignment horizontal="center" vertical="center" wrapText="1"/>
    </xf>
    <xf numFmtId="0" fontId="305" fillId="0" borderId="63" xfId="2675" applyFont="1" applyBorder="1" applyAlignment="1">
      <alignment horizontal="center" vertical="center" wrapText="1"/>
    </xf>
    <xf numFmtId="0" fontId="301" fillId="0" borderId="46" xfId="2675" applyFont="1" applyBorder="1" applyAlignment="1">
      <alignment horizontal="center" vertical="center" wrapText="1"/>
    </xf>
    <xf numFmtId="0" fontId="301" fillId="0" borderId="69" xfId="2675" applyFont="1" applyBorder="1" applyAlignment="1">
      <alignment horizontal="center" vertical="center" wrapText="1"/>
    </xf>
    <xf numFmtId="0" fontId="301" fillId="0" borderId="17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56" fillId="0" borderId="0" xfId="2675" applyFont="1" applyAlignment="1">
      <alignment horizontal="center" vertical="center" wrapText="1"/>
    </xf>
    <xf numFmtId="0" fontId="270" fillId="0" borderId="0" xfId="2675" applyFont="1" applyAlignment="1">
      <alignment horizontal="center" vertical="center"/>
    </xf>
    <xf numFmtId="49" fontId="53" fillId="0" borderId="0" xfId="2675" applyNumberFormat="1" applyFont="1" applyAlignment="1">
      <alignment horizontal="center" vertical="center" wrapText="1"/>
    </xf>
    <xf numFmtId="0" fontId="53" fillId="0" borderId="0" xfId="2675" applyFont="1" applyAlignment="1">
      <alignment horizontal="center" vertical="center" wrapText="1"/>
    </xf>
    <xf numFmtId="0" fontId="54" fillId="0" borderId="0" xfId="2675" applyFont="1" applyAlignment="1">
      <alignment horizontal="center" vertical="center" wrapText="1"/>
    </xf>
    <xf numFmtId="0" fontId="273" fillId="0" borderId="0" xfId="2675" applyFont="1" applyAlignment="1">
      <alignment horizontal="left" vertical="center" wrapText="1"/>
    </xf>
    <xf numFmtId="0" fontId="308" fillId="0" borderId="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50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0" fillId="0" borderId="50" xfId="2675" applyFont="1" applyBorder="1" applyAlignment="1">
      <alignment horizontal="center" vertical="center" wrapText="1"/>
    </xf>
    <xf numFmtId="0" fontId="50" fillId="0" borderId="51" xfId="2675" applyFont="1" applyBorder="1" applyAlignment="1">
      <alignment horizontal="center" vertical="center" wrapText="1"/>
    </xf>
    <xf numFmtId="0" fontId="50" fillId="0" borderId="53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0" fontId="53" fillId="0" borderId="0" xfId="2083" applyFont="1" applyAlignment="1">
      <alignment horizontal="center" vertical="center" wrapText="1"/>
    </xf>
    <xf numFmtId="0" fontId="53" fillId="0" borderId="0" xfId="2083" applyFont="1" applyAlignment="1">
      <alignment horizontal="center" vertical="center"/>
    </xf>
    <xf numFmtId="0" fontId="50" fillId="0" borderId="0" xfId="2093" applyFont="1" applyAlignment="1">
      <alignment horizontal="center" vertical="center"/>
    </xf>
    <xf numFmtId="0" fontId="50" fillId="0" borderId="1" xfId="2093" applyFont="1" applyBorder="1" applyAlignment="1">
      <alignment horizontal="center" vertical="center"/>
    </xf>
    <xf numFmtId="0" fontId="50" fillId="0" borderId="1" xfId="2093" applyFont="1" applyBorder="1" applyAlignment="1">
      <alignment horizontal="center" vertical="center" wrapText="1"/>
    </xf>
    <xf numFmtId="0" fontId="50" fillId="0" borderId="1" xfId="2083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 wrapText="1"/>
    </xf>
    <xf numFmtId="0" fontId="132" fillId="0" borderId="1" xfId="2112" applyFont="1" applyBorder="1" applyAlignment="1">
      <alignment horizontal="center" vertical="center"/>
    </xf>
    <xf numFmtId="0" fontId="143" fillId="0" borderId="0" xfId="2112" applyFont="1" applyAlignment="1">
      <alignment horizontal="center" vertical="center"/>
    </xf>
    <xf numFmtId="0" fontId="110" fillId="0" borderId="0" xfId="2112" applyFont="1" applyAlignment="1">
      <alignment horizontal="center" vertical="center" wrapText="1"/>
    </xf>
    <xf numFmtId="0" fontId="110" fillId="0" borderId="0" xfId="2112" applyFont="1" applyAlignment="1">
      <alignment horizontal="center" vertical="center"/>
    </xf>
    <xf numFmtId="0" fontId="110" fillId="0" borderId="0" xfId="2675" applyFont="1" applyAlignment="1">
      <alignment horizontal="center" vertical="center" wrapText="1"/>
    </xf>
    <xf numFmtId="0" fontId="110" fillId="0" borderId="0" xfId="2675" applyFont="1" applyAlignment="1">
      <alignment horizontal="center" vertical="center"/>
    </xf>
    <xf numFmtId="0" fontId="293" fillId="0" borderId="0" xfId="2088" applyFont="1" applyAlignment="1">
      <alignment horizontal="center" vertical="center"/>
    </xf>
    <xf numFmtId="0" fontId="293" fillId="0" borderId="0" xfId="2091" applyFont="1" applyAlignment="1" applyProtection="1">
      <alignment horizontal="center" vertical="center"/>
    </xf>
    <xf numFmtId="0" fontId="294" fillId="0" borderId="59" xfId="2091" applyFont="1" applyBorder="1" applyAlignment="1" applyProtection="1">
      <alignment horizontal="center" vertical="center"/>
    </xf>
    <xf numFmtId="0" fontId="294" fillId="0" borderId="0" xfId="2091" applyFont="1" applyAlignment="1" applyProtection="1">
      <alignment horizontal="center" vertical="center"/>
    </xf>
    <xf numFmtId="0" fontId="50" fillId="0" borderId="60" xfId="2091" applyFont="1" applyBorder="1" applyAlignment="1" applyProtection="1">
      <alignment horizontal="center" vertical="center" wrapText="1"/>
    </xf>
    <xf numFmtId="0" fontId="50" fillId="0" borderId="1" xfId="2091" applyFont="1" applyBorder="1" applyAlignment="1" applyProtection="1">
      <alignment horizontal="center" vertical="center" wrapText="1"/>
    </xf>
    <xf numFmtId="0" fontId="42" fillId="0" borderId="0" xfId="2088" applyFont="1" applyAlignment="1">
      <alignment horizontal="center" vertical="center"/>
    </xf>
    <xf numFmtId="0" fontId="293" fillId="0" borderId="0" xfId="2088" applyFont="1" applyAlignment="1">
      <alignment horizontal="center"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292" fontId="52" fillId="0" borderId="21" xfId="2675" applyNumberFormat="1" applyFont="1" applyBorder="1" applyAlignment="1">
      <alignment horizontal="center" vertical="center"/>
    </xf>
    <xf numFmtId="292" fontId="52" fillId="0" borderId="57" xfId="2675" applyNumberFormat="1" applyFont="1" applyBorder="1" applyAlignment="1">
      <alignment horizontal="center" vertical="center"/>
    </xf>
    <xf numFmtId="0" fontId="299" fillId="54" borderId="1" xfId="2083" applyFont="1" applyFill="1" applyBorder="1" applyAlignment="1">
      <alignment horizontal="center" vertical="center" wrapText="1"/>
    </xf>
    <xf numFmtId="0" fontId="300" fillId="0" borderId="24" xfId="2091" applyFont="1" applyBorder="1" applyAlignment="1" applyProtection="1">
      <alignment horizontal="center" vertical="center" wrapText="1"/>
    </xf>
    <xf numFmtId="0" fontId="300" fillId="0" borderId="12" xfId="2091" applyFont="1" applyBorder="1" applyAlignment="1" applyProtection="1">
      <alignment horizontal="center" vertical="center" wrapText="1"/>
    </xf>
    <xf numFmtId="182" fontId="50" fillId="55" borderId="0" xfId="1822" applyNumberFormat="1" applyFont="1" applyFill="1" applyAlignment="1">
      <alignment horizontal="left"/>
    </xf>
    <xf numFmtId="0" fontId="143" fillId="0" borderId="0" xfId="2675" applyFont="1" applyAlignment="1">
      <alignment horizontal="center" vertical="center" wrapText="1"/>
    </xf>
    <xf numFmtId="0" fontId="143" fillId="0" borderId="0" xfId="2675" applyFont="1" applyAlignment="1">
      <alignment horizontal="center" vertical="center"/>
    </xf>
    <xf numFmtId="49" fontId="136" fillId="0" borderId="0" xfId="2675" applyNumberFormat="1" applyFont="1" applyAlignment="1">
      <alignment horizontal="center" vertical="center" wrapText="1"/>
    </xf>
    <xf numFmtId="0" fontId="136" fillId="0" borderId="0" xfId="2675" applyFont="1" applyAlignment="1">
      <alignment horizontal="center" vertical="center" wrapText="1"/>
    </xf>
    <xf numFmtId="0" fontId="111" fillId="33" borderId="24" xfId="2114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 wrapText="1"/>
    </xf>
    <xf numFmtId="0" fontId="111" fillId="33" borderId="57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/>
    </xf>
    <xf numFmtId="0" fontId="111" fillId="33" borderId="18" xfId="2114" applyFont="1" applyFill="1" applyBorder="1" applyAlignment="1">
      <alignment horizontal="center" vertical="center"/>
    </xf>
    <xf numFmtId="0" fontId="111" fillId="33" borderId="57" xfId="2114" applyFont="1" applyFill="1" applyBorder="1" applyAlignment="1">
      <alignment horizontal="center" vertical="center"/>
    </xf>
    <xf numFmtId="0" fontId="134" fillId="33" borderId="12" xfId="2675" applyFont="1" applyFill="1" applyBorder="1"/>
    <xf numFmtId="0" fontId="136" fillId="0" borderId="0" xfId="2114" applyFont="1" applyAlignment="1">
      <alignment horizontal="center"/>
    </xf>
    <xf numFmtId="0" fontId="143" fillId="0" borderId="0" xfId="2114" applyFont="1" applyAlignment="1">
      <alignment horizontal="center"/>
    </xf>
    <xf numFmtId="0" fontId="143" fillId="0" borderId="0" xfId="2114" applyFont="1" applyAlignment="1">
      <alignment horizontal="center" vertical="center"/>
    </xf>
    <xf numFmtId="184" fontId="143" fillId="0" borderId="0" xfId="2114" applyNumberFormat="1" applyFont="1" applyAlignment="1">
      <alignment horizontal="center" vertical="center"/>
    </xf>
    <xf numFmtId="14" fontId="129" fillId="33" borderId="24" xfId="2114" quotePrefix="1" applyNumberFormat="1" applyFont="1" applyFill="1" applyBorder="1" applyAlignment="1">
      <alignment horizontal="center" vertical="center" wrapText="1"/>
    </xf>
    <xf numFmtId="14" fontId="129" fillId="33" borderId="36" xfId="2114" quotePrefix="1" applyNumberFormat="1" applyFont="1" applyFill="1" applyBorder="1" applyAlignment="1">
      <alignment horizontal="center" vertical="center" wrapText="1"/>
    </xf>
    <xf numFmtId="14" fontId="129" fillId="33" borderId="12" xfId="2114" quotePrefix="1" applyNumberFormat="1" applyFont="1" applyFill="1" applyBorder="1" applyAlignment="1">
      <alignment horizontal="center" vertical="center" wrapText="1"/>
    </xf>
    <xf numFmtId="1" fontId="129" fillId="33" borderId="24" xfId="2114" quotePrefix="1" applyNumberFormat="1" applyFont="1" applyFill="1" applyBorder="1" applyAlignment="1">
      <alignment horizontal="center" vertical="center" wrapText="1"/>
    </xf>
    <xf numFmtId="1" fontId="129" fillId="33" borderId="36" xfId="2114" quotePrefix="1" applyNumberFormat="1" applyFont="1" applyFill="1" applyBorder="1" applyAlignment="1">
      <alignment horizontal="center" vertical="center" wrapText="1"/>
    </xf>
    <xf numFmtId="1" fontId="129" fillId="33" borderId="12" xfId="2114" quotePrefix="1" applyNumberFormat="1" applyFont="1" applyFill="1" applyBorder="1" applyAlignment="1">
      <alignment horizontal="center" vertical="center" wrapText="1"/>
    </xf>
    <xf numFmtId="0" fontId="143" fillId="0" borderId="48" xfId="2675" applyFont="1" applyBorder="1" applyAlignment="1">
      <alignment horizontal="center" vertical="center" wrapText="1"/>
    </xf>
    <xf numFmtId="184" fontId="136" fillId="0" borderId="0" xfId="2114" applyNumberFormat="1" applyFont="1" applyAlignment="1">
      <alignment horizontal="center"/>
    </xf>
    <xf numFmtId="0" fontId="111" fillId="33" borderId="1" xfId="2114" applyFont="1" applyFill="1" applyBorder="1" applyAlignment="1">
      <alignment horizontal="center" vertical="center"/>
    </xf>
    <xf numFmtId="0" fontId="129" fillId="33" borderId="24" xfId="2114" applyFont="1" applyFill="1" applyBorder="1" applyAlignment="1">
      <alignment horizontal="center" vertical="center" wrapText="1"/>
    </xf>
    <xf numFmtId="0" fontId="129" fillId="33" borderId="36" xfId="2114" applyFont="1" applyFill="1" applyBorder="1" applyAlignment="1">
      <alignment horizontal="center" vertical="center" wrapText="1"/>
    </xf>
    <xf numFmtId="14" fontId="129" fillId="33" borderId="50" xfId="2114" quotePrefix="1" applyNumberFormat="1" applyFont="1" applyFill="1" applyBorder="1" applyAlignment="1">
      <alignment horizontal="center" vertical="center" wrapText="1"/>
    </xf>
    <xf numFmtId="14" fontId="129" fillId="33" borderId="36" xfId="2114" applyNumberFormat="1" applyFont="1" applyFill="1" applyBorder="1" applyAlignment="1">
      <alignment horizontal="center" vertical="center" wrapText="1"/>
    </xf>
    <xf numFmtId="3" fontId="50" fillId="0" borderId="58" xfId="1822" applyNumberFormat="1" applyFont="1" applyBorder="1" applyAlignment="1">
      <alignment horizontal="center" vertical="center"/>
    </xf>
    <xf numFmtId="3" fontId="50" fillId="0" borderId="48" xfId="1822" applyNumberFormat="1" applyFont="1" applyBorder="1" applyAlignment="1">
      <alignment horizontal="center" vertical="center"/>
    </xf>
    <xf numFmtId="0" fontId="316" fillId="0" borderId="0" xfId="2093" applyFont="1" applyAlignment="1">
      <alignment horizontal="center" vertical="center"/>
    </xf>
    <xf numFmtId="0" fontId="304" fillId="0" borderId="71" xfId="2093" applyFont="1" applyBorder="1" applyAlignment="1">
      <alignment horizontal="left" vertical="center" wrapText="1"/>
    </xf>
    <xf numFmtId="0" fontId="50" fillId="0" borderId="48" xfId="2093" applyFont="1" applyBorder="1" applyAlignment="1">
      <alignment horizontal="center" vertical="center"/>
    </xf>
    <xf numFmtId="0" fontId="50" fillId="0" borderId="27" xfId="2093" applyFont="1" applyBorder="1" applyAlignment="1">
      <alignment horizontal="center" vertical="center"/>
    </xf>
    <xf numFmtId="0" fontId="50" fillId="0" borderId="50" xfId="2093" applyFont="1" applyBorder="1" applyAlignment="1">
      <alignment horizontal="center" vertical="center"/>
    </xf>
    <xf numFmtId="2" fontId="50" fillId="0" borderId="27" xfId="1822" applyNumberFormat="1" applyFont="1" applyBorder="1" applyAlignment="1">
      <alignment horizontal="center" vertical="center"/>
    </xf>
    <xf numFmtId="2" fontId="50" fillId="0" borderId="50" xfId="1822" applyNumberFormat="1" applyFont="1" applyBorder="1" applyAlignment="1">
      <alignment horizontal="center" vertical="center"/>
    </xf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</cellXfs>
  <cellStyles count="2683">
    <cellStyle name="_x0001_" xfId="1" xr:uid="{00000000-0005-0000-0000-000000000000}"/>
    <cellStyle name="          _x000d__x000a_shell=progman.exe_x000d__x000a_m" xfId="2" xr:uid="{00000000-0005-0000-0000-000001000000}"/>
    <cellStyle name=" (2)" xfId="3" xr:uid="{00000000-0005-0000-0000-000002000000}"/>
    <cellStyle name="#,##0" xfId="4" xr:uid="{00000000-0005-0000-0000-000003000000}"/>
    <cellStyle name="%" xfId="5" xr:uid="{00000000-0005-0000-0000-000004000000}"/>
    <cellStyle name=",." xfId="6" xr:uid="{00000000-0005-0000-0000-000005000000}"/>
    <cellStyle name="." xfId="7" xr:uid="{00000000-0005-0000-0000-000006000000}"/>
    <cellStyle name="??" xfId="8" xr:uid="{00000000-0005-0000-0000-000007000000}"/>
    <cellStyle name="?? [ - ??1" xfId="9" xr:uid="{00000000-0005-0000-0000-000008000000}"/>
    <cellStyle name="?? [ - ??2" xfId="10" xr:uid="{00000000-0005-0000-0000-000009000000}"/>
    <cellStyle name="?? [ - ??3" xfId="11" xr:uid="{00000000-0005-0000-0000-00000A000000}"/>
    <cellStyle name="?? [ - ??4" xfId="12" xr:uid="{00000000-0005-0000-0000-00000B000000}"/>
    <cellStyle name="?? [ - ??5" xfId="13" xr:uid="{00000000-0005-0000-0000-00000C000000}"/>
    <cellStyle name="?? [ - ??6" xfId="14" xr:uid="{00000000-0005-0000-0000-00000D000000}"/>
    <cellStyle name="?? [ - ??7" xfId="15" xr:uid="{00000000-0005-0000-0000-00000E000000}"/>
    <cellStyle name="?? [ - ??8" xfId="16" xr:uid="{00000000-0005-0000-0000-00000F000000}"/>
    <cellStyle name="?? [0.00]_      " xfId="17" xr:uid="{00000000-0005-0000-0000-000010000000}"/>
    <cellStyle name="?? [0]" xfId="18" xr:uid="{00000000-0005-0000-0000-000011000000}"/>
    <cellStyle name="?? [0] 2" xfId="19" xr:uid="{00000000-0005-0000-0000-000012000000}"/>
    <cellStyle name="?? [0] 3" xfId="2664" xr:uid="{00000000-0005-0000-0000-000013000000}"/>
    <cellStyle name="?? 2" xfId="20" xr:uid="{00000000-0005-0000-0000-000014000000}"/>
    <cellStyle name="?? 3" xfId="21" xr:uid="{00000000-0005-0000-0000-000015000000}"/>
    <cellStyle name="?? 4" xfId="22" xr:uid="{00000000-0005-0000-0000-000016000000}"/>
    <cellStyle name="?? 5" xfId="23" xr:uid="{00000000-0005-0000-0000-000017000000}"/>
    <cellStyle name="?? 6" xfId="24" xr:uid="{00000000-0005-0000-0000-000018000000}"/>
    <cellStyle name="?? 7" xfId="2663" xr:uid="{00000000-0005-0000-0000-000019000000}"/>
    <cellStyle name="?_x001d_??%U©÷u&amp;H©÷9_x0008_?_x0009_s_x000a__x0007__x0001__x0001_" xfId="25" xr:uid="{00000000-0005-0000-0000-00001A000000}"/>
    <cellStyle name="???? [0.00]_      " xfId="26" xr:uid="{00000000-0005-0000-0000-00001B000000}"/>
    <cellStyle name="??????" xfId="27" xr:uid="{00000000-0005-0000-0000-00001C000000}"/>
    <cellStyle name="????_      " xfId="28" xr:uid="{00000000-0005-0000-0000-00001D000000}"/>
    <cellStyle name="???[0]_?? DI" xfId="29" xr:uid="{00000000-0005-0000-0000-00001E000000}"/>
    <cellStyle name="???_?? DI" xfId="30" xr:uid="{00000000-0005-0000-0000-00001F000000}"/>
    <cellStyle name="???R?Àok1" xfId="31" xr:uid="{00000000-0005-0000-0000-000020000000}"/>
    <cellStyle name="??[0]_BRE" xfId="32" xr:uid="{00000000-0005-0000-0000-000021000000}"/>
    <cellStyle name="??_      " xfId="33" xr:uid="{00000000-0005-0000-0000-000022000000}"/>
    <cellStyle name="?_x001d_?¤_x000c_¯?_x0014__x000d_¨?U_x0001_À_x0004_ _x0015__x000f__x0001__x0001_" xfId="34" xr:uid="{00000000-0005-0000-0000-000023000000}"/>
    <cellStyle name="?_x001d_?·_x000c_æ?'_x000d_ß?U_x0001_Ø_x0005_ü_x0014__x0007__x0001__x0001_" xfId="35" xr:uid="{00000000-0005-0000-0000-000024000000}"/>
    <cellStyle name="??A? [0]_laroux_1_¢¬???¢â? " xfId="36" xr:uid="{00000000-0005-0000-0000-000025000000}"/>
    <cellStyle name="??A?_laroux_1_¢¬???¢â? " xfId="37" xr:uid="{00000000-0005-0000-0000-000026000000}"/>
    <cellStyle name="??Ç%U?&amp;H?_x0008_?s_x000a__x0007__x0001__x0001_" xfId="38" xr:uid="{00000000-0005-0000-0000-000027000000}"/>
    <cellStyle name="?_x001d_?Ç%U?—&amp;H?9_x0008_Ÿ_x0009_s_x000a__x0007__x0001__x0001_" xfId="39" xr:uid="{00000000-0005-0000-0000-000028000000}"/>
    <cellStyle name="?_x001d_?K_x000c_F?_x001b__x000d_9?U_x0001_?_x0008_¦)_x0007__x0001__x0001_" xfId="40" xr:uid="{00000000-0005-0000-0000-000029000000}"/>
    <cellStyle name="?¡±¢¥?_?¨ù??¢´¢¥_¢¬???¢â? " xfId="41" xr:uid="{00000000-0005-0000-0000-00002A000000}"/>
    <cellStyle name="_x0001_?¶æµ_x001b_ºß­ " xfId="42" xr:uid="{00000000-0005-0000-0000-00002B000000}"/>
    <cellStyle name="_x0001_?¶æµ_x001b_ºß­_" xfId="43" xr:uid="{00000000-0005-0000-0000-00002C000000}"/>
    <cellStyle name="?ðÇ%U?&amp;H?_x0008_?s_x000a__x0007__x0001__x0001_" xfId="44" xr:uid="{00000000-0005-0000-0000-00002D000000}"/>
    <cellStyle name="_x0001_\Ô" xfId="45" xr:uid="{00000000-0005-0000-0000-00002E000000}"/>
    <cellStyle name="_?_BOOKSHIP" xfId="46" xr:uid="{00000000-0005-0000-0000-00002F000000}"/>
    <cellStyle name="__ [0.00]_PRODUCT DETAIL Q1" xfId="47" xr:uid="{00000000-0005-0000-0000-000030000000}"/>
    <cellStyle name="__ [0]_1202" xfId="48" xr:uid="{00000000-0005-0000-0000-000031000000}"/>
    <cellStyle name="__ [0]_1202_Result Red Store Jun" xfId="49" xr:uid="{00000000-0005-0000-0000-000032000000}"/>
    <cellStyle name="__ [0]_Book1" xfId="50" xr:uid="{00000000-0005-0000-0000-000033000000}"/>
    <cellStyle name="___(____)______" xfId="51" xr:uid="{00000000-0005-0000-0000-000034000000}"/>
    <cellStyle name="___[0]_Book1" xfId="52" xr:uid="{00000000-0005-0000-0000-000035000000}"/>
    <cellStyle name="____ [0.00]_PRODUCT DETAIL Q1" xfId="53" xr:uid="{00000000-0005-0000-0000-000036000000}"/>
    <cellStyle name="_____PRODUCT DETAIL Q1" xfId="54" xr:uid="{00000000-0005-0000-0000-000037000000}"/>
    <cellStyle name="____95" xfId="55" xr:uid="{00000000-0005-0000-0000-000038000000}"/>
    <cellStyle name="____Book1" xfId="56" xr:uid="{00000000-0005-0000-0000-000039000000}"/>
    <cellStyle name="___1202" xfId="57" xr:uid="{00000000-0005-0000-0000-00003A000000}"/>
    <cellStyle name="___1202_Result Red Store Jun" xfId="58" xr:uid="{00000000-0005-0000-0000-00003B000000}"/>
    <cellStyle name="___1202_Result Red Store Jun_1" xfId="59" xr:uid="{00000000-0005-0000-0000-00003C000000}"/>
    <cellStyle name="___Book1" xfId="60" xr:uid="{00000000-0005-0000-0000-00003D000000}"/>
    <cellStyle name="___Book1_Result Red Store Jun" xfId="61" xr:uid="{00000000-0005-0000-0000-00003E000000}"/>
    <cellStyle name="___kc-elec system check list" xfId="62" xr:uid="{00000000-0005-0000-0000-00003F000000}"/>
    <cellStyle name="___PRODUCT DETAIL Q1" xfId="63" xr:uid="{00000000-0005-0000-0000-000040000000}"/>
    <cellStyle name="_1.1 p.coc-nha hieu bo" xfId="64" xr:uid="{00000000-0005-0000-0000-000041000000}"/>
    <cellStyle name="_1.TMDT_Tru so binh minh binh giang" xfId="65" xr:uid="{00000000-0005-0000-0000-000042000000}"/>
    <cellStyle name="_2.phan coc mau M2" xfId="66" xr:uid="{00000000-0005-0000-0000-000043000000}"/>
    <cellStyle name="_8" xfId="67" xr:uid="{00000000-0005-0000-0000-000044000000}"/>
    <cellStyle name="_9" xfId="68" xr:uid="{00000000-0005-0000-0000-000045000000}"/>
    <cellStyle name="_Bang Chi tieu (2)" xfId="69" xr:uid="{00000000-0005-0000-0000-000046000000}"/>
    <cellStyle name="_bang khái toán" xfId="70" xr:uid="{00000000-0005-0000-0000-000047000000}"/>
    <cellStyle name="_Book1" xfId="71" xr:uid="{00000000-0005-0000-0000-000048000000}"/>
    <cellStyle name="_Book1_1" xfId="72" xr:uid="{00000000-0005-0000-0000-000049000000}"/>
    <cellStyle name="_Book1_1_Phu yen ban46" xfId="73" xr:uid="{00000000-0005-0000-0000-00004A000000}"/>
    <cellStyle name="_Book1_2" xfId="74" xr:uid="{00000000-0005-0000-0000-00004B000000}"/>
    <cellStyle name="_Book1_Book1" xfId="75" xr:uid="{00000000-0005-0000-0000-00004C000000}"/>
    <cellStyle name="_Book1_ha" xfId="76" xr:uid="{00000000-0005-0000-0000-00004D000000}"/>
    <cellStyle name="_Book1_k475-491- sua theo Tham tra lan 2  " xfId="77" xr:uid="{00000000-0005-0000-0000-00004E000000}"/>
    <cellStyle name="_Book1_k475-491- sua theo Tham tra lan 2  _00. THDT_HOANG MAI" xfId="78" xr:uid="{00000000-0005-0000-0000-00004F000000}"/>
    <cellStyle name="_Book1_Phu yen ban46" xfId="79" xr:uid="{00000000-0005-0000-0000-000050000000}"/>
    <cellStyle name="_Cau ChoBien-TKBVTC" xfId="80" xr:uid="{00000000-0005-0000-0000-000051000000}"/>
    <cellStyle name="_Cau Phu Phuong" xfId="81" xr:uid="{00000000-0005-0000-0000-000052000000}"/>
    <cellStyle name="_Chau Thon - Tan Xuan (KCS 8-12-06)" xfId="82" xr:uid="{00000000-0005-0000-0000-000053000000}"/>
    <cellStyle name="_Du toan Cang Vung Ang ngay 4-8-2006" xfId="83" xr:uid="{00000000-0005-0000-0000-000054000000}"/>
    <cellStyle name="_Du toan Dieu hoa - Anh sang phong tiep khach Tong cuc - 8.10.2007" xfId="84" xr:uid="{00000000-0005-0000-0000-000055000000}"/>
    <cellStyle name="_DUTOAN1" xfId="85" xr:uid="{00000000-0005-0000-0000-000056000000}"/>
    <cellStyle name="_DUTOANtuyen E 26.11" xfId="86" xr:uid="{00000000-0005-0000-0000-000057000000}"/>
    <cellStyle name="_Goi 1 A tham tra" xfId="87" xr:uid="{00000000-0005-0000-0000-00005B000000}"/>
    <cellStyle name="_Goi 2- My Ly Ban trinh" xfId="88" xr:uid="{00000000-0005-0000-0000-00005C000000}"/>
    <cellStyle name="_gui mai" xfId="89" xr:uid="{00000000-0005-0000-0000-00005D000000}"/>
    <cellStyle name="_Gia+KLdieuchinhgoi1" xfId="90" xr:uid="{00000000-0005-0000-0000-000058000000}"/>
    <cellStyle name="_Gia+KLdieuchinhgoi1_00. THDT_HOANG MAI" xfId="91" xr:uid="{00000000-0005-0000-0000-000059000000}"/>
    <cellStyle name="_Gia+KLgoi2dieuchinh" xfId="92" xr:uid="{00000000-0005-0000-0000-00005A000000}"/>
    <cellStyle name="_ha" xfId="93" xr:uid="{00000000-0005-0000-0000-00005E000000}"/>
    <cellStyle name="_KT (2)" xfId="94" xr:uid="{00000000-0005-0000-0000-00005F000000}"/>
    <cellStyle name="_KT (2)_1" xfId="95" xr:uid="{00000000-0005-0000-0000-000060000000}"/>
    <cellStyle name="_KT (2)_2" xfId="96" xr:uid="{00000000-0005-0000-0000-000061000000}"/>
    <cellStyle name="_KT (2)_2_TG-TH" xfId="97" xr:uid="{00000000-0005-0000-0000-000062000000}"/>
    <cellStyle name="_KT (2)_2_TG-TH_bang khái toán" xfId="98" xr:uid="{00000000-0005-0000-0000-000063000000}"/>
    <cellStyle name="_KT (2)_2_TG-TH_Book1" xfId="99" xr:uid="{00000000-0005-0000-0000-000064000000}"/>
    <cellStyle name="_KT (2)_2_TG-TH_Book1_Tong muc dau tu" xfId="100" xr:uid="{00000000-0005-0000-0000-000065000000}"/>
    <cellStyle name="_KT (2)_2_TG-TH_Nhan su" xfId="101" xr:uid="{00000000-0005-0000-0000-000066000000}"/>
    <cellStyle name="_KT (2)_2_TG-TH_Phu yen ban46" xfId="102" xr:uid="{00000000-0005-0000-0000-000067000000}"/>
    <cellStyle name="_KT (2)_2_TG-TH_TEL OUT 2004" xfId="103" xr:uid="{00000000-0005-0000-0000-000068000000}"/>
    <cellStyle name="_KT (2)_3" xfId="104" xr:uid="{00000000-0005-0000-0000-000069000000}"/>
    <cellStyle name="_KT (2)_3_TG-TH" xfId="105" xr:uid="{00000000-0005-0000-0000-00006A000000}"/>
    <cellStyle name="_KT (2)_3_TG-TH_PERSONAL" xfId="106" xr:uid="{00000000-0005-0000-0000-00006B000000}"/>
    <cellStyle name="_KT (2)_3_TG-TH_PERSONAL_Book1" xfId="107" xr:uid="{00000000-0005-0000-0000-00006C000000}"/>
    <cellStyle name="_KT (2)_3_TG-TH_PERSONAL_Tong hop KHCB 2001" xfId="108" xr:uid="{00000000-0005-0000-0000-00006D000000}"/>
    <cellStyle name="_KT (2)_4" xfId="109" xr:uid="{00000000-0005-0000-0000-00006E000000}"/>
    <cellStyle name="_KT (2)_4_bang khái toán" xfId="110" xr:uid="{00000000-0005-0000-0000-00006F000000}"/>
    <cellStyle name="_KT (2)_4_Book1" xfId="111" xr:uid="{00000000-0005-0000-0000-000070000000}"/>
    <cellStyle name="_KT (2)_4_Book1_Tong muc dau tu" xfId="112" xr:uid="{00000000-0005-0000-0000-000071000000}"/>
    <cellStyle name="_KT (2)_4_Nhan su" xfId="113" xr:uid="{00000000-0005-0000-0000-000072000000}"/>
    <cellStyle name="_KT (2)_4_Phu yen ban46" xfId="114" xr:uid="{00000000-0005-0000-0000-000073000000}"/>
    <cellStyle name="_KT (2)_4_TEL OUT 2004" xfId="115" xr:uid="{00000000-0005-0000-0000-000074000000}"/>
    <cellStyle name="_KT (2)_4_TG-TH" xfId="116" xr:uid="{00000000-0005-0000-0000-000075000000}"/>
    <cellStyle name="_KT (2)_5" xfId="117" xr:uid="{00000000-0005-0000-0000-000076000000}"/>
    <cellStyle name="_KT (2)_5_bang khái toán" xfId="118" xr:uid="{00000000-0005-0000-0000-000077000000}"/>
    <cellStyle name="_KT (2)_5_Book1" xfId="119" xr:uid="{00000000-0005-0000-0000-000078000000}"/>
    <cellStyle name="_KT (2)_5_Book1_Tong muc dau tu" xfId="120" xr:uid="{00000000-0005-0000-0000-000079000000}"/>
    <cellStyle name="_KT (2)_5_Nhan su" xfId="121" xr:uid="{00000000-0005-0000-0000-00007A000000}"/>
    <cellStyle name="_KT (2)_5_Phu yen ban46" xfId="122" xr:uid="{00000000-0005-0000-0000-00007B000000}"/>
    <cellStyle name="_KT (2)_5_TEL OUT 2004" xfId="123" xr:uid="{00000000-0005-0000-0000-00007C000000}"/>
    <cellStyle name="_KT (2)_PERSONAL" xfId="124" xr:uid="{00000000-0005-0000-0000-00007D000000}"/>
    <cellStyle name="_KT (2)_PERSONAL_Book1" xfId="125" xr:uid="{00000000-0005-0000-0000-00007E000000}"/>
    <cellStyle name="_KT (2)_PERSONAL_Tong hop KHCB 2001" xfId="126" xr:uid="{00000000-0005-0000-0000-00007F000000}"/>
    <cellStyle name="_KT (2)_TG-TH" xfId="127" xr:uid="{00000000-0005-0000-0000-000080000000}"/>
    <cellStyle name="_KT_TG" xfId="128" xr:uid="{00000000-0005-0000-0000-000081000000}"/>
    <cellStyle name="_KT_TG_1" xfId="129" xr:uid="{00000000-0005-0000-0000-000082000000}"/>
    <cellStyle name="_KT_TG_1_bang khái toán" xfId="130" xr:uid="{00000000-0005-0000-0000-000083000000}"/>
    <cellStyle name="_KT_TG_1_Book1" xfId="131" xr:uid="{00000000-0005-0000-0000-000084000000}"/>
    <cellStyle name="_KT_TG_1_Book1_Tong muc dau tu" xfId="132" xr:uid="{00000000-0005-0000-0000-000085000000}"/>
    <cellStyle name="_KT_TG_1_Nhan su" xfId="133" xr:uid="{00000000-0005-0000-0000-000086000000}"/>
    <cellStyle name="_KT_TG_1_Phu yen ban46" xfId="134" xr:uid="{00000000-0005-0000-0000-000087000000}"/>
    <cellStyle name="_KT_TG_1_TEL OUT 2004" xfId="135" xr:uid="{00000000-0005-0000-0000-000088000000}"/>
    <cellStyle name="_KT_TG_2" xfId="136" xr:uid="{00000000-0005-0000-0000-000089000000}"/>
    <cellStyle name="_KT_TG_2_bang khái toán" xfId="137" xr:uid="{00000000-0005-0000-0000-00008A000000}"/>
    <cellStyle name="_KT_TG_2_Book1" xfId="138" xr:uid="{00000000-0005-0000-0000-00008B000000}"/>
    <cellStyle name="_KT_TG_2_Book1_Tong muc dau tu" xfId="139" xr:uid="{00000000-0005-0000-0000-00008C000000}"/>
    <cellStyle name="_KT_TG_2_Nhan su" xfId="140" xr:uid="{00000000-0005-0000-0000-00008D000000}"/>
    <cellStyle name="_KT_TG_2_Phu yen ban46" xfId="141" xr:uid="{00000000-0005-0000-0000-00008E000000}"/>
    <cellStyle name="_KT_TG_2_TEL OUT 2004" xfId="142" xr:uid="{00000000-0005-0000-0000-00008F000000}"/>
    <cellStyle name="_KT_TG_3" xfId="143" xr:uid="{00000000-0005-0000-0000-000090000000}"/>
    <cellStyle name="_KT_TG_4" xfId="144" xr:uid="{00000000-0005-0000-0000-000091000000}"/>
    <cellStyle name="_Ninh binh" xfId="145" xr:uid="{00000000-0005-0000-0000-000093000000}"/>
    <cellStyle name="_Ninh binh_00. THDT_HOANG MAI" xfId="146" xr:uid="{00000000-0005-0000-0000-000094000000}"/>
    <cellStyle name="_Ninh binhngoai" xfId="147" xr:uid="{00000000-0005-0000-0000-000095000000}"/>
    <cellStyle name="_Ninh binhngoai_00. THDT_HOANG MAI" xfId="148" xr:uid="{00000000-0005-0000-0000-000096000000}"/>
    <cellStyle name="_Nhan su" xfId="149" xr:uid="{00000000-0005-0000-0000-000092000000}"/>
    <cellStyle name="_OTC_price_gui_TTGDCK_HCM__05(1).01.07" xfId="150" xr:uid="{00000000-0005-0000-0000-000097000000}"/>
    <cellStyle name="_PERSONAL" xfId="151" xr:uid="{00000000-0005-0000-0000-000098000000}"/>
    <cellStyle name="_PERSONAL_Book1" xfId="152" xr:uid="{00000000-0005-0000-0000-000099000000}"/>
    <cellStyle name="_PERSONAL_Tong hop KHCB 2001" xfId="153" xr:uid="{00000000-0005-0000-0000-00009A000000}"/>
    <cellStyle name="_Q4_1ormal_Q496 SBU" xfId="154" xr:uid="{00000000-0005-0000-0000-00009B000000}"/>
    <cellStyle name="_QT_HT DCT_Z113-13_25-10-2007_Tuyen" xfId="155" xr:uid="{00000000-0005-0000-0000-00009C000000}"/>
    <cellStyle name="_QT_HT DCT_Z113-13_30-10-2007_Tuyen" xfId="156" xr:uid="{00000000-0005-0000-0000-00009D000000}"/>
    <cellStyle name="_Sheet1_HC Details" xfId="157" xr:uid="{00000000-0005-0000-0000-00009E000000}"/>
    <cellStyle name="_Sheet1_HC Deta_x0012_Normal_Sheet1_P_x0015_Normal_Sheet1_Reserve" xfId="158" xr:uid="{00000000-0005-0000-0000-00009F000000}"/>
    <cellStyle name="_Sheet1_Reserve" xfId="159" xr:uid="{00000000-0005-0000-0000-0000A0000000}"/>
    <cellStyle name="_SPTQ2ACT" xfId="160" xr:uid="{00000000-0005-0000-0000-0000A1000000}"/>
    <cellStyle name="_TG-TH" xfId="161" xr:uid="{00000000-0005-0000-0000-0000A2000000}"/>
    <cellStyle name="_TG-TH_1" xfId="162" xr:uid="{00000000-0005-0000-0000-0000A3000000}"/>
    <cellStyle name="_TG-TH_1_bang khái toán" xfId="163" xr:uid="{00000000-0005-0000-0000-0000A4000000}"/>
    <cellStyle name="_TG-TH_1_Book1" xfId="164" xr:uid="{00000000-0005-0000-0000-0000A5000000}"/>
    <cellStyle name="_TG-TH_1_Book1_Tong muc dau tu" xfId="165" xr:uid="{00000000-0005-0000-0000-0000A6000000}"/>
    <cellStyle name="_TG-TH_1_Nhan su" xfId="166" xr:uid="{00000000-0005-0000-0000-0000A7000000}"/>
    <cellStyle name="_TG-TH_1_Phu yen ban46" xfId="167" xr:uid="{00000000-0005-0000-0000-0000A8000000}"/>
    <cellStyle name="_TG-TH_1_TEL OUT 2004" xfId="168" xr:uid="{00000000-0005-0000-0000-0000A9000000}"/>
    <cellStyle name="_TG-TH_2" xfId="169" xr:uid="{00000000-0005-0000-0000-0000AA000000}"/>
    <cellStyle name="_TG-TH_2_bang khái toán" xfId="170" xr:uid="{00000000-0005-0000-0000-0000AB000000}"/>
    <cellStyle name="_TG-TH_2_Book1" xfId="171" xr:uid="{00000000-0005-0000-0000-0000AC000000}"/>
    <cellStyle name="_TG-TH_2_Book1_Tong muc dau tu" xfId="172" xr:uid="{00000000-0005-0000-0000-0000AD000000}"/>
    <cellStyle name="_TG-TH_2_Nhan su" xfId="173" xr:uid="{00000000-0005-0000-0000-0000AE000000}"/>
    <cellStyle name="_TG-TH_2_Phu yen ban46" xfId="174" xr:uid="{00000000-0005-0000-0000-0000AF000000}"/>
    <cellStyle name="_TG-TH_2_TEL OUT 2004" xfId="175" xr:uid="{00000000-0005-0000-0000-0000B0000000}"/>
    <cellStyle name="_TG-TH_3" xfId="176" xr:uid="{00000000-0005-0000-0000-0000B1000000}"/>
    <cellStyle name="_TG-TH_4" xfId="177" xr:uid="{00000000-0005-0000-0000-0000B2000000}"/>
    <cellStyle name="_TMDT" xfId="178" xr:uid="{00000000-0005-0000-0000-0000B3000000}"/>
    <cellStyle name="_Tong hop may cheu nganh 1" xfId="179" xr:uid="{00000000-0005-0000-0000-0000B4000000}"/>
    <cellStyle name="_Tong muc dau tu" xfId="180" xr:uid="{00000000-0005-0000-0000-0000B5000000}"/>
    <cellStyle name="_tong muc dau tu- CC 14.1.2013" xfId="181" xr:uid="{00000000-0005-0000-0000-0000B6000000}"/>
    <cellStyle name="_Viahe-TD (15-10-07)" xfId="182" xr:uid="{00000000-0005-0000-0000-0000B7000000}"/>
    <cellStyle name="_Xay dung du toan" xfId="183" xr:uid="{00000000-0005-0000-0000-0000B8000000}"/>
    <cellStyle name="_Xay dung du toan_00. THDT_HOANG MAI" xfId="184" xr:uid="{00000000-0005-0000-0000-0000B9000000}"/>
    <cellStyle name="_ÿÿÿÿÿ" xfId="185" xr:uid="{00000000-0005-0000-0000-0000BA000000}"/>
    <cellStyle name="_ÿÿÿÿÿ_00. THDT_HOANG MAI" xfId="186" xr:uid="{00000000-0005-0000-0000-0000BB000000}"/>
    <cellStyle name="_ÿÿÿÿÿ_Phu yen ban46" xfId="187" xr:uid="{00000000-0005-0000-0000-0000BC000000}"/>
    <cellStyle name="~1" xfId="188" xr:uid="{00000000-0005-0000-0000-0000BD000000}"/>
    <cellStyle name="~1 2" xfId="189" xr:uid="{00000000-0005-0000-0000-0000BE000000}"/>
    <cellStyle name="_x0001_¨c^ " xfId="190" xr:uid="{00000000-0005-0000-0000-0000BF000000}"/>
    <cellStyle name="_x0001_¨c^[" xfId="191" xr:uid="{00000000-0005-0000-0000-0000C0000000}"/>
    <cellStyle name="_x0001_¨c^_" xfId="192" xr:uid="{00000000-0005-0000-0000-0000C1000000}"/>
    <cellStyle name="_x0001_¨Œc^ " xfId="193" xr:uid="{00000000-0005-0000-0000-0000C2000000}"/>
    <cellStyle name="_x0001_¨Œc^[" xfId="194" xr:uid="{00000000-0005-0000-0000-0000C3000000}"/>
    <cellStyle name="_x0001_¨Œc^_" xfId="195" xr:uid="{00000000-0005-0000-0000-0000C4000000}"/>
    <cellStyle name="’Ê‰? [0.00]_laroux" xfId="196" xr:uid="{00000000-0005-0000-0000-0000C5000000}"/>
    <cellStyle name="’Ê‰?_laroux" xfId="197" xr:uid="{00000000-0005-0000-0000-0000C6000000}"/>
    <cellStyle name="’Ê‰Ý [0.00]_laroux" xfId="198" xr:uid="{00000000-0005-0000-0000-0000C7000000}"/>
    <cellStyle name="’Ê‰Ý_laroux" xfId="199" xr:uid="{00000000-0005-0000-0000-0000C8000000}"/>
    <cellStyle name="_x0001_µÑTÖ " xfId="200" xr:uid="{00000000-0005-0000-0000-0000C9000000}"/>
    <cellStyle name="_x0001_µÑTÖ_" xfId="201" xr:uid="{00000000-0005-0000-0000-0000CA000000}"/>
    <cellStyle name="•W?_Format" xfId="202" xr:uid="{00000000-0005-0000-0000-0000CB000000}"/>
    <cellStyle name="•W€_¯–?" xfId="203" xr:uid="{00000000-0005-0000-0000-0000CC000000}"/>
    <cellStyle name="•W_’·Šú‰p•¶" xfId="204" xr:uid="{00000000-0005-0000-0000-0000CD000000}"/>
    <cellStyle name="W_MARINE" xfId="205" xr:uid="{00000000-0005-0000-0000-0000CE000000}"/>
    <cellStyle name="0" xfId="206" xr:uid="{00000000-0005-0000-0000-0000CF000000}"/>
    <cellStyle name="0,0_x000d__x000a_NA_x000d__x000a_" xfId="207" xr:uid="{00000000-0005-0000-0000-0000D0000000}"/>
    <cellStyle name="0,00" xfId="208" xr:uid="{00000000-0005-0000-0000-0000D1000000}"/>
    <cellStyle name="0.0" xfId="209" xr:uid="{00000000-0005-0000-0000-0000D2000000}"/>
    <cellStyle name="0.00" xfId="210" xr:uid="{00000000-0005-0000-0000-0000D3000000}"/>
    <cellStyle name="1" xfId="211" xr:uid="{00000000-0005-0000-0000-0000D4000000}"/>
    <cellStyle name="1 2" xfId="212" xr:uid="{00000000-0005-0000-0000-0000D5000000}"/>
    <cellStyle name="1 UPDATE" xfId="213" xr:uid="{00000000-0005-0000-0000-0000D6000000}"/>
    <cellStyle name="1_0.TMDT_khu K1_dieu chinh 22.12.2011_sua theo kq tham dinh 15.2.2012" xfId="214" xr:uid="{00000000-0005-0000-0000-0000D7000000}"/>
    <cellStyle name="1_6.Bang_luong_moi_XDCB" xfId="215" xr:uid="{00000000-0005-0000-0000-0000D8000000}"/>
    <cellStyle name="1_A che do KS +chi BQL" xfId="216" xr:uid="{00000000-0005-0000-0000-0000D9000000}"/>
    <cellStyle name="1_A che do KS +chi BQL_Phu yen ban46" xfId="217" xr:uid="{00000000-0005-0000-0000-0000DA000000}"/>
    <cellStyle name="1_Ban 47 (Ha Tinh)" xfId="218" xr:uid="{00000000-0005-0000-0000-0000DB000000}"/>
    <cellStyle name="1_BANG CAM COC GPMB 8km" xfId="219" xr:uid="{00000000-0005-0000-0000-0000DC000000}"/>
    <cellStyle name="1_BANG CAM COC GPMB 8km_Phu yen ban46" xfId="220" xr:uid="{00000000-0005-0000-0000-0000DD000000}"/>
    <cellStyle name="1_BANG CAM COC GPMB 8km_Phu yen ban46_00. THDT_HOANG MAI" xfId="221" xr:uid="{00000000-0005-0000-0000-0000DE000000}"/>
    <cellStyle name="1_Bang tong hop khoi luong" xfId="222" xr:uid="{00000000-0005-0000-0000-0000DF000000}"/>
    <cellStyle name="1_Bang tong hop khoi luong_Phu yen ban46" xfId="223" xr:uid="{00000000-0005-0000-0000-0000E0000000}"/>
    <cellStyle name="1_Book1" xfId="224" xr:uid="{00000000-0005-0000-0000-0000E1000000}"/>
    <cellStyle name="1_Book1 (version 1)" xfId="225" xr:uid="{00000000-0005-0000-0000-0000E2000000}"/>
    <cellStyle name="1_Book1 (version 1)_00. THDT_HOANG MAI" xfId="226" xr:uid="{00000000-0005-0000-0000-0000E3000000}"/>
    <cellStyle name="1_Book1_1" xfId="227" xr:uid="{00000000-0005-0000-0000-0000E4000000}"/>
    <cellStyle name="1_Book1_1_Phu yen ban46" xfId="228" xr:uid="{00000000-0005-0000-0000-0000E5000000}"/>
    <cellStyle name="1_Book1_1_Phu yen ban46_00. THDT_HOANG MAI" xfId="229" xr:uid="{00000000-0005-0000-0000-0000E6000000}"/>
    <cellStyle name="1_Book1_Book1" xfId="230" xr:uid="{00000000-0005-0000-0000-0000E7000000}"/>
    <cellStyle name="1_Book1_Book1_Book1" xfId="231" xr:uid="{00000000-0005-0000-0000-0000E8000000}"/>
    <cellStyle name="1_Book1_Book1_Phu yen ban46" xfId="232" xr:uid="{00000000-0005-0000-0000-0000E9000000}"/>
    <cellStyle name="1_Book1_Book1_Phu yen ban46_00. THDT_HOANG MAI" xfId="233" xr:uid="{00000000-0005-0000-0000-0000EA000000}"/>
    <cellStyle name="1_Book1_Cau Bai Son 2 Km 0+270.26 (8-11-2006)" xfId="234" xr:uid="{00000000-0005-0000-0000-0000EB000000}"/>
    <cellStyle name="1_Book1_Cau Hoa Son Km 1+441.06 (14-12-2006)" xfId="235" xr:uid="{00000000-0005-0000-0000-0000EC000000}"/>
    <cellStyle name="1_Book1_Cau Hoa Son Km 1+441.06 (22-10-2006)" xfId="236" xr:uid="{00000000-0005-0000-0000-0000ED000000}"/>
    <cellStyle name="1_Book1_Cau Hoa Son Km 1+441.06 (24-10-2006)" xfId="237" xr:uid="{00000000-0005-0000-0000-0000EE000000}"/>
    <cellStyle name="1_Book1_Cau Nam Tot(ngay 2-10-2006)" xfId="238" xr:uid="{00000000-0005-0000-0000-0000EF000000}"/>
    <cellStyle name="1_Book1_Cau Song Dao Km 1+51.54 (20-12-2006)" xfId="239" xr:uid="{00000000-0005-0000-0000-0000F0000000}"/>
    <cellStyle name="1_Book1_Cau Tram Cua - Km4+484.54" xfId="240" xr:uid="{00000000-0005-0000-0000-0000F1000000}"/>
    <cellStyle name="1_Book1_CAU XOP XANG II(su­a)" xfId="241" xr:uid="{00000000-0005-0000-0000-0000F2000000}"/>
    <cellStyle name="1_Book1_CAU XOP XANG II(su­a)_Phu yen ban46" xfId="242" xr:uid="{00000000-0005-0000-0000-0000F3000000}"/>
    <cellStyle name="1_Book1_CAU XOP XANG II(su­a)_Phu yen ban46_00. THDT_HOANG MAI" xfId="243" xr:uid="{00000000-0005-0000-0000-0000F4000000}"/>
    <cellStyle name="1_Book1_Dieu phoi dat goi 1" xfId="244" xr:uid="{00000000-0005-0000-0000-0000F5000000}"/>
    <cellStyle name="1_Book1_Dieu phoi dat goi 1_Phu yen ban46" xfId="245" xr:uid="{00000000-0005-0000-0000-0000F6000000}"/>
    <cellStyle name="1_Book1_Dieu phoi dat goi 2" xfId="246" xr:uid="{00000000-0005-0000-0000-0000F7000000}"/>
    <cellStyle name="1_Book1_Dieu phoi dat goi 2_Phu yen ban46" xfId="247" xr:uid="{00000000-0005-0000-0000-0000F8000000}"/>
    <cellStyle name="1_Book1_DT Kha thi ngay 11-2-06" xfId="248" xr:uid="{00000000-0005-0000-0000-0000F9000000}"/>
    <cellStyle name="1_Book1_DT Kha thi ngay 11-2-06_Phu yen ban46" xfId="249" xr:uid="{00000000-0005-0000-0000-0000FA000000}"/>
    <cellStyle name="1_Book1_DT Kha thi ngay 11-2-06_Phu yen ban46_00. THDT_HOANG MAI" xfId="250" xr:uid="{00000000-0005-0000-0000-0000FB000000}"/>
    <cellStyle name="1_Book1_DT ngay 04-01-2006" xfId="251" xr:uid="{00000000-0005-0000-0000-0000FC000000}"/>
    <cellStyle name="1_Book1_DT ngay 04-01-2006_Phu yen ban46" xfId="252" xr:uid="{00000000-0005-0000-0000-0000FD000000}"/>
    <cellStyle name="1_Book1_DT ngay 11-4-2006" xfId="253" xr:uid="{00000000-0005-0000-0000-0000FE000000}"/>
    <cellStyle name="1_Book1_DT ngay 11-4-2006_Phu yen ban46" xfId="254" xr:uid="{00000000-0005-0000-0000-0000FF000000}"/>
    <cellStyle name="1_Book1_DT ngay 15-11-05" xfId="255" xr:uid="{00000000-0005-0000-0000-000000010000}"/>
    <cellStyle name="1_Book1_DT ngay 15-11-05_Phu yen ban46" xfId="256" xr:uid="{00000000-0005-0000-0000-000001010000}"/>
    <cellStyle name="1_Book1_DT ngay 15-11-05_Phu yen ban46_00. THDT_HOANG MAI" xfId="257" xr:uid="{00000000-0005-0000-0000-000002010000}"/>
    <cellStyle name="1_Book1_DT theo DM24" xfId="258" xr:uid="{00000000-0005-0000-0000-000003010000}"/>
    <cellStyle name="1_Book1_Du toan KT-TCsua theo TT 03 - YC 471" xfId="259" xr:uid="{00000000-0005-0000-0000-000004010000}"/>
    <cellStyle name="1_Book1_Du toan KT-TCsua theo TT 03 - YC 471_Phu yen ban46" xfId="260" xr:uid="{00000000-0005-0000-0000-000005010000}"/>
    <cellStyle name="1_Book1_Du toan Phuong lam" xfId="261" xr:uid="{00000000-0005-0000-0000-000006010000}"/>
    <cellStyle name="1_Book1_Du toan Phuong lam_Phu yen ban46" xfId="262" xr:uid="{00000000-0005-0000-0000-000007010000}"/>
    <cellStyle name="1_Book1_Du toan Phuong lam_Phu yen ban46_00. THDT_HOANG MAI" xfId="263" xr:uid="{00000000-0005-0000-0000-000008010000}"/>
    <cellStyle name="1_Book1_Du toan QL 27 (23-12-2005)" xfId="264" xr:uid="{00000000-0005-0000-0000-000009010000}"/>
    <cellStyle name="1_Book1_Du toan QL 27 (23-12-2005)_Phu yen ban46" xfId="265" xr:uid="{00000000-0005-0000-0000-00000A010000}"/>
    <cellStyle name="1_Book1_DuAnKT ngay 11-2-2006" xfId="266" xr:uid="{00000000-0005-0000-0000-00000B010000}"/>
    <cellStyle name="1_Book1_DuAnKT ngay 11-2-2006_Phu yen ban46" xfId="267" xr:uid="{00000000-0005-0000-0000-00000C010000}"/>
    <cellStyle name="1_Book1_Goi 1" xfId="268" xr:uid="{00000000-0005-0000-0000-00000D010000}"/>
    <cellStyle name="1_Book1_Goi 1_Phu yen ban46" xfId="269" xr:uid="{00000000-0005-0000-0000-00000E010000}"/>
    <cellStyle name="1_Book1_Goi thau so 1 (14-12-2006)" xfId="270" xr:uid="{00000000-0005-0000-0000-00000F010000}"/>
    <cellStyle name="1_Book1_Goi thau so 2 (20-6-2006)" xfId="271" xr:uid="{00000000-0005-0000-0000-000010010000}"/>
    <cellStyle name="1_Book1_Goi thau so 2 (20-6-2006)_Phu yen ban46" xfId="272" xr:uid="{00000000-0005-0000-0000-000011010000}"/>
    <cellStyle name="1_Book1_Goi thau so 2 (20-6-2006)_Phu yen ban46_00. THDT_HOANG MAI" xfId="273" xr:uid="{00000000-0005-0000-0000-000012010000}"/>
    <cellStyle name="1_Book1_Goi thau so 2 (30-01-2007)" xfId="274" xr:uid="{00000000-0005-0000-0000-000013010000}"/>
    <cellStyle name="1_Book1_Goi02(25-05-2006)" xfId="275" xr:uid="{00000000-0005-0000-0000-000014010000}"/>
    <cellStyle name="1_Book1_Goi02(25-05-2006)_Phu yen ban46" xfId="276" xr:uid="{00000000-0005-0000-0000-000015010000}"/>
    <cellStyle name="1_Book1_K C N - HUNG DONG L.NHUA" xfId="277" xr:uid="{00000000-0005-0000-0000-000016010000}"/>
    <cellStyle name="1_Book1_K C N - HUNG DONG L.NHUA_Phu yen ban46" xfId="278" xr:uid="{00000000-0005-0000-0000-000017010000}"/>
    <cellStyle name="1_Book1_K C N - HUNG DONG L.NHUA_Phu yen ban46_00. THDT_HOANG MAI" xfId="279" xr:uid="{00000000-0005-0000-0000-000018010000}"/>
    <cellStyle name="1_Book1_km48-53 (tham tra ngay 23-10-2006)" xfId="280" xr:uid="{00000000-0005-0000-0000-00001C010000}"/>
    <cellStyle name="1_Book1_Khoi Luong Hoang Truong - Hoang Phu" xfId="281" xr:uid="{00000000-0005-0000-0000-000019010000}"/>
    <cellStyle name="1_Book1_Khoi Luong Hoang Truong - Hoang Phu_Phu yen ban46" xfId="282" xr:uid="{00000000-0005-0000-0000-00001A010000}"/>
    <cellStyle name="1_Book1_Khoi Luong Hoang Truong - Hoang Phu_Phu yen ban46_00. THDT_HOANG MAI" xfId="283" xr:uid="{00000000-0005-0000-0000-00001B010000}"/>
    <cellStyle name="1_Book1_Muong TL" xfId="284" xr:uid="{00000000-0005-0000-0000-00001D010000}"/>
    <cellStyle name="1_Book1_Muong TL_Phu yen ban46" xfId="285" xr:uid="{00000000-0005-0000-0000-00001E010000}"/>
    <cellStyle name="1_Book1_Tuyen so 1-Km0+00 - Km0+852.56" xfId="286" xr:uid="{00000000-0005-0000-0000-00001F010000}"/>
    <cellStyle name="1_Book1_Tuyen so 1-Km0+00 - Km0+852.56_Phu yen ban46" xfId="287" xr:uid="{00000000-0005-0000-0000-000020010000}"/>
    <cellStyle name="1_Book1_TV sua ngay 02-08-06" xfId="288" xr:uid="{00000000-0005-0000-0000-000021010000}"/>
    <cellStyle name="1_Book1_ÿÿÿÿÿ" xfId="289" xr:uid="{00000000-0005-0000-0000-000022010000}"/>
    <cellStyle name="1_C" xfId="290" xr:uid="{00000000-0005-0000-0000-000023010000}"/>
    <cellStyle name="1_C_Phu yen ban46" xfId="291" xr:uid="{00000000-0005-0000-0000-000024010000}"/>
    <cellStyle name="1_Cau Bai Son 2 Km 0+270.26 (8-11-2006)" xfId="292" xr:uid="{00000000-0005-0000-0000-000025010000}"/>
    <cellStyle name="1_Cau Hoi 115" xfId="293" xr:uid="{00000000-0005-0000-0000-000026010000}"/>
    <cellStyle name="1_Cau Hua Trai (TT 04)" xfId="294" xr:uid="{00000000-0005-0000-0000-000027010000}"/>
    <cellStyle name="1_Cau Hua Trai (TT 04)_Phu yen ban46" xfId="295" xr:uid="{00000000-0005-0000-0000-000028010000}"/>
    <cellStyle name="1_Cau My Thinh sua theo don gia 59 (19-5-07)" xfId="296" xr:uid="{00000000-0005-0000-0000-000029010000}"/>
    <cellStyle name="1_Cau Nam Tot(ngay 2-10-2006)" xfId="297" xr:uid="{00000000-0005-0000-0000-00002A010000}"/>
    <cellStyle name="1_Cau Song Dao Km 1+51.54 (20-12-2006)" xfId="298" xr:uid="{00000000-0005-0000-0000-00002B010000}"/>
    <cellStyle name="1_Cau Thanh Ha 1" xfId="299" xr:uid="{00000000-0005-0000-0000-00002C010000}"/>
    <cellStyle name="1_Cau Thanh Ha 1_Phu yen ban46" xfId="300" xr:uid="{00000000-0005-0000-0000-00002D010000}"/>
    <cellStyle name="1_Cau thuy dien Ban La (Cu Anh)" xfId="301" xr:uid="{00000000-0005-0000-0000-00002E010000}"/>
    <cellStyle name="1_Cau thuy dien Ban La (Cu Anh)_00. THDT_HOANG MAI" xfId="302" xr:uid="{00000000-0005-0000-0000-00002F010000}"/>
    <cellStyle name="1_Cau thuy dien Ban La (Cu Anh)_ha" xfId="303" xr:uid="{00000000-0005-0000-0000-000030010000}"/>
    <cellStyle name="1_Cau thuy dien Ban La (Cu Anh)_ha_00. THDT_HOANG MAI" xfId="304" xr:uid="{00000000-0005-0000-0000-000031010000}"/>
    <cellStyle name="1_Cau thuy dien Ban La (Cu Anh)_k475-491- sua theo Tham tra lan 2  " xfId="305" xr:uid="{00000000-0005-0000-0000-000032010000}"/>
    <cellStyle name="1_Cau thuy dien Ban La (Cu Anh)_Phu yen ban46" xfId="306" xr:uid="{00000000-0005-0000-0000-000033010000}"/>
    <cellStyle name="1_Cau thuy dien Ban La (Cu Anh)_Phu yen ban46_00. THDT_HOANG MAI" xfId="307" xr:uid="{00000000-0005-0000-0000-000034010000}"/>
    <cellStyle name="1_Cau Tram Cua - Km4+484.54" xfId="308" xr:uid="{00000000-0005-0000-0000-000035010000}"/>
    <cellStyle name="1_CAU XOP XANG II(su­a)" xfId="309" xr:uid="{00000000-0005-0000-0000-000036010000}"/>
    <cellStyle name="1_CAU XOP XANG II(su­a)_Phu yen ban46" xfId="310" xr:uid="{00000000-0005-0000-0000-000037010000}"/>
    <cellStyle name="1_cong" xfId="311" xr:uid="{00000000-0005-0000-0000-00003C010000}"/>
    <cellStyle name="1_Cong km2+462.29" xfId="312" xr:uid="{00000000-0005-0000-0000-00003D010000}"/>
    <cellStyle name="1_cong_Phu yen ban46" xfId="313" xr:uid="{00000000-0005-0000-0000-00003E010000}"/>
    <cellStyle name="1_Copy of QL_27(TV8)-chinh" xfId="314" xr:uid="{00000000-0005-0000-0000-00003F010000}"/>
    <cellStyle name="1_Chau Thon - Tan Xuan (goi 5)" xfId="315" xr:uid="{00000000-0005-0000-0000-000038010000}"/>
    <cellStyle name="1_Chau Thon - Tan Xuan (KCS 8-12-06)" xfId="316" xr:uid="{00000000-0005-0000-0000-000039010000}"/>
    <cellStyle name="1_Chi phi KS" xfId="317" xr:uid="{00000000-0005-0000-0000-00003A010000}"/>
    <cellStyle name="1_Chi phi KS_Phu yen ban46" xfId="318" xr:uid="{00000000-0005-0000-0000-00003B010000}"/>
    <cellStyle name="1_Dakt-Cau tinh Hua Phan" xfId="319" xr:uid="{00000000-0005-0000-0000-000040010000}"/>
    <cellStyle name="1_Dakt-Cau tinh Hua Phan_Phu yen ban46" xfId="320" xr:uid="{00000000-0005-0000-0000-000041010000}"/>
    <cellStyle name="1_DIEN" xfId="321" xr:uid="{00000000-0005-0000-0000-000042010000}"/>
    <cellStyle name="1_DIEN_Phu yen ban46" xfId="322" xr:uid="{00000000-0005-0000-0000-000043010000}"/>
    <cellStyle name="1_Dieu phoi dat goi 1" xfId="323" xr:uid="{00000000-0005-0000-0000-000044010000}"/>
    <cellStyle name="1_Dieu phoi dat goi 1_Phu yen ban46" xfId="324" xr:uid="{00000000-0005-0000-0000-000045010000}"/>
    <cellStyle name="1_Dieu phoi dat goi 1_Phu yen ban46_00. THDT_HOANG MAI" xfId="325" xr:uid="{00000000-0005-0000-0000-000046010000}"/>
    <cellStyle name="1_Dieu phoi dat goi 2" xfId="326" xr:uid="{00000000-0005-0000-0000-000047010000}"/>
    <cellStyle name="1_Dieu phoi dat goi 2_Phu yen ban46" xfId="327" xr:uid="{00000000-0005-0000-0000-000048010000}"/>
    <cellStyle name="1_Dieu phoi dat goi 2_Phu yen ban46_00. THDT_HOANG MAI" xfId="328" xr:uid="{00000000-0005-0000-0000-000049010000}"/>
    <cellStyle name="1_Dinh muc thiet ke" xfId="329" xr:uid="{00000000-0005-0000-0000-00004A010000}"/>
    <cellStyle name="1_Dinh muc thiet ke_Phu yen ban46" xfId="330" xr:uid="{00000000-0005-0000-0000-00004B010000}"/>
    <cellStyle name="1_DONGIA" xfId="331" xr:uid="{00000000-0005-0000-0000-00004C010000}"/>
    <cellStyle name="1_DONGIA_Phu yen ban46" xfId="332" xr:uid="{00000000-0005-0000-0000-00004D010000}"/>
    <cellStyle name="1_DT Chau Hong  trinh ngay 09-01-07" xfId="333" xr:uid="{00000000-0005-0000-0000-00004E010000}"/>
    <cellStyle name="1_DT KT ngay 10-9-2005" xfId="334" xr:uid="{00000000-0005-0000-0000-000051010000}"/>
    <cellStyle name="1_DT KT ngay 10-9-2005_Phu yen ban46" xfId="335" xr:uid="{00000000-0005-0000-0000-000052010000}"/>
    <cellStyle name="1_DT Kha thi ngay 11-2-06" xfId="336" xr:uid="{00000000-0005-0000-0000-00004F010000}"/>
    <cellStyle name="1_DT Kha thi ngay 11-2-06_Phu yen ban46" xfId="337" xr:uid="{00000000-0005-0000-0000-000050010000}"/>
    <cellStyle name="1_DT ngay 04-01-2006" xfId="338" xr:uid="{00000000-0005-0000-0000-000053010000}"/>
    <cellStyle name="1_DT ngay 04-01-2006_Phu yen ban46" xfId="339" xr:uid="{00000000-0005-0000-0000-000054010000}"/>
    <cellStyle name="1_DT ngay 04-01-2006_Phu yen ban46_00. THDT_HOANG MAI" xfId="340" xr:uid="{00000000-0005-0000-0000-000055010000}"/>
    <cellStyle name="1_DT ngay 11-4-2006" xfId="341" xr:uid="{00000000-0005-0000-0000-000056010000}"/>
    <cellStyle name="1_DT ngay 11-4-2006_Phu yen ban46" xfId="342" xr:uid="{00000000-0005-0000-0000-000057010000}"/>
    <cellStyle name="1_DT ngay 11-4-2006_Phu yen ban46_00. THDT_HOANG MAI" xfId="343" xr:uid="{00000000-0005-0000-0000-000058010000}"/>
    <cellStyle name="1_DT ngay 15-11-05" xfId="344" xr:uid="{00000000-0005-0000-0000-000059010000}"/>
    <cellStyle name="1_DT ngay 15-11-05_Phu yen ban46" xfId="345" xr:uid="{00000000-0005-0000-0000-00005A010000}"/>
    <cellStyle name="1_DT theo DM24" xfId="346" xr:uid="{00000000-0005-0000-0000-00005B010000}"/>
    <cellStyle name="1_DT-497" xfId="347" xr:uid="{00000000-0005-0000-0000-00005C010000}"/>
    <cellStyle name="1_dtCau Km3+429,21TL685" xfId="348" xr:uid="{00000000-0005-0000-0000-00005D010000}"/>
    <cellStyle name="1_Dtdchinh2397" xfId="349" xr:uid="{00000000-0005-0000-0000-00005E010000}"/>
    <cellStyle name="1_Dtdchinh2397_00. THDT_HOANG MAI" xfId="350" xr:uid="{00000000-0005-0000-0000-00005F010000}"/>
    <cellStyle name="1_DT-Khao-s¸t-TD" xfId="351" xr:uid="{00000000-0005-0000-0000-000060010000}"/>
    <cellStyle name="1_DTXL goi 11(20-9-05)" xfId="352" xr:uid="{00000000-0005-0000-0000-000061010000}"/>
    <cellStyle name="1_DTXL goi 11(20-9-05)_Phu yen ban46" xfId="353" xr:uid="{00000000-0005-0000-0000-000062010000}"/>
    <cellStyle name="1_du toan" xfId="354" xr:uid="{00000000-0005-0000-0000-000063010000}"/>
    <cellStyle name="1_du toan (03-11-05)" xfId="355" xr:uid="{00000000-0005-0000-0000-000064010000}"/>
    <cellStyle name="1_du toan (03-11-05)_Phu yen ban46" xfId="356" xr:uid="{00000000-0005-0000-0000-000065010000}"/>
    <cellStyle name="1_Du toan (12-05-2005) Tham dinh" xfId="357" xr:uid="{00000000-0005-0000-0000-000066010000}"/>
    <cellStyle name="1_Du toan (12-05-2005) Tham dinh_Phu yen ban46" xfId="358" xr:uid="{00000000-0005-0000-0000-000067010000}"/>
    <cellStyle name="1_Du toan (12-05-2005) Tham dinh_Phu yen ban46_00. THDT_HOANG MAI" xfId="359" xr:uid="{00000000-0005-0000-0000-000068010000}"/>
    <cellStyle name="1_Du toan (23-05-2005) Tham dinh" xfId="360" xr:uid="{00000000-0005-0000-0000-000069010000}"/>
    <cellStyle name="1_Du toan (23-05-2005) Tham dinh_Phu yen ban46" xfId="361" xr:uid="{00000000-0005-0000-0000-00006A010000}"/>
    <cellStyle name="1_Du toan (23-05-2005) Tham dinh_Phu yen ban46_00. THDT_HOANG MAI" xfId="362" xr:uid="{00000000-0005-0000-0000-00006B010000}"/>
    <cellStyle name="1_Du toan (5 - 04 - 2004)" xfId="363" xr:uid="{00000000-0005-0000-0000-00006C010000}"/>
    <cellStyle name="1_Du toan (5 - 04 - 2004)_Phu yen ban46" xfId="364" xr:uid="{00000000-0005-0000-0000-00006D010000}"/>
    <cellStyle name="1_Du toan (5 - 04 - 2004)_Phu yen ban46_00. THDT_HOANG MAI" xfId="365" xr:uid="{00000000-0005-0000-0000-00006E010000}"/>
    <cellStyle name="1_Du toan (6-3-2005)" xfId="366" xr:uid="{00000000-0005-0000-0000-00006F010000}"/>
    <cellStyle name="1_Du toan (6-3-2005)_Phu yen ban46" xfId="367" xr:uid="{00000000-0005-0000-0000-000070010000}"/>
    <cellStyle name="1_Du toan (Ban A)" xfId="368" xr:uid="{00000000-0005-0000-0000-000071010000}"/>
    <cellStyle name="1_Du toan (Ban A)_Phu yen ban46" xfId="369" xr:uid="{00000000-0005-0000-0000-000072010000}"/>
    <cellStyle name="1_Du toan (Ban A)_Phu yen ban46_00. THDT_HOANG MAI" xfId="370" xr:uid="{00000000-0005-0000-0000-000073010000}"/>
    <cellStyle name="1_Du toan (ngay 13 - 07 - 2004)" xfId="371" xr:uid="{00000000-0005-0000-0000-000074010000}"/>
    <cellStyle name="1_Du toan (ngay 13 - 07 - 2004)_Phu yen ban46" xfId="372" xr:uid="{00000000-0005-0000-0000-000075010000}"/>
    <cellStyle name="1_Du toan (ngay 13 - 07 - 2004)_Phu yen ban46_00. THDT_HOANG MAI" xfId="373" xr:uid="{00000000-0005-0000-0000-000076010000}"/>
    <cellStyle name="1_Du toan (ngay 25-9-06)" xfId="374" xr:uid="{00000000-0005-0000-0000-000077010000}"/>
    <cellStyle name="1_Du toan (ngay03-02-07) theo DG moi" xfId="375" xr:uid="{00000000-0005-0000-0000-000078010000}"/>
    <cellStyle name="1_Du toan 558 (Km17+508.12 - Km 22)" xfId="376" xr:uid="{00000000-0005-0000-0000-000079010000}"/>
    <cellStyle name="1_Du toan 558 (Km17+508.12 - Km 22)_00. THDT_HOANG MAI" xfId="377" xr:uid="{00000000-0005-0000-0000-00007A010000}"/>
    <cellStyle name="1_Du toan 558 (Km17+508.12 - Km 22)_ha" xfId="378" xr:uid="{00000000-0005-0000-0000-00007B010000}"/>
    <cellStyle name="1_Du toan 558 (Km17+508.12 - Km 22)_ha_00. THDT_HOANG MAI" xfId="379" xr:uid="{00000000-0005-0000-0000-00007C010000}"/>
    <cellStyle name="1_Du toan 558 (Km17+508.12 - Km 22)_k475-491- sua theo Tham tra lan 2  " xfId="380" xr:uid="{00000000-0005-0000-0000-00007D010000}"/>
    <cellStyle name="1_Du toan 558 (Km17+508.12 - Km 22)_Phu yen ban46" xfId="381" xr:uid="{00000000-0005-0000-0000-00007E010000}"/>
    <cellStyle name="1_Du toan 558 (Km17+508.12 - Km 22)_Phu yen ban46_00. THDT_HOANG MAI" xfId="382" xr:uid="{00000000-0005-0000-0000-00007F010000}"/>
    <cellStyle name="1_Du toan bo sung (11-2004)" xfId="383" xr:uid="{00000000-0005-0000-0000-000080010000}"/>
    <cellStyle name="1_Du toan bo sung (11-2004)_Phu yen ban46" xfId="384" xr:uid="{00000000-0005-0000-0000-000081010000}"/>
    <cellStyle name="1_Du toan Cang Vung Ang (Tham tra 3-11-06)" xfId="385" xr:uid="{00000000-0005-0000-0000-000082010000}"/>
    <cellStyle name="1_Du toan Cang Vung Ang ngay 09-8-06 " xfId="386" xr:uid="{00000000-0005-0000-0000-000083010000}"/>
    <cellStyle name="1_Du toan dieu chin theo don gia moi (1-2-2007)" xfId="387" xr:uid="{00000000-0005-0000-0000-000084010000}"/>
    <cellStyle name="1_Du toan Doan Km 53 - 60 sua theo tham tra(15-5-2007)" xfId="388" xr:uid="{00000000-0005-0000-0000-000085010000}"/>
    <cellStyle name="1_Du toan Goi 1" xfId="389" xr:uid="{00000000-0005-0000-0000-000086010000}"/>
    <cellStyle name="1_Du toan Goi 1_Phu yen ban46" xfId="390" xr:uid="{00000000-0005-0000-0000-000087010000}"/>
    <cellStyle name="1_Du toan Goi 1_Phu yen ban46_00. THDT_HOANG MAI" xfId="391" xr:uid="{00000000-0005-0000-0000-000088010000}"/>
    <cellStyle name="1_du toan goi 12" xfId="392" xr:uid="{00000000-0005-0000-0000-000089010000}"/>
    <cellStyle name="1_du toan goi 12_Phu yen ban46" xfId="393" xr:uid="{00000000-0005-0000-0000-00008A010000}"/>
    <cellStyle name="1_Du toan Goi 2" xfId="394" xr:uid="{00000000-0005-0000-0000-00008B010000}"/>
    <cellStyle name="1_Du toan Goi 2_Phu yen ban46" xfId="395" xr:uid="{00000000-0005-0000-0000-00008C010000}"/>
    <cellStyle name="1_Du toan Goi 2_Phu yen ban46_00. THDT_HOANG MAI" xfId="396" xr:uid="{00000000-0005-0000-0000-00008D010000}"/>
    <cellStyle name="1_Du toan Huong Lam - Ban Giang (ngay28-11-06)" xfId="397" xr:uid="{00000000-0005-0000-0000-00008E010000}"/>
    <cellStyle name="1_Du toan Huong Lam - Ban Giang theo DG 59 (ngay3-2-07)" xfId="398" xr:uid="{00000000-0005-0000-0000-00008F010000}"/>
    <cellStyle name="1_Du toan KT-TCsua theo TT 03 - YC 471" xfId="399" xr:uid="{00000000-0005-0000-0000-000090010000}"/>
    <cellStyle name="1_Du toan KT-TCsua theo TT 03 - YC 471_Phu yen ban46" xfId="400" xr:uid="{00000000-0005-0000-0000-000091010000}"/>
    <cellStyle name="1_Du toan KT-TCsua theo TT 03 - YC 471_Phu yen ban46_00. THDT_HOANG MAI" xfId="401" xr:uid="{00000000-0005-0000-0000-000092010000}"/>
    <cellStyle name="1_Du toan ngay (28-10-2005)" xfId="402" xr:uid="{00000000-0005-0000-0000-000093010000}"/>
    <cellStyle name="1_Du toan ngay (28-10-2005)_Phu yen ban46" xfId="403" xr:uid="{00000000-0005-0000-0000-000094010000}"/>
    <cellStyle name="1_Du toan ngay (28-10-2005)_Phu yen ban46_00. THDT_HOANG MAI" xfId="404" xr:uid="{00000000-0005-0000-0000-000095010000}"/>
    <cellStyle name="1_Du toan ngay 16-4-2007" xfId="405" xr:uid="{00000000-0005-0000-0000-000096010000}"/>
    <cellStyle name="1_Du toan ngay 1-9-2004 (version 1)" xfId="406" xr:uid="{00000000-0005-0000-0000-000097010000}"/>
    <cellStyle name="1_Du toan ngay 1-9-2004 (version 1)_Phu yen ban46" xfId="407" xr:uid="{00000000-0005-0000-0000-000098010000}"/>
    <cellStyle name="1_Du toan ngay 1-9-2004 (version 1)_Phu yen ban46_00. THDT_HOANG MAI" xfId="408" xr:uid="{00000000-0005-0000-0000-000099010000}"/>
    <cellStyle name="1_Du toan Phuong lam" xfId="409" xr:uid="{00000000-0005-0000-0000-00009A010000}"/>
    <cellStyle name="1_Du toan Phuong lam_Phu yen ban46" xfId="410" xr:uid="{00000000-0005-0000-0000-00009B010000}"/>
    <cellStyle name="1_Du toan QL 27 (23-12-2005)" xfId="411" xr:uid="{00000000-0005-0000-0000-00009C010000}"/>
    <cellStyle name="1_Du toan QL 27 (23-12-2005)_Phu yen ban46" xfId="412" xr:uid="{00000000-0005-0000-0000-00009D010000}"/>
    <cellStyle name="1_Du toan QL 27 (23-12-2005)_Phu yen ban46_00. THDT_HOANG MAI" xfId="413" xr:uid="{00000000-0005-0000-0000-00009E010000}"/>
    <cellStyle name="1_Du toan Tay Thanh Hoa duyetcuoi" xfId="414" xr:uid="{00000000-0005-0000-0000-00009F010000}"/>
    <cellStyle name="1_Du toan_Coc moc GPMB-Phu Yen" xfId="415" xr:uid="{00000000-0005-0000-0000-0000A0010000}"/>
    <cellStyle name="1_Du toan_Coc moc GPMB-Phu Yen_00. THDT_HOANG MAI" xfId="416" xr:uid="{00000000-0005-0000-0000-0000A1010000}"/>
    <cellStyle name="1_du toan_Phu yen ban46" xfId="417" xr:uid="{00000000-0005-0000-0000-0000A2010000}"/>
    <cellStyle name="1_Du_toan_Ho_Xa___Vinh_Tan_WB3 sua ngay 18-8-06" xfId="418" xr:uid="{00000000-0005-0000-0000-0000A3010000}"/>
    <cellStyle name="1_DuAnKT ngay 11-2-2006" xfId="419" xr:uid="{00000000-0005-0000-0000-0000A4010000}"/>
    <cellStyle name="1_DuAnKT ngay 11-2-2006_Phu yen ban46" xfId="420" xr:uid="{00000000-0005-0000-0000-0000A5010000}"/>
    <cellStyle name="1_DuAnKT ngay 11-2-2006_Phu yen ban46_00. THDT_HOANG MAI" xfId="421" xr:uid="{00000000-0005-0000-0000-0000A6010000}"/>
    <cellStyle name="1_goi 1" xfId="422" xr:uid="{00000000-0005-0000-0000-0000AD010000}"/>
    <cellStyle name="1_Goi 1 (TT04)" xfId="423" xr:uid="{00000000-0005-0000-0000-0000AE010000}"/>
    <cellStyle name="1_Goi 1 (TT04)_Phu yen ban46" xfId="424" xr:uid="{00000000-0005-0000-0000-0000AF010000}"/>
    <cellStyle name="1_goi 1 duyet theo luong mo (an)" xfId="425" xr:uid="{00000000-0005-0000-0000-0000B0010000}"/>
    <cellStyle name="1_goi 1 duyet theo luong mo (an)_Phu yen ban46" xfId="426" xr:uid="{00000000-0005-0000-0000-0000B1010000}"/>
    <cellStyle name="1_Goi 1_1" xfId="427" xr:uid="{00000000-0005-0000-0000-0000B2010000}"/>
    <cellStyle name="1_Goi 1_1_Phu yen ban46" xfId="428" xr:uid="{00000000-0005-0000-0000-0000B3010000}"/>
    <cellStyle name="1_Goi 1_1_Phu yen ban46_00. THDT_HOANG MAI" xfId="429" xr:uid="{00000000-0005-0000-0000-0000B4010000}"/>
    <cellStyle name="1_goi 1_Phu yen ban46" xfId="430" xr:uid="{00000000-0005-0000-0000-0000B5010000}"/>
    <cellStyle name="1_Goi so 1" xfId="431" xr:uid="{00000000-0005-0000-0000-0000B6010000}"/>
    <cellStyle name="1_Goi so 1_Phu yen ban46" xfId="432" xr:uid="{00000000-0005-0000-0000-0000B7010000}"/>
    <cellStyle name="1_Goi thau so 08 (11-05-2007)" xfId="433" xr:uid="{00000000-0005-0000-0000-0000B8010000}"/>
    <cellStyle name="1_Goi thau so 1 (14-12-2006)" xfId="434" xr:uid="{00000000-0005-0000-0000-0000B9010000}"/>
    <cellStyle name="1_Goi thau so 2 (20-6-2006)" xfId="435" xr:uid="{00000000-0005-0000-0000-0000BA010000}"/>
    <cellStyle name="1_Goi thau so 2 (20-6-2006)_Phu yen ban46" xfId="436" xr:uid="{00000000-0005-0000-0000-0000BB010000}"/>
    <cellStyle name="1_Goi02(25-05-2006)" xfId="437" xr:uid="{00000000-0005-0000-0000-0000BC010000}"/>
    <cellStyle name="1_Goi02(25-05-2006)_Phu yen ban46" xfId="438" xr:uid="{00000000-0005-0000-0000-0000BD010000}"/>
    <cellStyle name="1_Goi02(25-05-2006)_Phu yen ban46_00. THDT_HOANG MAI" xfId="439" xr:uid="{00000000-0005-0000-0000-0000BE010000}"/>
    <cellStyle name="1_Goi1N206" xfId="440" xr:uid="{00000000-0005-0000-0000-0000BF010000}"/>
    <cellStyle name="1_Goi1N206_Phu yen ban46" xfId="441" xr:uid="{00000000-0005-0000-0000-0000C0010000}"/>
    <cellStyle name="1_Goi1N206_Phu yen ban46_00. THDT_HOANG MAI" xfId="442" xr:uid="{00000000-0005-0000-0000-0000C1010000}"/>
    <cellStyle name="1_Goi2N206" xfId="443" xr:uid="{00000000-0005-0000-0000-0000C2010000}"/>
    <cellStyle name="1_Goi2N206_Phu yen ban46" xfId="444" xr:uid="{00000000-0005-0000-0000-0000C3010000}"/>
    <cellStyle name="1_Goi2N206_Phu yen ban46_00. THDT_HOANG MAI" xfId="445" xr:uid="{00000000-0005-0000-0000-0000C4010000}"/>
    <cellStyle name="1_Goi4N216" xfId="446" xr:uid="{00000000-0005-0000-0000-0000C5010000}"/>
    <cellStyle name="1_Goi4N216_Phu yen ban46" xfId="447" xr:uid="{00000000-0005-0000-0000-0000C6010000}"/>
    <cellStyle name="1_Goi4N216_Phu yen ban46_00. THDT_HOANG MAI" xfId="448" xr:uid="{00000000-0005-0000-0000-0000C7010000}"/>
    <cellStyle name="1_Goi5N216" xfId="449" xr:uid="{00000000-0005-0000-0000-0000C8010000}"/>
    <cellStyle name="1_Goi5N216_Phu yen ban46" xfId="450" xr:uid="{00000000-0005-0000-0000-0000C9010000}"/>
    <cellStyle name="1_Goi5N216_Phu yen ban46_00. THDT_HOANG MAI" xfId="451" xr:uid="{00000000-0005-0000-0000-0000CA010000}"/>
    <cellStyle name="1_Gia_VL cau-JIBIC-Ha-tinh" xfId="452" xr:uid="{00000000-0005-0000-0000-0000A7010000}"/>
    <cellStyle name="1_Gia_VL cau-JIBIC-Ha-tinh_Phu yen ban46" xfId="453" xr:uid="{00000000-0005-0000-0000-0000A8010000}"/>
    <cellStyle name="1_Gia_VL cau-JIBIC-Ha-tinh_Phu yen ban46_00. THDT_HOANG MAI" xfId="454" xr:uid="{00000000-0005-0000-0000-0000A9010000}"/>
    <cellStyle name="1_Gia_VLQL48_duyet " xfId="455" xr:uid="{00000000-0005-0000-0000-0000AA010000}"/>
    <cellStyle name="1_Gia_VLQL48_duyet _Phu yen ban46" xfId="456" xr:uid="{00000000-0005-0000-0000-0000AB010000}"/>
    <cellStyle name="1_Gia_VLQL48_duyet _Phu yen ban46_00. THDT_HOANG MAI" xfId="457" xr:uid="{00000000-0005-0000-0000-0000AC010000}"/>
    <cellStyle name="1_Hoi Song" xfId="458" xr:uid="{00000000-0005-0000-0000-0000CB010000}"/>
    <cellStyle name="1_Hoi Song_Phu yen ban46" xfId="459" xr:uid="{00000000-0005-0000-0000-0000CC010000}"/>
    <cellStyle name="1_HT-LO" xfId="460" xr:uid="{00000000-0005-0000-0000-0000CD010000}"/>
    <cellStyle name="1_HT-LO_Phu yen ban46" xfId="461" xr:uid="{00000000-0005-0000-0000-0000CE010000}"/>
    <cellStyle name="1_HT-LO_Phu yen ban46_00. THDT_HOANG MAI" xfId="462" xr:uid="{00000000-0005-0000-0000-0000CF010000}"/>
    <cellStyle name="1_Huong Lam - Ban Giang (11-4-2007)" xfId="463" xr:uid="{00000000-0005-0000-0000-0000D0010000}"/>
    <cellStyle name="1_KL" xfId="464" xr:uid="{00000000-0005-0000-0000-0000DD010000}"/>
    <cellStyle name="1_KL_Cau My Thinh sua theo don gia 59 (19-5-07)" xfId="465" xr:uid="{00000000-0005-0000-0000-0000DE010000}"/>
    <cellStyle name="1_Kl_DT_Tham_Dinh_497_16-4-07" xfId="466" xr:uid="{00000000-0005-0000-0000-0000DF010000}"/>
    <cellStyle name="1_KL_DT-497" xfId="467" xr:uid="{00000000-0005-0000-0000-0000E0010000}"/>
    <cellStyle name="1_KL_DT-Khao-s¸t-TD" xfId="468" xr:uid="{00000000-0005-0000-0000-0000E1010000}"/>
    <cellStyle name="1_KL_Huong Lam - Ban Giang (11-4-2007)" xfId="469" xr:uid="{00000000-0005-0000-0000-0000E2010000}"/>
    <cellStyle name="1_Kl6-6-05" xfId="470" xr:uid="{00000000-0005-0000-0000-0000E3010000}"/>
    <cellStyle name="1_Kl6-6-05_Phu yen ban46" xfId="471" xr:uid="{00000000-0005-0000-0000-0000E4010000}"/>
    <cellStyle name="1_KLCongTh" xfId="472" xr:uid="{00000000-0005-0000-0000-0000E5010000}"/>
    <cellStyle name="1_Kldoan3" xfId="473" xr:uid="{00000000-0005-0000-0000-0000E6010000}"/>
    <cellStyle name="1_KLhoxa" xfId="474" xr:uid="{00000000-0005-0000-0000-0000E7010000}"/>
    <cellStyle name="1_KLNM 1303" xfId="475" xr:uid="{00000000-0005-0000-0000-0000E8010000}"/>
    <cellStyle name="1_Klnutgiao" xfId="476" xr:uid="{00000000-0005-0000-0000-0000E9010000}"/>
    <cellStyle name="1_Klnutgiao_Phu yen ban46" xfId="477" xr:uid="{00000000-0005-0000-0000-0000EA010000}"/>
    <cellStyle name="1_KLPA2s" xfId="478" xr:uid="{00000000-0005-0000-0000-0000EB010000}"/>
    <cellStyle name="1_KLPA2s_Phu yen ban46" xfId="479" xr:uid="{00000000-0005-0000-0000-0000EC010000}"/>
    <cellStyle name="1_KlQdinhduyet" xfId="480" xr:uid="{00000000-0005-0000-0000-0000ED010000}"/>
    <cellStyle name="1_KlQdinhduyet_Phu yen ban46" xfId="481" xr:uid="{00000000-0005-0000-0000-0000EE010000}"/>
    <cellStyle name="1_KlQdinhduyet_Phu yen ban46_00. THDT_HOANG MAI" xfId="482" xr:uid="{00000000-0005-0000-0000-0000EF010000}"/>
    <cellStyle name="1_KlQL4goi5KCS" xfId="483" xr:uid="{00000000-0005-0000-0000-0000F0010000}"/>
    <cellStyle name="1_KlQL4goi5KCS_Phu yen ban46" xfId="484" xr:uid="{00000000-0005-0000-0000-0000F1010000}"/>
    <cellStyle name="1_Kltayth" xfId="485" xr:uid="{00000000-0005-0000-0000-0000F2010000}"/>
    <cellStyle name="1_Kltayth_Phu yen ban46" xfId="486" xr:uid="{00000000-0005-0000-0000-0000F3010000}"/>
    <cellStyle name="1_KltaythQDduyet" xfId="487" xr:uid="{00000000-0005-0000-0000-0000F4010000}"/>
    <cellStyle name="1_KltaythQDduyet_Phu yen ban46" xfId="488" xr:uid="{00000000-0005-0000-0000-0000F5010000}"/>
    <cellStyle name="1_Kluong4-2004" xfId="489" xr:uid="{00000000-0005-0000-0000-0000F6010000}"/>
    <cellStyle name="1_Kluong4-2004_Phu yen ban46" xfId="490" xr:uid="{00000000-0005-0000-0000-0000F7010000}"/>
    <cellStyle name="1_Kluong4-2004_Phu yen ban46_00. THDT_HOANG MAI" xfId="491" xr:uid="{00000000-0005-0000-0000-0000F8010000}"/>
    <cellStyle name="1_Km 48 - 53 (sua nap TVTT 6-7-2007)" xfId="492" xr:uid="{00000000-0005-0000-0000-0000F9010000}"/>
    <cellStyle name="1_Km2" xfId="493" xr:uid="{00000000-0005-0000-0000-0000FA010000}"/>
    <cellStyle name="1_Km3" xfId="494" xr:uid="{00000000-0005-0000-0000-0000FB010000}"/>
    <cellStyle name="1_km4-6" xfId="495" xr:uid="{00000000-0005-0000-0000-0000FC010000}"/>
    <cellStyle name="1_km48-53 (tham tra ngay 23-10-2006)" xfId="496" xr:uid="{00000000-0005-0000-0000-0000FD010000}"/>
    <cellStyle name="1_km48-53 (tham tra ngay 23-10-2006)theo gi¸ ca m¸y míi" xfId="497" xr:uid="{00000000-0005-0000-0000-0000FE010000}"/>
    <cellStyle name="1_khao sat DBGPMB" xfId="498" xr:uid="{00000000-0005-0000-0000-0000D1010000}"/>
    <cellStyle name="1_khao sat DBGPMB_00. THDT_HOANG MAI" xfId="499" xr:uid="{00000000-0005-0000-0000-0000D2010000}"/>
    <cellStyle name="1_Khoi luong" xfId="500" xr:uid="{00000000-0005-0000-0000-0000D3010000}"/>
    <cellStyle name="1_Khoi luong doan 1" xfId="501" xr:uid="{00000000-0005-0000-0000-0000D4010000}"/>
    <cellStyle name="1_Khoi luong doan 1_Phu yen ban46" xfId="502" xr:uid="{00000000-0005-0000-0000-0000D5010000}"/>
    <cellStyle name="1_Khoi luong doan 1_Phu yen ban46_00. THDT_HOANG MAI" xfId="503" xr:uid="{00000000-0005-0000-0000-0000D6010000}"/>
    <cellStyle name="1_Khoi luong doan 2" xfId="504" xr:uid="{00000000-0005-0000-0000-0000D7010000}"/>
    <cellStyle name="1_Khoi Luong Hoang Truong - Hoang Phu" xfId="505" xr:uid="{00000000-0005-0000-0000-0000D8010000}"/>
    <cellStyle name="1_Khoi Luong Hoang Truong - Hoang Phu_Phu yen ban46" xfId="506" xr:uid="{00000000-0005-0000-0000-0000D9010000}"/>
    <cellStyle name="1_Khoi Luong Hoang Truong - Hoang Phu_Phu yen ban46_00. THDT_HOANG MAI" xfId="507" xr:uid="{00000000-0005-0000-0000-0000DA010000}"/>
    <cellStyle name="1_Khoi luong_Phu yen ban46" xfId="508" xr:uid="{00000000-0005-0000-0000-0000DB010000}"/>
    <cellStyle name="1_Khoi luong_Phu yen ban46_00. THDT_HOANG MAI" xfId="509" xr:uid="{00000000-0005-0000-0000-0000DC010000}"/>
    <cellStyle name="1_Luong A6" xfId="510" xr:uid="{00000000-0005-0000-0000-0000FF010000}"/>
    <cellStyle name="1_Luong A6_Phu yen ban46" xfId="511" xr:uid="{00000000-0005-0000-0000-000000020000}"/>
    <cellStyle name="1_maugiacotaluy" xfId="512" xr:uid="{00000000-0005-0000-0000-000001020000}"/>
    <cellStyle name="1_maugiacotaluy_Phu yen ban46" xfId="513" xr:uid="{00000000-0005-0000-0000-000002020000}"/>
    <cellStyle name="1_My Thanh Son Thanh" xfId="514" xr:uid="{00000000-0005-0000-0000-000003020000}"/>
    <cellStyle name="1_My Thanh Son Thanh_Phu yen ban46" xfId="515" xr:uid="{00000000-0005-0000-0000-000004020000}"/>
    <cellStyle name="1_Nhom I" xfId="516" xr:uid="{00000000-0005-0000-0000-000005020000}"/>
    <cellStyle name="1_Nhom I_Phu yen ban46" xfId="517" xr:uid="{00000000-0005-0000-0000-000006020000}"/>
    <cellStyle name="1_Nhom I_Phu yen ban46_00. THDT_HOANG MAI" xfId="518" xr:uid="{00000000-0005-0000-0000-000007020000}"/>
    <cellStyle name="1_Project N.Du" xfId="519" xr:uid="{00000000-0005-0000-0000-000008020000}"/>
    <cellStyle name="1_Project N.Du.dien" xfId="520" xr:uid="{00000000-0005-0000-0000-000009020000}"/>
    <cellStyle name="1_Project N.Du.dien_Phu yen ban46" xfId="521" xr:uid="{00000000-0005-0000-0000-00000A020000}"/>
    <cellStyle name="1_Project N.Du_Phu yen ban46" xfId="522" xr:uid="{00000000-0005-0000-0000-00000B020000}"/>
    <cellStyle name="1_Project N.Du_Phu yen ban46_00. THDT_HOANG MAI" xfId="523" xr:uid="{00000000-0005-0000-0000-00000C020000}"/>
    <cellStyle name="1_Project QL4" xfId="524" xr:uid="{00000000-0005-0000-0000-00000D020000}"/>
    <cellStyle name="1_Project QL4 goi 7" xfId="525" xr:uid="{00000000-0005-0000-0000-00000E020000}"/>
    <cellStyle name="1_Project QL4 goi 7_Phu yen ban46" xfId="526" xr:uid="{00000000-0005-0000-0000-00000F020000}"/>
    <cellStyle name="1_Project QL4 goi 7_Phu yen ban46_00. THDT_HOANG MAI" xfId="527" xr:uid="{00000000-0005-0000-0000-000010020000}"/>
    <cellStyle name="1_Project QL4 goi5" xfId="528" xr:uid="{00000000-0005-0000-0000-000011020000}"/>
    <cellStyle name="1_Project QL4 goi5_Phu yen ban46" xfId="529" xr:uid="{00000000-0005-0000-0000-000012020000}"/>
    <cellStyle name="1_Project QL4 goi8" xfId="530" xr:uid="{00000000-0005-0000-0000-000013020000}"/>
    <cellStyle name="1_Project QL4 goi8_Phu yen ban46" xfId="531" xr:uid="{00000000-0005-0000-0000-000014020000}"/>
    <cellStyle name="1_Project QL4_Phu yen ban46" xfId="532" xr:uid="{00000000-0005-0000-0000-000015020000}"/>
    <cellStyle name="1_QL1A-SUA2005" xfId="533" xr:uid="{00000000-0005-0000-0000-000016020000}"/>
    <cellStyle name="1_QL1A-SUA2005_Phu yen ban46" xfId="534" xr:uid="{00000000-0005-0000-0000-000017020000}"/>
    <cellStyle name="1_QL1A-SUA2005_Phu yen ban46_00. THDT_HOANG MAI" xfId="535" xr:uid="{00000000-0005-0000-0000-000018020000}"/>
    <cellStyle name="1_Reserve" xfId="536" xr:uid="{00000000-0005-0000-0000-000019020000}"/>
    <cellStyle name="1_Sheet1" xfId="537" xr:uid="{00000000-0005-0000-0000-00001A020000}"/>
    <cellStyle name="1_Sheet1_Cau My Thinh sua theo don gia 59 (19-5-07)" xfId="538" xr:uid="{00000000-0005-0000-0000-00001B020000}"/>
    <cellStyle name="1_Sheet1_DT_Tham_Dinh_497_16-4-07" xfId="539" xr:uid="{00000000-0005-0000-0000-00001C020000}"/>
    <cellStyle name="1_Sheet1_DT-497" xfId="540" xr:uid="{00000000-0005-0000-0000-00001D020000}"/>
    <cellStyle name="1_Sheet1_DT-Khao-s¸t-TD" xfId="541" xr:uid="{00000000-0005-0000-0000-00001E020000}"/>
    <cellStyle name="1_Sheet1_Huong Lam - Ban Giang (11-4-2007)" xfId="542" xr:uid="{00000000-0005-0000-0000-00001F020000}"/>
    <cellStyle name="1_Sheet1_Phu yen ban46" xfId="543" xr:uid="{00000000-0005-0000-0000-000020020000}"/>
    <cellStyle name="1_SuoiTon" xfId="544" xr:uid="{00000000-0005-0000-0000-000021020000}"/>
    <cellStyle name="1_SuoiTon_Phu yen ban46" xfId="545" xr:uid="{00000000-0005-0000-0000-000022020000}"/>
    <cellStyle name="1_SuoiTon_Phu yen ban46_00. THDT_HOANG MAI" xfId="546" xr:uid="{00000000-0005-0000-0000-000023020000}"/>
    <cellStyle name="1_t" xfId="547" xr:uid="{00000000-0005-0000-0000-000024020000}"/>
    <cellStyle name="1_t_Phu yen ban46" xfId="548" xr:uid="{00000000-0005-0000-0000-000025020000}"/>
    <cellStyle name="1_Tay THoa" xfId="549" xr:uid="{00000000-0005-0000-0000-000026020000}"/>
    <cellStyle name="1_Tay THoa_Phu yen ban46" xfId="550" xr:uid="{00000000-0005-0000-0000-000027020000}"/>
    <cellStyle name="1_Tay THoa_Phu yen ban46_00. THDT_HOANG MAI" xfId="551" xr:uid="{00000000-0005-0000-0000-000028020000}"/>
    <cellStyle name="1_Tong hop DT dieu chinh duong 38-95" xfId="552" xr:uid="{00000000-0005-0000-0000-000030020000}"/>
    <cellStyle name="1_Tong hop DT dieu chinh duong 38-95_Phu yen ban46" xfId="553" xr:uid="{00000000-0005-0000-0000-000031020000}"/>
    <cellStyle name="1_Tong hop khoi luong duong 557 (30-5-2006)" xfId="554" xr:uid="{00000000-0005-0000-0000-000032020000}"/>
    <cellStyle name="1_Tong hop khoi luong duong 557 (30-5-2006)_Phu yen ban46" xfId="555" xr:uid="{00000000-0005-0000-0000-000033020000}"/>
    <cellStyle name="1_Tong muc dau tu" xfId="556" xr:uid="{00000000-0005-0000-0000-000034020000}"/>
    <cellStyle name="1_Tong muc dau tu_Phu yen ban46" xfId="557" xr:uid="{00000000-0005-0000-0000-000035020000}"/>
    <cellStyle name="1_Tuyen so 1-Km0+00 - Km0+852.56" xfId="558" xr:uid="{00000000-0005-0000-0000-000039020000}"/>
    <cellStyle name="1_Tuyen so 1-Km0+00 - Km0+852.56_Phu yen ban46" xfId="559" xr:uid="{00000000-0005-0000-0000-00003A020000}"/>
    <cellStyle name="1_Tuyen so 1-Km0+00 - Km0+852.56_Phu yen ban46_00. THDT_HOANG MAI" xfId="560" xr:uid="{00000000-0005-0000-0000-00003B020000}"/>
    <cellStyle name="1_TV sua ngay 02-08-06" xfId="561" xr:uid="{00000000-0005-0000-0000-00003C020000}"/>
    <cellStyle name="1_Tham tra (8-11)1" xfId="562" xr:uid="{00000000-0005-0000-0000-000029020000}"/>
    <cellStyle name="1_THkl" xfId="563" xr:uid="{00000000-0005-0000-0000-00002A020000}"/>
    <cellStyle name="1_THklpa2" xfId="564" xr:uid="{00000000-0005-0000-0000-00002B020000}"/>
    <cellStyle name="1_Thong ke cong" xfId="565" xr:uid="{00000000-0005-0000-0000-00002C020000}"/>
    <cellStyle name="1_Thong ke cong_00. THDT_HOANG MAI" xfId="566" xr:uid="{00000000-0005-0000-0000-00002D020000}"/>
    <cellStyle name="1_thong ke giao dan sinh" xfId="567" xr:uid="{00000000-0005-0000-0000-00002E020000}"/>
    <cellStyle name="1_thong ke giao dan sinh_00. THDT_HOANG MAI" xfId="568" xr:uid="{00000000-0005-0000-0000-00002F020000}"/>
    <cellStyle name="1_tra he so" xfId="569" xr:uid="{00000000-0005-0000-0000-000036020000}"/>
    <cellStyle name="1_TRUNG PMU 5" xfId="570" xr:uid="{00000000-0005-0000-0000-000037020000}"/>
    <cellStyle name="1_TRUNG PMU 5_Phu yen ban46" xfId="571" xr:uid="{00000000-0005-0000-0000-000038020000}"/>
    <cellStyle name="1_VatLieu 3 cau -NA" xfId="572" xr:uid="{00000000-0005-0000-0000-00003D020000}"/>
    <cellStyle name="1_VatLieu 3 cau -NA_Phu yen ban46" xfId="573" xr:uid="{00000000-0005-0000-0000-00003E020000}"/>
    <cellStyle name="1_VatLieu 3 cau -NA_Phu yen ban46_00. THDT_HOANG MAI" xfId="574" xr:uid="{00000000-0005-0000-0000-00003F020000}"/>
    <cellStyle name="1_ÿÿÿÿÿ" xfId="575" xr:uid="{00000000-0005-0000-0000-000040020000}"/>
    <cellStyle name="1_ÿÿÿÿÿ_1" xfId="576" xr:uid="{00000000-0005-0000-0000-000041020000}"/>
    <cellStyle name="1_ÿÿÿÿÿ_1_Phu yen ban46" xfId="577" xr:uid="{00000000-0005-0000-0000-000042020000}"/>
    <cellStyle name="1_ÿÿÿÿÿ_1_Phu yen ban46_00. THDT_HOANG MAI" xfId="578" xr:uid="{00000000-0005-0000-0000-000043020000}"/>
    <cellStyle name="1_ÿÿÿÿÿ_Book1" xfId="579" xr:uid="{00000000-0005-0000-0000-000044020000}"/>
    <cellStyle name="1_ÿÿÿÿÿ_Book1_Cau My Thinh sua theo don gia 59 (19-5-07)" xfId="580" xr:uid="{00000000-0005-0000-0000-000045020000}"/>
    <cellStyle name="1_ÿÿÿÿÿ_Book1_DT_Tham_Dinh_497_16-4-07" xfId="581" xr:uid="{00000000-0005-0000-0000-000046020000}"/>
    <cellStyle name="1_ÿÿÿÿÿ_Book1_DT-497" xfId="582" xr:uid="{00000000-0005-0000-0000-000047020000}"/>
    <cellStyle name="1_ÿÿÿÿÿ_Book1_DT-Khao-s¸t-TD" xfId="583" xr:uid="{00000000-0005-0000-0000-000048020000}"/>
    <cellStyle name="1_ÿÿÿÿÿ_Book1_Huong Lam - Ban Giang (11-4-2007)" xfId="584" xr:uid="{00000000-0005-0000-0000-000049020000}"/>
    <cellStyle name="1_ÿÿÿÿÿ_Book1_Phu yen ban46" xfId="585" xr:uid="{00000000-0005-0000-0000-00004A020000}"/>
    <cellStyle name="1_ÿÿÿÿÿ_Cau My Thinh sua theo don gia 59 (19-5-07)" xfId="586" xr:uid="{00000000-0005-0000-0000-00004B020000}"/>
    <cellStyle name="1_ÿÿÿÿÿ_DT_Tham_Dinh_497_16-4-07" xfId="587" xr:uid="{00000000-0005-0000-0000-00004C020000}"/>
    <cellStyle name="1_ÿÿÿÿÿ_DT-497" xfId="588" xr:uid="{00000000-0005-0000-0000-00004D020000}"/>
    <cellStyle name="1_ÿÿÿÿÿ_DT-Khao-s¸t-TD" xfId="589" xr:uid="{00000000-0005-0000-0000-00004E020000}"/>
    <cellStyle name="1_ÿÿÿÿÿ_ha" xfId="590" xr:uid="{00000000-0005-0000-0000-00004F020000}"/>
    <cellStyle name="1_ÿÿÿÿÿ_Huong Lam - Ban Giang (11-4-2007)" xfId="591" xr:uid="{00000000-0005-0000-0000-000050020000}"/>
    <cellStyle name="1_ÿÿÿÿÿ_k475-491- sua theo Tham tra lan 2  " xfId="592" xr:uid="{00000000-0005-0000-0000-000051020000}"/>
    <cellStyle name="1_ÿÿÿÿÿ_Phu yen ban46" xfId="593" xr:uid="{00000000-0005-0000-0000-000052020000}"/>
    <cellStyle name="1_ÿÿÿÿÿ_Tong hop DT dieu chinh duong 38-95" xfId="594" xr:uid="{00000000-0005-0000-0000-000053020000}"/>
    <cellStyle name="1_ÿÿÿÿÿ_Tong hop DT dieu chinh duong 38-95_Phu yen ban46" xfId="595" xr:uid="{00000000-0005-0000-0000-000054020000}"/>
    <cellStyle name="_x0001_1¼„½(" xfId="596" xr:uid="{00000000-0005-0000-0000-000055020000}"/>
    <cellStyle name="_x0001_1¼½(" xfId="597" xr:uid="{00000000-0005-0000-0000-000056020000}"/>
    <cellStyle name="12" xfId="598" xr:uid="{00000000-0005-0000-0000-000057020000}"/>
    <cellStyle name="15" xfId="599" xr:uid="{00000000-0005-0000-0000-000058020000}"/>
    <cellStyle name="196W50" xfId="600" xr:uid="{00000000-0005-0000-0000-000059020000}"/>
    <cellStyle name="¹éº?À²_      " xfId="601" xr:uid="{00000000-0005-0000-0000-00005A020000}"/>
    <cellStyle name="¹éºÐÀ²_      " xfId="602" xr:uid="{00000000-0005-0000-0000-00005B020000}"/>
    <cellStyle name="2" xfId="603" xr:uid="{00000000-0005-0000-0000-00005C020000}"/>
    <cellStyle name="2_6.Bang_luong_moi_XDCB" xfId="604" xr:uid="{00000000-0005-0000-0000-00005D020000}"/>
    <cellStyle name="2_A che do KS +chi BQL" xfId="605" xr:uid="{00000000-0005-0000-0000-00005E020000}"/>
    <cellStyle name="2_A che do KS +chi BQL_Phu yen ban46" xfId="606" xr:uid="{00000000-0005-0000-0000-00005F020000}"/>
    <cellStyle name="2_Ban 47 (Ha Tinh)" xfId="607" xr:uid="{00000000-0005-0000-0000-000060020000}"/>
    <cellStyle name="2_BANG CAM COC GPMB 8km" xfId="608" xr:uid="{00000000-0005-0000-0000-000061020000}"/>
    <cellStyle name="2_BANG CAM COC GPMB 8km_Phu yen ban46" xfId="609" xr:uid="{00000000-0005-0000-0000-000062020000}"/>
    <cellStyle name="2_BANG CAM COC GPMB 8km_Phu yen ban46_00. THDT_HOANG MAI" xfId="610" xr:uid="{00000000-0005-0000-0000-000063020000}"/>
    <cellStyle name="2_Bang tong hop khoi luong" xfId="611" xr:uid="{00000000-0005-0000-0000-000064020000}"/>
    <cellStyle name="2_Bang tong hop khoi luong_Phu yen ban46" xfId="612" xr:uid="{00000000-0005-0000-0000-000065020000}"/>
    <cellStyle name="2_Book1" xfId="613" xr:uid="{00000000-0005-0000-0000-000066020000}"/>
    <cellStyle name="2_Book1 (version 1)" xfId="614" xr:uid="{00000000-0005-0000-0000-000067020000}"/>
    <cellStyle name="2_Book1 (version 1)_00. THDT_HOANG MAI" xfId="615" xr:uid="{00000000-0005-0000-0000-000068020000}"/>
    <cellStyle name="2_Book1_1" xfId="616" xr:uid="{00000000-0005-0000-0000-000069020000}"/>
    <cellStyle name="2_Book1_1_Phu yen ban46" xfId="617" xr:uid="{00000000-0005-0000-0000-00006A020000}"/>
    <cellStyle name="2_Book1_1_Phu yen ban46_00. THDT_HOANG MAI" xfId="618" xr:uid="{00000000-0005-0000-0000-00006B020000}"/>
    <cellStyle name="2_Book1_Book1" xfId="619" xr:uid="{00000000-0005-0000-0000-00006C020000}"/>
    <cellStyle name="2_Book1_Book1_Book1" xfId="620" xr:uid="{00000000-0005-0000-0000-00006D020000}"/>
    <cellStyle name="2_Book1_Book1_Phu yen ban46" xfId="621" xr:uid="{00000000-0005-0000-0000-00006E020000}"/>
    <cellStyle name="2_Book1_Book1_Phu yen ban46_00. THDT_HOANG MAI" xfId="622" xr:uid="{00000000-0005-0000-0000-00006F020000}"/>
    <cellStyle name="2_Book1_Cau Bai Son 2 Km 0+270.26 (8-11-2006)" xfId="623" xr:uid="{00000000-0005-0000-0000-000070020000}"/>
    <cellStyle name="2_Book1_Cau Hoa Son Km 1+441.06 (14-12-2006)" xfId="624" xr:uid="{00000000-0005-0000-0000-000071020000}"/>
    <cellStyle name="2_Book1_Cau Hoa Son Km 1+441.06 (22-10-2006)" xfId="625" xr:uid="{00000000-0005-0000-0000-000072020000}"/>
    <cellStyle name="2_Book1_Cau Hoa Son Km 1+441.06 (24-10-2006)" xfId="626" xr:uid="{00000000-0005-0000-0000-000073020000}"/>
    <cellStyle name="2_Book1_Cau Nam Tot(ngay 2-10-2006)" xfId="627" xr:uid="{00000000-0005-0000-0000-000074020000}"/>
    <cellStyle name="2_Book1_Cau Song Dao Km 1+51.54 (20-12-2006)" xfId="628" xr:uid="{00000000-0005-0000-0000-000075020000}"/>
    <cellStyle name="2_Book1_Cau Tram Cua - Km4+484.54" xfId="629" xr:uid="{00000000-0005-0000-0000-000076020000}"/>
    <cellStyle name="2_Book1_CAU XOP XANG II(su­a)" xfId="630" xr:uid="{00000000-0005-0000-0000-000077020000}"/>
    <cellStyle name="2_Book1_CAU XOP XANG II(su­a)_Phu yen ban46" xfId="631" xr:uid="{00000000-0005-0000-0000-000078020000}"/>
    <cellStyle name="2_Book1_CAU XOP XANG II(su­a)_Phu yen ban46_00. THDT_HOANG MAI" xfId="632" xr:uid="{00000000-0005-0000-0000-000079020000}"/>
    <cellStyle name="2_Book1_Dieu phoi dat goi 1" xfId="633" xr:uid="{00000000-0005-0000-0000-00007A020000}"/>
    <cellStyle name="2_Book1_Dieu phoi dat goi 1_Phu yen ban46" xfId="634" xr:uid="{00000000-0005-0000-0000-00007B020000}"/>
    <cellStyle name="2_Book1_Dieu phoi dat goi 2" xfId="635" xr:uid="{00000000-0005-0000-0000-00007C020000}"/>
    <cellStyle name="2_Book1_Dieu phoi dat goi 2_Phu yen ban46" xfId="636" xr:uid="{00000000-0005-0000-0000-00007D020000}"/>
    <cellStyle name="2_Book1_DT Kha thi ngay 11-2-06" xfId="637" xr:uid="{00000000-0005-0000-0000-00007E020000}"/>
    <cellStyle name="2_Book1_DT Kha thi ngay 11-2-06_Phu yen ban46" xfId="638" xr:uid="{00000000-0005-0000-0000-00007F020000}"/>
    <cellStyle name="2_Book1_DT Kha thi ngay 11-2-06_Phu yen ban46_00. THDT_HOANG MAI" xfId="639" xr:uid="{00000000-0005-0000-0000-000080020000}"/>
    <cellStyle name="2_Book1_DT ngay 04-01-2006" xfId="640" xr:uid="{00000000-0005-0000-0000-000081020000}"/>
    <cellStyle name="2_Book1_DT ngay 04-01-2006_Phu yen ban46" xfId="641" xr:uid="{00000000-0005-0000-0000-000082020000}"/>
    <cellStyle name="2_Book1_DT ngay 11-4-2006" xfId="642" xr:uid="{00000000-0005-0000-0000-000083020000}"/>
    <cellStyle name="2_Book1_DT ngay 11-4-2006_Phu yen ban46" xfId="643" xr:uid="{00000000-0005-0000-0000-000084020000}"/>
    <cellStyle name="2_Book1_DT ngay 15-11-05" xfId="644" xr:uid="{00000000-0005-0000-0000-000085020000}"/>
    <cellStyle name="2_Book1_DT ngay 15-11-05_Phu yen ban46" xfId="645" xr:uid="{00000000-0005-0000-0000-000086020000}"/>
    <cellStyle name="2_Book1_DT ngay 15-11-05_Phu yen ban46_00. THDT_HOANG MAI" xfId="646" xr:uid="{00000000-0005-0000-0000-000087020000}"/>
    <cellStyle name="2_Book1_DT theo DM24" xfId="647" xr:uid="{00000000-0005-0000-0000-000088020000}"/>
    <cellStyle name="2_Book1_Du toan KT-TCsua theo TT 03 - YC 471" xfId="648" xr:uid="{00000000-0005-0000-0000-000089020000}"/>
    <cellStyle name="2_Book1_Du toan KT-TCsua theo TT 03 - YC 471_Phu yen ban46" xfId="649" xr:uid="{00000000-0005-0000-0000-00008A020000}"/>
    <cellStyle name="2_Book1_Du toan Phuong lam" xfId="650" xr:uid="{00000000-0005-0000-0000-00008B020000}"/>
    <cellStyle name="2_Book1_Du toan Phuong lam_Phu yen ban46" xfId="651" xr:uid="{00000000-0005-0000-0000-00008C020000}"/>
    <cellStyle name="2_Book1_Du toan Phuong lam_Phu yen ban46_00. THDT_HOANG MAI" xfId="652" xr:uid="{00000000-0005-0000-0000-00008D020000}"/>
    <cellStyle name="2_Book1_Du toan QL 27 (23-12-2005)" xfId="653" xr:uid="{00000000-0005-0000-0000-00008E020000}"/>
    <cellStyle name="2_Book1_Du toan QL 27 (23-12-2005)_Phu yen ban46" xfId="654" xr:uid="{00000000-0005-0000-0000-00008F020000}"/>
    <cellStyle name="2_Book1_DuAnKT ngay 11-2-2006" xfId="655" xr:uid="{00000000-0005-0000-0000-000090020000}"/>
    <cellStyle name="2_Book1_DuAnKT ngay 11-2-2006_Phu yen ban46" xfId="656" xr:uid="{00000000-0005-0000-0000-000091020000}"/>
    <cellStyle name="2_Book1_Goi 1" xfId="657" xr:uid="{00000000-0005-0000-0000-000092020000}"/>
    <cellStyle name="2_Book1_Goi 1_Phu yen ban46" xfId="658" xr:uid="{00000000-0005-0000-0000-000093020000}"/>
    <cellStyle name="2_Book1_Goi thau so 1 (14-12-2006)" xfId="659" xr:uid="{00000000-0005-0000-0000-000094020000}"/>
    <cellStyle name="2_Book1_Goi thau so 2 (20-6-2006)" xfId="660" xr:uid="{00000000-0005-0000-0000-000095020000}"/>
    <cellStyle name="2_Book1_Goi thau so 2 (20-6-2006)_Phu yen ban46" xfId="661" xr:uid="{00000000-0005-0000-0000-000096020000}"/>
    <cellStyle name="2_Book1_Goi thau so 2 (20-6-2006)_Phu yen ban46_00. THDT_HOANG MAI" xfId="662" xr:uid="{00000000-0005-0000-0000-000097020000}"/>
    <cellStyle name="2_Book1_Goi thau so 2 (30-01-2007)" xfId="663" xr:uid="{00000000-0005-0000-0000-000098020000}"/>
    <cellStyle name="2_Book1_Goi02(25-05-2006)" xfId="664" xr:uid="{00000000-0005-0000-0000-000099020000}"/>
    <cellStyle name="2_Book1_Goi02(25-05-2006)_Phu yen ban46" xfId="665" xr:uid="{00000000-0005-0000-0000-00009A020000}"/>
    <cellStyle name="2_Book1_K C N - HUNG DONG L.NHUA" xfId="666" xr:uid="{00000000-0005-0000-0000-00009B020000}"/>
    <cellStyle name="2_Book1_K C N - HUNG DONG L.NHUA_Phu yen ban46" xfId="667" xr:uid="{00000000-0005-0000-0000-00009C020000}"/>
    <cellStyle name="2_Book1_K C N - HUNG DONG L.NHUA_Phu yen ban46_00. THDT_HOANG MAI" xfId="668" xr:uid="{00000000-0005-0000-0000-00009D020000}"/>
    <cellStyle name="2_Book1_km48-53 (tham tra ngay 23-10-2006)" xfId="669" xr:uid="{00000000-0005-0000-0000-0000A1020000}"/>
    <cellStyle name="2_Book1_Khoi Luong Hoang Truong - Hoang Phu" xfId="670" xr:uid="{00000000-0005-0000-0000-00009E020000}"/>
    <cellStyle name="2_Book1_Khoi Luong Hoang Truong - Hoang Phu_Phu yen ban46" xfId="671" xr:uid="{00000000-0005-0000-0000-00009F020000}"/>
    <cellStyle name="2_Book1_Khoi Luong Hoang Truong - Hoang Phu_Phu yen ban46_00. THDT_HOANG MAI" xfId="672" xr:uid="{00000000-0005-0000-0000-0000A0020000}"/>
    <cellStyle name="2_Book1_Muong TL" xfId="673" xr:uid="{00000000-0005-0000-0000-0000A2020000}"/>
    <cellStyle name="2_Book1_Muong TL_Phu yen ban46" xfId="674" xr:uid="{00000000-0005-0000-0000-0000A3020000}"/>
    <cellStyle name="2_Book1_Tuyen so 1-Km0+00 - Km0+852.56" xfId="675" xr:uid="{00000000-0005-0000-0000-0000A4020000}"/>
    <cellStyle name="2_Book1_Tuyen so 1-Km0+00 - Km0+852.56_Phu yen ban46" xfId="676" xr:uid="{00000000-0005-0000-0000-0000A5020000}"/>
    <cellStyle name="2_Book1_TV sua ngay 02-08-06" xfId="677" xr:uid="{00000000-0005-0000-0000-0000A6020000}"/>
    <cellStyle name="2_Book1_ÿÿÿÿÿ" xfId="678" xr:uid="{00000000-0005-0000-0000-0000A7020000}"/>
    <cellStyle name="2_C" xfId="679" xr:uid="{00000000-0005-0000-0000-0000A8020000}"/>
    <cellStyle name="2_C_Phu yen ban46" xfId="680" xr:uid="{00000000-0005-0000-0000-0000A9020000}"/>
    <cellStyle name="2_Cau Bai Son 2 Km 0+270.26 (8-11-2006)" xfId="681" xr:uid="{00000000-0005-0000-0000-0000AA020000}"/>
    <cellStyle name="2_Cau Hoi 115" xfId="682" xr:uid="{00000000-0005-0000-0000-0000AB020000}"/>
    <cellStyle name="2_Cau Hua Trai (TT 04)" xfId="683" xr:uid="{00000000-0005-0000-0000-0000AC020000}"/>
    <cellStyle name="2_Cau Hua Trai (TT 04)_Phu yen ban46" xfId="684" xr:uid="{00000000-0005-0000-0000-0000AD020000}"/>
    <cellStyle name="2_Cau My Thinh sua theo don gia 59 (19-5-07)" xfId="685" xr:uid="{00000000-0005-0000-0000-0000AE020000}"/>
    <cellStyle name="2_Cau Nam Tot(ngay 2-10-2006)" xfId="686" xr:uid="{00000000-0005-0000-0000-0000AF020000}"/>
    <cellStyle name="2_Cau Song Dao Km 1+51.54 (20-12-2006)" xfId="687" xr:uid="{00000000-0005-0000-0000-0000B0020000}"/>
    <cellStyle name="2_Cau Thanh Ha 1" xfId="688" xr:uid="{00000000-0005-0000-0000-0000B1020000}"/>
    <cellStyle name="2_Cau Thanh Ha 1_Phu yen ban46" xfId="689" xr:uid="{00000000-0005-0000-0000-0000B2020000}"/>
    <cellStyle name="2_Cau thuy dien Ban La (Cu Anh)" xfId="690" xr:uid="{00000000-0005-0000-0000-0000B3020000}"/>
    <cellStyle name="2_Cau thuy dien Ban La (Cu Anh)_00. THDT_HOANG MAI" xfId="691" xr:uid="{00000000-0005-0000-0000-0000B4020000}"/>
    <cellStyle name="2_Cau thuy dien Ban La (Cu Anh)_ha" xfId="692" xr:uid="{00000000-0005-0000-0000-0000B5020000}"/>
    <cellStyle name="2_Cau thuy dien Ban La (Cu Anh)_ha_00. THDT_HOANG MAI" xfId="693" xr:uid="{00000000-0005-0000-0000-0000B6020000}"/>
    <cellStyle name="2_Cau thuy dien Ban La (Cu Anh)_k475-491- sua theo Tham tra lan 2  " xfId="694" xr:uid="{00000000-0005-0000-0000-0000B7020000}"/>
    <cellStyle name="2_Cau thuy dien Ban La (Cu Anh)_Phu yen ban46" xfId="695" xr:uid="{00000000-0005-0000-0000-0000B8020000}"/>
    <cellStyle name="2_Cau thuy dien Ban La (Cu Anh)_Phu yen ban46_00. THDT_HOANG MAI" xfId="696" xr:uid="{00000000-0005-0000-0000-0000B9020000}"/>
    <cellStyle name="2_Cau Tram Cua - Km4+484.54" xfId="697" xr:uid="{00000000-0005-0000-0000-0000BA020000}"/>
    <cellStyle name="2_CAU XOP XANG II(su­a)" xfId="698" xr:uid="{00000000-0005-0000-0000-0000BB020000}"/>
    <cellStyle name="2_CAU XOP XANG II(su­a)_Phu yen ban46" xfId="699" xr:uid="{00000000-0005-0000-0000-0000BC020000}"/>
    <cellStyle name="2_cong" xfId="700" xr:uid="{00000000-0005-0000-0000-0000C1020000}"/>
    <cellStyle name="2_cong_Phu yen ban46" xfId="701" xr:uid="{00000000-0005-0000-0000-0000C2020000}"/>
    <cellStyle name="2_Copy of QL_27(TV8)-chinh" xfId="702" xr:uid="{00000000-0005-0000-0000-0000C3020000}"/>
    <cellStyle name="2_Chau Thon - Tan Xuan (goi 5)" xfId="703" xr:uid="{00000000-0005-0000-0000-0000BD020000}"/>
    <cellStyle name="2_Chau Thon - Tan Xuan (KCS 8-12-06)" xfId="704" xr:uid="{00000000-0005-0000-0000-0000BE020000}"/>
    <cellStyle name="2_Chi phi KS" xfId="705" xr:uid="{00000000-0005-0000-0000-0000BF020000}"/>
    <cellStyle name="2_Chi phi KS_Phu yen ban46" xfId="706" xr:uid="{00000000-0005-0000-0000-0000C0020000}"/>
    <cellStyle name="2_Dakt-Cau tinh Hua Phan" xfId="707" xr:uid="{00000000-0005-0000-0000-0000C4020000}"/>
    <cellStyle name="2_Dakt-Cau tinh Hua Phan_Phu yen ban46" xfId="708" xr:uid="{00000000-0005-0000-0000-0000C5020000}"/>
    <cellStyle name="2_DIEN" xfId="709" xr:uid="{00000000-0005-0000-0000-0000C6020000}"/>
    <cellStyle name="2_DIEN_Phu yen ban46" xfId="710" xr:uid="{00000000-0005-0000-0000-0000C7020000}"/>
    <cellStyle name="2_Dieu phoi dat goi 1" xfId="711" xr:uid="{00000000-0005-0000-0000-0000C8020000}"/>
    <cellStyle name="2_Dieu phoi dat goi 1_Phu yen ban46" xfId="712" xr:uid="{00000000-0005-0000-0000-0000C9020000}"/>
    <cellStyle name="2_Dieu phoi dat goi 1_Phu yen ban46_00. THDT_HOANG MAI" xfId="713" xr:uid="{00000000-0005-0000-0000-0000CA020000}"/>
    <cellStyle name="2_Dieu phoi dat goi 2" xfId="714" xr:uid="{00000000-0005-0000-0000-0000CB020000}"/>
    <cellStyle name="2_Dieu phoi dat goi 2_Phu yen ban46" xfId="715" xr:uid="{00000000-0005-0000-0000-0000CC020000}"/>
    <cellStyle name="2_Dieu phoi dat goi 2_Phu yen ban46_00. THDT_HOANG MAI" xfId="716" xr:uid="{00000000-0005-0000-0000-0000CD020000}"/>
    <cellStyle name="2_Dinh muc thiet ke" xfId="717" xr:uid="{00000000-0005-0000-0000-0000CE020000}"/>
    <cellStyle name="2_Dinh muc thiet ke_Phu yen ban46" xfId="718" xr:uid="{00000000-0005-0000-0000-0000CF020000}"/>
    <cellStyle name="2_DONGIA" xfId="719" xr:uid="{00000000-0005-0000-0000-0000D0020000}"/>
    <cellStyle name="2_DONGIA_Phu yen ban46" xfId="720" xr:uid="{00000000-0005-0000-0000-0000D1020000}"/>
    <cellStyle name="2_DT Chau Hong  trinh ngay 09-01-07" xfId="721" xr:uid="{00000000-0005-0000-0000-0000D2020000}"/>
    <cellStyle name="2_DT KT ngay 10-9-2005" xfId="722" xr:uid="{00000000-0005-0000-0000-0000D5020000}"/>
    <cellStyle name="2_DT KT ngay 10-9-2005_Phu yen ban46" xfId="723" xr:uid="{00000000-0005-0000-0000-0000D6020000}"/>
    <cellStyle name="2_DT Kha thi ngay 11-2-06" xfId="724" xr:uid="{00000000-0005-0000-0000-0000D3020000}"/>
    <cellStyle name="2_DT Kha thi ngay 11-2-06_Phu yen ban46" xfId="725" xr:uid="{00000000-0005-0000-0000-0000D4020000}"/>
    <cellStyle name="2_DT ngay 04-01-2006" xfId="726" xr:uid="{00000000-0005-0000-0000-0000D7020000}"/>
    <cellStyle name="2_DT ngay 04-01-2006_Phu yen ban46" xfId="727" xr:uid="{00000000-0005-0000-0000-0000D8020000}"/>
    <cellStyle name="2_DT ngay 04-01-2006_Phu yen ban46_00. THDT_HOANG MAI" xfId="728" xr:uid="{00000000-0005-0000-0000-0000D9020000}"/>
    <cellStyle name="2_DT ngay 11-4-2006" xfId="729" xr:uid="{00000000-0005-0000-0000-0000DA020000}"/>
    <cellStyle name="2_DT ngay 11-4-2006_Phu yen ban46" xfId="730" xr:uid="{00000000-0005-0000-0000-0000DB020000}"/>
    <cellStyle name="2_DT ngay 11-4-2006_Phu yen ban46_00. THDT_HOANG MAI" xfId="731" xr:uid="{00000000-0005-0000-0000-0000DC020000}"/>
    <cellStyle name="2_DT ngay 15-11-05" xfId="732" xr:uid="{00000000-0005-0000-0000-0000DD020000}"/>
    <cellStyle name="2_DT ngay 15-11-05_Phu yen ban46" xfId="733" xr:uid="{00000000-0005-0000-0000-0000DE020000}"/>
    <cellStyle name="2_DT theo DM24" xfId="734" xr:uid="{00000000-0005-0000-0000-0000DF020000}"/>
    <cellStyle name="2_DT-497" xfId="735" xr:uid="{00000000-0005-0000-0000-0000E0020000}"/>
    <cellStyle name="2_Dtdchinh2397" xfId="736" xr:uid="{00000000-0005-0000-0000-0000E1020000}"/>
    <cellStyle name="2_Dtdchinh2397_00. THDT_HOANG MAI" xfId="737" xr:uid="{00000000-0005-0000-0000-0000E2020000}"/>
    <cellStyle name="2_DT-Khao-s¸t-TD" xfId="738" xr:uid="{00000000-0005-0000-0000-0000E3020000}"/>
    <cellStyle name="2_DTXL goi 11(20-9-05)" xfId="739" xr:uid="{00000000-0005-0000-0000-0000E4020000}"/>
    <cellStyle name="2_DTXL goi 11(20-9-05)_Phu yen ban46" xfId="740" xr:uid="{00000000-0005-0000-0000-0000E5020000}"/>
    <cellStyle name="2_du toan" xfId="741" xr:uid="{00000000-0005-0000-0000-0000E6020000}"/>
    <cellStyle name="2_du toan (03-11-05)" xfId="742" xr:uid="{00000000-0005-0000-0000-0000E7020000}"/>
    <cellStyle name="2_du toan (03-11-05)_Phu yen ban46" xfId="743" xr:uid="{00000000-0005-0000-0000-0000E8020000}"/>
    <cellStyle name="2_Du toan (12-05-2005) Tham dinh" xfId="744" xr:uid="{00000000-0005-0000-0000-0000E9020000}"/>
    <cellStyle name="2_Du toan (12-05-2005) Tham dinh_Phu yen ban46" xfId="745" xr:uid="{00000000-0005-0000-0000-0000EA020000}"/>
    <cellStyle name="2_Du toan (12-05-2005) Tham dinh_Phu yen ban46_00. THDT_HOANG MAI" xfId="746" xr:uid="{00000000-0005-0000-0000-0000EB020000}"/>
    <cellStyle name="2_Du toan (23-05-2005) Tham dinh" xfId="747" xr:uid="{00000000-0005-0000-0000-0000EC020000}"/>
    <cellStyle name="2_Du toan (23-05-2005) Tham dinh_Phu yen ban46" xfId="748" xr:uid="{00000000-0005-0000-0000-0000ED020000}"/>
    <cellStyle name="2_Du toan (23-05-2005) Tham dinh_Phu yen ban46_00. THDT_HOANG MAI" xfId="749" xr:uid="{00000000-0005-0000-0000-0000EE020000}"/>
    <cellStyle name="2_Du toan (5 - 04 - 2004)" xfId="750" xr:uid="{00000000-0005-0000-0000-0000EF020000}"/>
    <cellStyle name="2_Du toan (5 - 04 - 2004)_Phu yen ban46" xfId="751" xr:uid="{00000000-0005-0000-0000-0000F0020000}"/>
    <cellStyle name="2_Du toan (5 - 04 - 2004)_Phu yen ban46_00. THDT_HOANG MAI" xfId="752" xr:uid="{00000000-0005-0000-0000-0000F1020000}"/>
    <cellStyle name="2_Du toan (6-3-2005)" xfId="753" xr:uid="{00000000-0005-0000-0000-0000F2020000}"/>
    <cellStyle name="2_Du toan (6-3-2005)_Phu yen ban46" xfId="754" xr:uid="{00000000-0005-0000-0000-0000F3020000}"/>
    <cellStyle name="2_Du toan (Ban A)" xfId="755" xr:uid="{00000000-0005-0000-0000-0000F4020000}"/>
    <cellStyle name="2_Du toan (Ban A)_Phu yen ban46" xfId="756" xr:uid="{00000000-0005-0000-0000-0000F5020000}"/>
    <cellStyle name="2_Du toan (Ban A)_Phu yen ban46_00. THDT_HOANG MAI" xfId="757" xr:uid="{00000000-0005-0000-0000-0000F6020000}"/>
    <cellStyle name="2_Du toan (ngay 13 - 07 - 2004)" xfId="758" xr:uid="{00000000-0005-0000-0000-0000F7020000}"/>
    <cellStyle name="2_Du toan (ngay 13 - 07 - 2004)_Phu yen ban46" xfId="759" xr:uid="{00000000-0005-0000-0000-0000F8020000}"/>
    <cellStyle name="2_Du toan (ngay 13 - 07 - 2004)_Phu yen ban46_00. THDT_HOANG MAI" xfId="760" xr:uid="{00000000-0005-0000-0000-0000F9020000}"/>
    <cellStyle name="2_Du toan (ngay 25-9-06)" xfId="761" xr:uid="{00000000-0005-0000-0000-0000FA020000}"/>
    <cellStyle name="2_Du toan (ngay03-02-07) theo DG moi" xfId="762" xr:uid="{00000000-0005-0000-0000-0000FB020000}"/>
    <cellStyle name="2_Du toan 558 (Km17+508.12 - Km 22)" xfId="763" xr:uid="{00000000-0005-0000-0000-0000FC020000}"/>
    <cellStyle name="2_Du toan 558 (Km17+508.12 - Km 22)_00. THDT_HOANG MAI" xfId="764" xr:uid="{00000000-0005-0000-0000-0000FD020000}"/>
    <cellStyle name="2_Du toan 558 (Km17+508.12 - Km 22)_ha" xfId="765" xr:uid="{00000000-0005-0000-0000-0000FE020000}"/>
    <cellStyle name="2_Du toan 558 (Km17+508.12 - Km 22)_ha_00. THDT_HOANG MAI" xfId="766" xr:uid="{00000000-0005-0000-0000-0000FF020000}"/>
    <cellStyle name="2_Du toan 558 (Km17+508.12 - Km 22)_k475-491- sua theo Tham tra lan 2  " xfId="767" xr:uid="{00000000-0005-0000-0000-000000030000}"/>
    <cellStyle name="2_Du toan 558 (Km17+508.12 - Km 22)_Phu yen ban46" xfId="768" xr:uid="{00000000-0005-0000-0000-000001030000}"/>
    <cellStyle name="2_Du toan 558 (Km17+508.12 - Km 22)_Phu yen ban46_00. THDT_HOANG MAI" xfId="769" xr:uid="{00000000-0005-0000-0000-000002030000}"/>
    <cellStyle name="2_Du toan bo sung (11-2004)" xfId="770" xr:uid="{00000000-0005-0000-0000-000003030000}"/>
    <cellStyle name="2_Du toan bo sung (11-2004)_Phu yen ban46" xfId="771" xr:uid="{00000000-0005-0000-0000-000004030000}"/>
    <cellStyle name="2_Du toan Cang Vung Ang (Tham tra 3-11-06)" xfId="772" xr:uid="{00000000-0005-0000-0000-000005030000}"/>
    <cellStyle name="2_Du toan Cang Vung Ang ngay 09-8-06 " xfId="773" xr:uid="{00000000-0005-0000-0000-000006030000}"/>
    <cellStyle name="2_Du toan dieu chin theo don gia moi (1-2-2007)" xfId="774" xr:uid="{00000000-0005-0000-0000-000007030000}"/>
    <cellStyle name="2_Du toan Doan Km 53 - 60 sua theo tham tra(15-5-2007)" xfId="775" xr:uid="{00000000-0005-0000-0000-000008030000}"/>
    <cellStyle name="2_Du toan Goi 1" xfId="776" xr:uid="{00000000-0005-0000-0000-000009030000}"/>
    <cellStyle name="2_Du toan Goi 1_Phu yen ban46" xfId="777" xr:uid="{00000000-0005-0000-0000-00000A030000}"/>
    <cellStyle name="2_Du toan Goi 1_Phu yen ban46_00. THDT_HOANG MAI" xfId="778" xr:uid="{00000000-0005-0000-0000-00000B030000}"/>
    <cellStyle name="2_du toan goi 12" xfId="779" xr:uid="{00000000-0005-0000-0000-00000C030000}"/>
    <cellStyle name="2_du toan goi 12_Phu yen ban46" xfId="780" xr:uid="{00000000-0005-0000-0000-00000D030000}"/>
    <cellStyle name="2_Du toan Goi 2" xfId="781" xr:uid="{00000000-0005-0000-0000-00000E030000}"/>
    <cellStyle name="2_Du toan Goi 2_Phu yen ban46" xfId="782" xr:uid="{00000000-0005-0000-0000-00000F030000}"/>
    <cellStyle name="2_Du toan Goi 2_Phu yen ban46_00. THDT_HOANG MAI" xfId="783" xr:uid="{00000000-0005-0000-0000-000010030000}"/>
    <cellStyle name="2_Du toan Huong Lam - Ban Giang (ngay28-11-06)" xfId="784" xr:uid="{00000000-0005-0000-0000-000011030000}"/>
    <cellStyle name="2_Du toan Huong Lam - Ban Giang theo DG 59 (ngay3-2-07)" xfId="785" xr:uid="{00000000-0005-0000-0000-000012030000}"/>
    <cellStyle name="2_Du toan KT-TCsua theo TT 03 - YC 471" xfId="786" xr:uid="{00000000-0005-0000-0000-000013030000}"/>
    <cellStyle name="2_Du toan KT-TCsua theo TT 03 - YC 471_Phu yen ban46" xfId="787" xr:uid="{00000000-0005-0000-0000-000014030000}"/>
    <cellStyle name="2_Du toan KT-TCsua theo TT 03 - YC 471_Phu yen ban46_00. THDT_HOANG MAI" xfId="788" xr:uid="{00000000-0005-0000-0000-000015030000}"/>
    <cellStyle name="2_Du toan ngay (28-10-2005)" xfId="789" xr:uid="{00000000-0005-0000-0000-000016030000}"/>
    <cellStyle name="2_Du toan ngay (28-10-2005)_Phu yen ban46" xfId="790" xr:uid="{00000000-0005-0000-0000-000017030000}"/>
    <cellStyle name="2_Du toan ngay (28-10-2005)_Phu yen ban46_00. THDT_HOANG MAI" xfId="791" xr:uid="{00000000-0005-0000-0000-000018030000}"/>
    <cellStyle name="2_Du toan ngay 16-4-2007" xfId="792" xr:uid="{00000000-0005-0000-0000-000019030000}"/>
    <cellStyle name="2_Du toan ngay 1-9-2004 (version 1)" xfId="793" xr:uid="{00000000-0005-0000-0000-00001A030000}"/>
    <cellStyle name="2_Du toan ngay 1-9-2004 (version 1)_Phu yen ban46" xfId="794" xr:uid="{00000000-0005-0000-0000-00001B030000}"/>
    <cellStyle name="2_Du toan ngay 1-9-2004 (version 1)_Phu yen ban46_00. THDT_HOANG MAI" xfId="795" xr:uid="{00000000-0005-0000-0000-00001C030000}"/>
    <cellStyle name="2_Du toan Phuong lam" xfId="796" xr:uid="{00000000-0005-0000-0000-00001D030000}"/>
    <cellStyle name="2_Du toan Phuong lam_Phu yen ban46" xfId="797" xr:uid="{00000000-0005-0000-0000-00001E030000}"/>
    <cellStyle name="2_Du toan QL 27 (23-12-2005)" xfId="798" xr:uid="{00000000-0005-0000-0000-00001F030000}"/>
    <cellStyle name="2_Du toan QL 27 (23-12-2005)_Phu yen ban46" xfId="799" xr:uid="{00000000-0005-0000-0000-000020030000}"/>
    <cellStyle name="2_Du toan QL 27 (23-12-2005)_Phu yen ban46_00. THDT_HOANG MAI" xfId="800" xr:uid="{00000000-0005-0000-0000-000021030000}"/>
    <cellStyle name="2_Du toan Tay Thanh Hoa duyetcuoi" xfId="801" xr:uid="{00000000-0005-0000-0000-000022030000}"/>
    <cellStyle name="2_Du toan_Coc moc GPMB-Phu Yen" xfId="802" xr:uid="{00000000-0005-0000-0000-000023030000}"/>
    <cellStyle name="2_Du toan_Coc moc GPMB-Phu Yen_00. THDT_HOANG MAI" xfId="803" xr:uid="{00000000-0005-0000-0000-000024030000}"/>
    <cellStyle name="2_du toan_Phu yen ban46" xfId="804" xr:uid="{00000000-0005-0000-0000-000025030000}"/>
    <cellStyle name="2_Du_toan_Ho_Xa___Vinh_Tan_WB3 sua ngay 18-8-06" xfId="805" xr:uid="{00000000-0005-0000-0000-000026030000}"/>
    <cellStyle name="2_DuAnKT ngay 11-2-2006" xfId="806" xr:uid="{00000000-0005-0000-0000-000027030000}"/>
    <cellStyle name="2_DuAnKT ngay 11-2-2006_Phu yen ban46" xfId="807" xr:uid="{00000000-0005-0000-0000-000028030000}"/>
    <cellStyle name="2_DuAnKT ngay 11-2-2006_Phu yen ban46_00. THDT_HOANG MAI" xfId="808" xr:uid="{00000000-0005-0000-0000-000029030000}"/>
    <cellStyle name="2_goi 1" xfId="809" xr:uid="{00000000-0005-0000-0000-000030030000}"/>
    <cellStyle name="2_Goi 1 (TT04)" xfId="810" xr:uid="{00000000-0005-0000-0000-000031030000}"/>
    <cellStyle name="2_Goi 1 (TT04)_Phu yen ban46" xfId="811" xr:uid="{00000000-0005-0000-0000-000032030000}"/>
    <cellStyle name="2_goi 1 duyet theo luong mo (an)" xfId="812" xr:uid="{00000000-0005-0000-0000-000033030000}"/>
    <cellStyle name="2_goi 1 duyet theo luong mo (an)_Phu yen ban46" xfId="813" xr:uid="{00000000-0005-0000-0000-000034030000}"/>
    <cellStyle name="2_Goi 1_1" xfId="814" xr:uid="{00000000-0005-0000-0000-000035030000}"/>
    <cellStyle name="2_Goi 1_1_Phu yen ban46" xfId="815" xr:uid="{00000000-0005-0000-0000-000036030000}"/>
    <cellStyle name="2_Goi 1_1_Phu yen ban46_00. THDT_HOANG MAI" xfId="816" xr:uid="{00000000-0005-0000-0000-000037030000}"/>
    <cellStyle name="2_goi 1_Phu yen ban46" xfId="817" xr:uid="{00000000-0005-0000-0000-000038030000}"/>
    <cellStyle name="2_Goi so 1" xfId="818" xr:uid="{00000000-0005-0000-0000-000039030000}"/>
    <cellStyle name="2_Goi so 1_Phu yen ban46" xfId="819" xr:uid="{00000000-0005-0000-0000-00003A030000}"/>
    <cellStyle name="2_Goi thau so 08 (11-05-2007)" xfId="820" xr:uid="{00000000-0005-0000-0000-00003B030000}"/>
    <cellStyle name="2_Goi thau so 1 (14-12-2006)" xfId="821" xr:uid="{00000000-0005-0000-0000-00003C030000}"/>
    <cellStyle name="2_Goi thau so 2 (20-6-2006)" xfId="822" xr:uid="{00000000-0005-0000-0000-00003D030000}"/>
    <cellStyle name="2_Goi thau so 2 (20-6-2006)_Phu yen ban46" xfId="823" xr:uid="{00000000-0005-0000-0000-00003E030000}"/>
    <cellStyle name="2_Goi02(25-05-2006)" xfId="824" xr:uid="{00000000-0005-0000-0000-00003F030000}"/>
    <cellStyle name="2_Goi02(25-05-2006)_Phu yen ban46" xfId="825" xr:uid="{00000000-0005-0000-0000-000040030000}"/>
    <cellStyle name="2_Goi02(25-05-2006)_Phu yen ban46_00. THDT_HOANG MAI" xfId="826" xr:uid="{00000000-0005-0000-0000-000041030000}"/>
    <cellStyle name="2_Goi1N206" xfId="827" xr:uid="{00000000-0005-0000-0000-000042030000}"/>
    <cellStyle name="2_Goi1N206_Phu yen ban46" xfId="828" xr:uid="{00000000-0005-0000-0000-000043030000}"/>
    <cellStyle name="2_Goi1N206_Phu yen ban46_00. THDT_HOANG MAI" xfId="829" xr:uid="{00000000-0005-0000-0000-000044030000}"/>
    <cellStyle name="2_Goi2N206" xfId="830" xr:uid="{00000000-0005-0000-0000-000045030000}"/>
    <cellStyle name="2_Goi2N206_Phu yen ban46" xfId="831" xr:uid="{00000000-0005-0000-0000-000046030000}"/>
    <cellStyle name="2_Goi2N206_Phu yen ban46_00. THDT_HOANG MAI" xfId="832" xr:uid="{00000000-0005-0000-0000-000047030000}"/>
    <cellStyle name="2_Goi4N216" xfId="833" xr:uid="{00000000-0005-0000-0000-000048030000}"/>
    <cellStyle name="2_Goi4N216_Phu yen ban46" xfId="834" xr:uid="{00000000-0005-0000-0000-000049030000}"/>
    <cellStyle name="2_Goi4N216_Phu yen ban46_00. THDT_HOANG MAI" xfId="835" xr:uid="{00000000-0005-0000-0000-00004A030000}"/>
    <cellStyle name="2_Goi5N216" xfId="836" xr:uid="{00000000-0005-0000-0000-00004B030000}"/>
    <cellStyle name="2_Goi5N216_Phu yen ban46" xfId="837" xr:uid="{00000000-0005-0000-0000-00004C030000}"/>
    <cellStyle name="2_Goi5N216_Phu yen ban46_00. THDT_HOANG MAI" xfId="838" xr:uid="{00000000-0005-0000-0000-00004D030000}"/>
    <cellStyle name="2_Gia_VL cau-JIBIC-Ha-tinh" xfId="839" xr:uid="{00000000-0005-0000-0000-00002A030000}"/>
    <cellStyle name="2_Gia_VL cau-JIBIC-Ha-tinh_Phu yen ban46" xfId="840" xr:uid="{00000000-0005-0000-0000-00002B030000}"/>
    <cellStyle name="2_Gia_VL cau-JIBIC-Ha-tinh_Phu yen ban46_00. THDT_HOANG MAI" xfId="841" xr:uid="{00000000-0005-0000-0000-00002C030000}"/>
    <cellStyle name="2_Gia_VLQL48_duyet " xfId="842" xr:uid="{00000000-0005-0000-0000-00002D030000}"/>
    <cellStyle name="2_Gia_VLQL48_duyet _Phu yen ban46" xfId="843" xr:uid="{00000000-0005-0000-0000-00002E030000}"/>
    <cellStyle name="2_Gia_VLQL48_duyet _Phu yen ban46_00. THDT_HOANG MAI" xfId="844" xr:uid="{00000000-0005-0000-0000-00002F030000}"/>
    <cellStyle name="2_Hoi Song" xfId="845" xr:uid="{00000000-0005-0000-0000-00004E030000}"/>
    <cellStyle name="2_Hoi Song_Phu yen ban46" xfId="846" xr:uid="{00000000-0005-0000-0000-00004F030000}"/>
    <cellStyle name="2_HT-LO" xfId="847" xr:uid="{00000000-0005-0000-0000-000050030000}"/>
    <cellStyle name="2_HT-LO_Phu yen ban46" xfId="848" xr:uid="{00000000-0005-0000-0000-000051030000}"/>
    <cellStyle name="2_HT-LO_Phu yen ban46_00. THDT_HOANG MAI" xfId="849" xr:uid="{00000000-0005-0000-0000-000052030000}"/>
    <cellStyle name="2_Huong Lam - Ban Giang (11-4-2007)" xfId="850" xr:uid="{00000000-0005-0000-0000-000053030000}"/>
    <cellStyle name="2_KL" xfId="851" xr:uid="{00000000-0005-0000-0000-000060030000}"/>
    <cellStyle name="2_KL_Cau My Thinh sua theo don gia 59 (19-5-07)" xfId="852" xr:uid="{00000000-0005-0000-0000-000061030000}"/>
    <cellStyle name="2_Kl_DT_Tham_Dinh_497_16-4-07" xfId="853" xr:uid="{00000000-0005-0000-0000-000062030000}"/>
    <cellStyle name="2_KL_DT-497" xfId="854" xr:uid="{00000000-0005-0000-0000-000063030000}"/>
    <cellStyle name="2_KL_DT-Khao-s¸t-TD" xfId="855" xr:uid="{00000000-0005-0000-0000-000064030000}"/>
    <cellStyle name="2_KL_Huong Lam - Ban Giang (11-4-2007)" xfId="856" xr:uid="{00000000-0005-0000-0000-000065030000}"/>
    <cellStyle name="2_Kl6-6-05" xfId="857" xr:uid="{00000000-0005-0000-0000-000066030000}"/>
    <cellStyle name="2_Kl6-6-05_Phu yen ban46" xfId="858" xr:uid="{00000000-0005-0000-0000-000067030000}"/>
    <cellStyle name="2_KLCongTh" xfId="859" xr:uid="{00000000-0005-0000-0000-000068030000}"/>
    <cellStyle name="2_Kldoan3" xfId="860" xr:uid="{00000000-0005-0000-0000-000069030000}"/>
    <cellStyle name="2_KLhoxa" xfId="861" xr:uid="{00000000-0005-0000-0000-00006A030000}"/>
    <cellStyle name="2_KLNM 1303" xfId="862" xr:uid="{00000000-0005-0000-0000-00006B030000}"/>
    <cellStyle name="2_Klnutgiao" xfId="863" xr:uid="{00000000-0005-0000-0000-00006C030000}"/>
    <cellStyle name="2_Klnutgiao_Phu yen ban46" xfId="864" xr:uid="{00000000-0005-0000-0000-00006D030000}"/>
    <cellStyle name="2_KLPA2s" xfId="865" xr:uid="{00000000-0005-0000-0000-00006E030000}"/>
    <cellStyle name="2_KLPA2s_Phu yen ban46" xfId="866" xr:uid="{00000000-0005-0000-0000-00006F030000}"/>
    <cellStyle name="2_KlQdinhduyet" xfId="867" xr:uid="{00000000-0005-0000-0000-000070030000}"/>
    <cellStyle name="2_KlQdinhduyet_Phu yen ban46" xfId="868" xr:uid="{00000000-0005-0000-0000-000071030000}"/>
    <cellStyle name="2_KlQdinhduyet_Phu yen ban46_00. THDT_HOANG MAI" xfId="869" xr:uid="{00000000-0005-0000-0000-000072030000}"/>
    <cellStyle name="2_KlQL4goi5KCS" xfId="870" xr:uid="{00000000-0005-0000-0000-000073030000}"/>
    <cellStyle name="2_KlQL4goi5KCS_Phu yen ban46" xfId="871" xr:uid="{00000000-0005-0000-0000-000074030000}"/>
    <cellStyle name="2_Kltayth" xfId="872" xr:uid="{00000000-0005-0000-0000-000075030000}"/>
    <cellStyle name="2_Kltayth_Phu yen ban46" xfId="873" xr:uid="{00000000-0005-0000-0000-000076030000}"/>
    <cellStyle name="2_KltaythQDduyet" xfId="874" xr:uid="{00000000-0005-0000-0000-000077030000}"/>
    <cellStyle name="2_KltaythQDduyet_Phu yen ban46" xfId="875" xr:uid="{00000000-0005-0000-0000-000078030000}"/>
    <cellStyle name="2_Kluong4-2004" xfId="876" xr:uid="{00000000-0005-0000-0000-000079030000}"/>
    <cellStyle name="2_Kluong4-2004_Phu yen ban46" xfId="877" xr:uid="{00000000-0005-0000-0000-00007A030000}"/>
    <cellStyle name="2_Kluong4-2004_Phu yen ban46_00. THDT_HOANG MAI" xfId="878" xr:uid="{00000000-0005-0000-0000-00007B030000}"/>
    <cellStyle name="2_Km 48 - 53 (sua nap TVTT 6-7-2007)" xfId="879" xr:uid="{00000000-0005-0000-0000-00007C030000}"/>
    <cellStyle name="2_Km2" xfId="880" xr:uid="{00000000-0005-0000-0000-00007D030000}"/>
    <cellStyle name="2_Km3" xfId="881" xr:uid="{00000000-0005-0000-0000-00007E030000}"/>
    <cellStyle name="2_km4-6" xfId="882" xr:uid="{00000000-0005-0000-0000-00007F030000}"/>
    <cellStyle name="2_km48-53 (tham tra ngay 23-10-2006)" xfId="883" xr:uid="{00000000-0005-0000-0000-000080030000}"/>
    <cellStyle name="2_km48-53 (tham tra ngay 23-10-2006)theo gi¸ ca m¸y míi" xfId="884" xr:uid="{00000000-0005-0000-0000-000081030000}"/>
    <cellStyle name="2_khao sat DBGPMB" xfId="885" xr:uid="{00000000-0005-0000-0000-000054030000}"/>
    <cellStyle name="2_khao sat DBGPMB_00. THDT_HOANG MAI" xfId="886" xr:uid="{00000000-0005-0000-0000-000055030000}"/>
    <cellStyle name="2_Khoi luong" xfId="887" xr:uid="{00000000-0005-0000-0000-000056030000}"/>
    <cellStyle name="2_Khoi luong doan 1" xfId="888" xr:uid="{00000000-0005-0000-0000-000057030000}"/>
    <cellStyle name="2_Khoi luong doan 1_Phu yen ban46" xfId="889" xr:uid="{00000000-0005-0000-0000-000058030000}"/>
    <cellStyle name="2_Khoi luong doan 1_Phu yen ban46_00. THDT_HOANG MAI" xfId="890" xr:uid="{00000000-0005-0000-0000-000059030000}"/>
    <cellStyle name="2_Khoi luong doan 2" xfId="891" xr:uid="{00000000-0005-0000-0000-00005A030000}"/>
    <cellStyle name="2_Khoi Luong Hoang Truong - Hoang Phu" xfId="892" xr:uid="{00000000-0005-0000-0000-00005B030000}"/>
    <cellStyle name="2_Khoi Luong Hoang Truong - Hoang Phu_Phu yen ban46" xfId="893" xr:uid="{00000000-0005-0000-0000-00005C030000}"/>
    <cellStyle name="2_Khoi Luong Hoang Truong - Hoang Phu_Phu yen ban46_00. THDT_HOANG MAI" xfId="894" xr:uid="{00000000-0005-0000-0000-00005D030000}"/>
    <cellStyle name="2_Khoi luong_Phu yen ban46" xfId="895" xr:uid="{00000000-0005-0000-0000-00005E030000}"/>
    <cellStyle name="2_Khoi luong_Phu yen ban46_00. THDT_HOANG MAI" xfId="896" xr:uid="{00000000-0005-0000-0000-00005F030000}"/>
    <cellStyle name="2_Luong A6" xfId="897" xr:uid="{00000000-0005-0000-0000-000082030000}"/>
    <cellStyle name="2_Luong A6_Phu yen ban46" xfId="898" xr:uid="{00000000-0005-0000-0000-000083030000}"/>
    <cellStyle name="2_maugiacotaluy" xfId="899" xr:uid="{00000000-0005-0000-0000-000084030000}"/>
    <cellStyle name="2_maugiacotaluy_Phu yen ban46" xfId="900" xr:uid="{00000000-0005-0000-0000-000085030000}"/>
    <cellStyle name="2_My Thanh Son Thanh" xfId="901" xr:uid="{00000000-0005-0000-0000-000086030000}"/>
    <cellStyle name="2_My Thanh Son Thanh_Phu yen ban46" xfId="902" xr:uid="{00000000-0005-0000-0000-000087030000}"/>
    <cellStyle name="2_Nhom I" xfId="903" xr:uid="{00000000-0005-0000-0000-000088030000}"/>
    <cellStyle name="2_Nhom I_Phu yen ban46" xfId="904" xr:uid="{00000000-0005-0000-0000-000089030000}"/>
    <cellStyle name="2_Nhom I_Phu yen ban46_00. THDT_HOANG MAI" xfId="905" xr:uid="{00000000-0005-0000-0000-00008A030000}"/>
    <cellStyle name="2_Project N.Du" xfId="906" xr:uid="{00000000-0005-0000-0000-00008B030000}"/>
    <cellStyle name="2_Project N.Du.dien" xfId="907" xr:uid="{00000000-0005-0000-0000-00008C030000}"/>
    <cellStyle name="2_Project N.Du.dien_Phu yen ban46" xfId="908" xr:uid="{00000000-0005-0000-0000-00008D030000}"/>
    <cellStyle name="2_Project N.Du_Phu yen ban46" xfId="909" xr:uid="{00000000-0005-0000-0000-00008E030000}"/>
    <cellStyle name="2_Project N.Du_Phu yen ban46_00. THDT_HOANG MAI" xfId="910" xr:uid="{00000000-0005-0000-0000-00008F030000}"/>
    <cellStyle name="2_Project QL4" xfId="911" xr:uid="{00000000-0005-0000-0000-000090030000}"/>
    <cellStyle name="2_Project QL4 goi 7" xfId="912" xr:uid="{00000000-0005-0000-0000-000091030000}"/>
    <cellStyle name="2_Project QL4 goi 7_Phu yen ban46" xfId="913" xr:uid="{00000000-0005-0000-0000-000092030000}"/>
    <cellStyle name="2_Project QL4 goi 7_Phu yen ban46_00. THDT_HOANG MAI" xfId="914" xr:uid="{00000000-0005-0000-0000-000093030000}"/>
    <cellStyle name="2_Project QL4 goi5" xfId="915" xr:uid="{00000000-0005-0000-0000-000094030000}"/>
    <cellStyle name="2_Project QL4 goi5_Phu yen ban46" xfId="916" xr:uid="{00000000-0005-0000-0000-000095030000}"/>
    <cellStyle name="2_Project QL4 goi8" xfId="917" xr:uid="{00000000-0005-0000-0000-000096030000}"/>
    <cellStyle name="2_Project QL4 goi8_Phu yen ban46" xfId="918" xr:uid="{00000000-0005-0000-0000-000097030000}"/>
    <cellStyle name="2_Project QL4_Phu yen ban46" xfId="919" xr:uid="{00000000-0005-0000-0000-000098030000}"/>
    <cellStyle name="2_QL1A-SUA2005" xfId="920" xr:uid="{00000000-0005-0000-0000-000099030000}"/>
    <cellStyle name="2_QL1A-SUA2005_Phu yen ban46" xfId="921" xr:uid="{00000000-0005-0000-0000-00009A030000}"/>
    <cellStyle name="2_QL1A-SUA2005_Phu yen ban46_00. THDT_HOANG MAI" xfId="922" xr:uid="{00000000-0005-0000-0000-00009B030000}"/>
    <cellStyle name="2_Sheet1" xfId="923" xr:uid="{00000000-0005-0000-0000-00009C030000}"/>
    <cellStyle name="2_Sheet1_Cau My Thinh sua theo don gia 59 (19-5-07)" xfId="924" xr:uid="{00000000-0005-0000-0000-00009D030000}"/>
    <cellStyle name="2_Sheet1_DT_Tham_Dinh_497_16-4-07" xfId="925" xr:uid="{00000000-0005-0000-0000-00009E030000}"/>
    <cellStyle name="2_Sheet1_DT-497" xfId="926" xr:uid="{00000000-0005-0000-0000-00009F030000}"/>
    <cellStyle name="2_Sheet1_DT-Khao-s¸t-TD" xfId="927" xr:uid="{00000000-0005-0000-0000-0000A0030000}"/>
    <cellStyle name="2_Sheet1_Huong Lam - Ban Giang (11-4-2007)" xfId="928" xr:uid="{00000000-0005-0000-0000-0000A1030000}"/>
    <cellStyle name="2_Sheet1_Phu yen ban46" xfId="929" xr:uid="{00000000-0005-0000-0000-0000A2030000}"/>
    <cellStyle name="2_SuoiTon" xfId="930" xr:uid="{00000000-0005-0000-0000-0000A3030000}"/>
    <cellStyle name="2_SuoiTon_Phu yen ban46" xfId="931" xr:uid="{00000000-0005-0000-0000-0000A4030000}"/>
    <cellStyle name="2_SuoiTon_Phu yen ban46_00. THDT_HOANG MAI" xfId="932" xr:uid="{00000000-0005-0000-0000-0000A5030000}"/>
    <cellStyle name="2_t" xfId="933" xr:uid="{00000000-0005-0000-0000-0000A6030000}"/>
    <cellStyle name="2_t_Phu yen ban46" xfId="934" xr:uid="{00000000-0005-0000-0000-0000A7030000}"/>
    <cellStyle name="2_Tay THoa" xfId="935" xr:uid="{00000000-0005-0000-0000-0000A8030000}"/>
    <cellStyle name="2_Tay THoa_Phu yen ban46" xfId="936" xr:uid="{00000000-0005-0000-0000-0000A9030000}"/>
    <cellStyle name="2_Tay THoa_Phu yen ban46_00. THDT_HOANG MAI" xfId="937" xr:uid="{00000000-0005-0000-0000-0000AA030000}"/>
    <cellStyle name="2_Tong hop DT dieu chinh duong 38-95" xfId="938" xr:uid="{00000000-0005-0000-0000-0000B2030000}"/>
    <cellStyle name="2_Tong hop DT dieu chinh duong 38-95_Phu yen ban46" xfId="939" xr:uid="{00000000-0005-0000-0000-0000B3030000}"/>
    <cellStyle name="2_Tong hop khoi luong duong 557 (30-5-2006)" xfId="940" xr:uid="{00000000-0005-0000-0000-0000B4030000}"/>
    <cellStyle name="2_Tong hop khoi luong duong 557 (30-5-2006)_Phu yen ban46" xfId="941" xr:uid="{00000000-0005-0000-0000-0000B5030000}"/>
    <cellStyle name="2_Tong muc dau tu" xfId="942" xr:uid="{00000000-0005-0000-0000-0000B6030000}"/>
    <cellStyle name="2_Tong muc dau tu_Phu yen ban46" xfId="943" xr:uid="{00000000-0005-0000-0000-0000B7030000}"/>
    <cellStyle name="2_Tuyen so 1-Km0+00 - Km0+852.56" xfId="944" xr:uid="{00000000-0005-0000-0000-0000BA030000}"/>
    <cellStyle name="2_Tuyen so 1-Km0+00 - Km0+852.56_Phu yen ban46" xfId="945" xr:uid="{00000000-0005-0000-0000-0000BB030000}"/>
    <cellStyle name="2_Tuyen so 1-Km0+00 - Km0+852.56_Phu yen ban46_00. THDT_HOANG MAI" xfId="946" xr:uid="{00000000-0005-0000-0000-0000BC030000}"/>
    <cellStyle name="2_TV sua ngay 02-08-06" xfId="947" xr:uid="{00000000-0005-0000-0000-0000BD030000}"/>
    <cellStyle name="2_Tham tra (8-11)1" xfId="948" xr:uid="{00000000-0005-0000-0000-0000AB030000}"/>
    <cellStyle name="2_THkl" xfId="949" xr:uid="{00000000-0005-0000-0000-0000AC030000}"/>
    <cellStyle name="2_THklpa2" xfId="950" xr:uid="{00000000-0005-0000-0000-0000AD030000}"/>
    <cellStyle name="2_Thong ke cong" xfId="951" xr:uid="{00000000-0005-0000-0000-0000AE030000}"/>
    <cellStyle name="2_Thong ke cong_00. THDT_HOANG MAI" xfId="952" xr:uid="{00000000-0005-0000-0000-0000AF030000}"/>
    <cellStyle name="2_thong ke giao dan sinh" xfId="953" xr:uid="{00000000-0005-0000-0000-0000B0030000}"/>
    <cellStyle name="2_thong ke giao dan sinh_00. THDT_HOANG MAI" xfId="954" xr:uid="{00000000-0005-0000-0000-0000B1030000}"/>
    <cellStyle name="2_TRUNG PMU 5" xfId="955" xr:uid="{00000000-0005-0000-0000-0000B8030000}"/>
    <cellStyle name="2_TRUNG PMU 5_Phu yen ban46" xfId="956" xr:uid="{00000000-0005-0000-0000-0000B9030000}"/>
    <cellStyle name="2_VatLieu 3 cau -NA" xfId="957" xr:uid="{00000000-0005-0000-0000-0000BE030000}"/>
    <cellStyle name="2_VatLieu 3 cau -NA_Phu yen ban46" xfId="958" xr:uid="{00000000-0005-0000-0000-0000BF030000}"/>
    <cellStyle name="2_VatLieu 3 cau -NA_Phu yen ban46_00. THDT_HOANG MAI" xfId="959" xr:uid="{00000000-0005-0000-0000-0000C0030000}"/>
    <cellStyle name="2_ÿÿÿÿÿ" xfId="960" xr:uid="{00000000-0005-0000-0000-0000C1030000}"/>
    <cellStyle name="2_ÿÿÿÿÿ_1" xfId="961" xr:uid="{00000000-0005-0000-0000-0000C2030000}"/>
    <cellStyle name="2_ÿÿÿÿÿ_1_Phu yen ban46" xfId="962" xr:uid="{00000000-0005-0000-0000-0000C3030000}"/>
    <cellStyle name="2_ÿÿÿÿÿ_1_Phu yen ban46_00. THDT_HOANG MAI" xfId="963" xr:uid="{00000000-0005-0000-0000-0000C4030000}"/>
    <cellStyle name="2_ÿÿÿÿÿ_Book1" xfId="964" xr:uid="{00000000-0005-0000-0000-0000C5030000}"/>
    <cellStyle name="2_ÿÿÿÿÿ_Book1_Cau My Thinh sua theo don gia 59 (19-5-07)" xfId="965" xr:uid="{00000000-0005-0000-0000-0000C6030000}"/>
    <cellStyle name="2_ÿÿÿÿÿ_Book1_DT_Tham_Dinh_497_16-4-07" xfId="966" xr:uid="{00000000-0005-0000-0000-0000C7030000}"/>
    <cellStyle name="2_ÿÿÿÿÿ_Book1_DT-497" xfId="967" xr:uid="{00000000-0005-0000-0000-0000C8030000}"/>
    <cellStyle name="2_ÿÿÿÿÿ_Book1_DT-Khao-s¸t-TD" xfId="968" xr:uid="{00000000-0005-0000-0000-0000C9030000}"/>
    <cellStyle name="2_ÿÿÿÿÿ_Book1_Huong Lam - Ban Giang (11-4-2007)" xfId="969" xr:uid="{00000000-0005-0000-0000-0000CA030000}"/>
    <cellStyle name="2_ÿÿÿÿÿ_Cau My Thinh sua theo don gia 59 (19-5-07)" xfId="970" xr:uid="{00000000-0005-0000-0000-0000CB030000}"/>
    <cellStyle name="2_ÿÿÿÿÿ_DT_Tham_Dinh_497_16-4-07" xfId="971" xr:uid="{00000000-0005-0000-0000-0000CC030000}"/>
    <cellStyle name="2_ÿÿÿÿÿ_DT-497" xfId="972" xr:uid="{00000000-0005-0000-0000-0000CD030000}"/>
    <cellStyle name="2_ÿÿÿÿÿ_DT-Khao-s¸t-TD" xfId="973" xr:uid="{00000000-0005-0000-0000-0000CE030000}"/>
    <cellStyle name="2_ÿÿÿÿÿ_ha" xfId="974" xr:uid="{00000000-0005-0000-0000-0000CF030000}"/>
    <cellStyle name="2_ÿÿÿÿÿ_Huong Lam - Ban Giang (11-4-2007)" xfId="975" xr:uid="{00000000-0005-0000-0000-0000D0030000}"/>
    <cellStyle name="2_ÿÿÿÿÿ_k475-491- sua theo Tham tra lan 2  " xfId="976" xr:uid="{00000000-0005-0000-0000-0000D1030000}"/>
    <cellStyle name="2_ÿÿÿÿÿ_Phu yen ban46" xfId="977" xr:uid="{00000000-0005-0000-0000-0000D2030000}"/>
    <cellStyle name="2_ÿÿÿÿÿ_Tong hop DT dieu chinh duong 38-95" xfId="978" xr:uid="{00000000-0005-0000-0000-0000D3030000}"/>
    <cellStyle name="20" xfId="979" xr:uid="{00000000-0005-0000-0000-0000D4030000}"/>
    <cellStyle name="20% - Accent1 2" xfId="980" xr:uid="{00000000-0005-0000-0000-0000D5030000}"/>
    <cellStyle name="20% - Accent2 2" xfId="981" xr:uid="{00000000-0005-0000-0000-0000D6030000}"/>
    <cellStyle name="20% - Accent3 2" xfId="982" xr:uid="{00000000-0005-0000-0000-0000D7030000}"/>
    <cellStyle name="20% - Accent4 2" xfId="983" xr:uid="{00000000-0005-0000-0000-0000D8030000}"/>
    <cellStyle name="20% - Accent5 2" xfId="984" xr:uid="{00000000-0005-0000-0000-0000D9030000}"/>
    <cellStyle name="20% - Accent6 2" xfId="985" xr:uid="{00000000-0005-0000-0000-0000DA030000}"/>
    <cellStyle name="296_x000f_Normal_SPTQ1ACTormal_SPTQ2ACT" xfId="986" xr:uid="{00000000-0005-0000-0000-0000DB030000}"/>
    <cellStyle name="2ormal_Q2_1" xfId="987" xr:uid="{00000000-0005-0000-0000-0000DC030000}"/>
    <cellStyle name="3" xfId="988" xr:uid="{00000000-0005-0000-0000-0000DD030000}"/>
    <cellStyle name="3_6.Bang_luong_moi_XDCB" xfId="989" xr:uid="{00000000-0005-0000-0000-0000DE030000}"/>
    <cellStyle name="3_A che do KS +chi BQL" xfId="990" xr:uid="{00000000-0005-0000-0000-0000DF030000}"/>
    <cellStyle name="3_A che do KS +chi BQL_Phu yen ban46" xfId="991" xr:uid="{00000000-0005-0000-0000-0000E0030000}"/>
    <cellStyle name="3_Ban 47 (Ha Tinh)" xfId="992" xr:uid="{00000000-0005-0000-0000-0000E1030000}"/>
    <cellStyle name="3_BANG CAM COC GPMB 8km" xfId="993" xr:uid="{00000000-0005-0000-0000-0000E2030000}"/>
    <cellStyle name="3_BANG CAM COC GPMB 8km_Phu yen ban46" xfId="994" xr:uid="{00000000-0005-0000-0000-0000E3030000}"/>
    <cellStyle name="3_BANG CAM COC GPMB 8km_Phu yen ban46_00. THDT_HOANG MAI" xfId="995" xr:uid="{00000000-0005-0000-0000-0000E4030000}"/>
    <cellStyle name="3_Bang tong hop khoi luong" xfId="996" xr:uid="{00000000-0005-0000-0000-0000E5030000}"/>
    <cellStyle name="3_Bang tong hop khoi luong_Phu yen ban46" xfId="997" xr:uid="{00000000-0005-0000-0000-0000E6030000}"/>
    <cellStyle name="3_Book1" xfId="998" xr:uid="{00000000-0005-0000-0000-0000E7030000}"/>
    <cellStyle name="3_Book1 (version 1)" xfId="999" xr:uid="{00000000-0005-0000-0000-0000E8030000}"/>
    <cellStyle name="3_Book1 (version 1)_00. THDT_HOANG MAI" xfId="1000" xr:uid="{00000000-0005-0000-0000-0000E9030000}"/>
    <cellStyle name="3_Book1_1" xfId="1001" xr:uid="{00000000-0005-0000-0000-0000EA030000}"/>
    <cellStyle name="3_Book1_1_Phu yen ban46" xfId="1002" xr:uid="{00000000-0005-0000-0000-0000EB030000}"/>
    <cellStyle name="3_Book1_1_Phu yen ban46_00. THDT_HOANG MAI" xfId="1003" xr:uid="{00000000-0005-0000-0000-0000EC030000}"/>
    <cellStyle name="3_Book1_Book1" xfId="1004" xr:uid="{00000000-0005-0000-0000-0000ED030000}"/>
    <cellStyle name="3_Book1_Book1_Book1" xfId="1005" xr:uid="{00000000-0005-0000-0000-0000EE030000}"/>
    <cellStyle name="3_Book1_Book1_Phu yen ban46" xfId="1006" xr:uid="{00000000-0005-0000-0000-0000EF030000}"/>
    <cellStyle name="3_Book1_Book1_Phu yen ban46_00. THDT_HOANG MAI" xfId="1007" xr:uid="{00000000-0005-0000-0000-0000F0030000}"/>
    <cellStyle name="3_Book1_Cau Bai Son 2 Km 0+270.26 (8-11-2006)" xfId="1008" xr:uid="{00000000-0005-0000-0000-0000F1030000}"/>
    <cellStyle name="3_Book1_Cau Hoa Son Km 1+441.06 (14-12-2006)" xfId="1009" xr:uid="{00000000-0005-0000-0000-0000F2030000}"/>
    <cellStyle name="3_Book1_Cau Hoa Son Km 1+441.06 (22-10-2006)" xfId="1010" xr:uid="{00000000-0005-0000-0000-0000F3030000}"/>
    <cellStyle name="3_Book1_Cau Hoa Son Km 1+441.06 (24-10-2006)" xfId="1011" xr:uid="{00000000-0005-0000-0000-0000F4030000}"/>
    <cellStyle name="3_Book1_Cau Nam Tot(ngay 2-10-2006)" xfId="1012" xr:uid="{00000000-0005-0000-0000-0000F5030000}"/>
    <cellStyle name="3_Book1_Cau Song Dao Km 1+51.54 (20-12-2006)" xfId="1013" xr:uid="{00000000-0005-0000-0000-0000F6030000}"/>
    <cellStyle name="3_Book1_Cau Tram Cua - Km4+484.54" xfId="1014" xr:uid="{00000000-0005-0000-0000-0000F7030000}"/>
    <cellStyle name="3_Book1_CAU XOP XANG II(su­a)" xfId="1015" xr:uid="{00000000-0005-0000-0000-0000F8030000}"/>
    <cellStyle name="3_Book1_CAU XOP XANG II(su­a)_Phu yen ban46" xfId="1016" xr:uid="{00000000-0005-0000-0000-0000F9030000}"/>
    <cellStyle name="3_Book1_CAU XOP XANG II(su­a)_Phu yen ban46_00. THDT_HOANG MAI" xfId="1017" xr:uid="{00000000-0005-0000-0000-0000FA030000}"/>
    <cellStyle name="3_Book1_Dieu phoi dat goi 1" xfId="1018" xr:uid="{00000000-0005-0000-0000-0000FB030000}"/>
    <cellStyle name="3_Book1_Dieu phoi dat goi 1_Phu yen ban46" xfId="1019" xr:uid="{00000000-0005-0000-0000-0000FC030000}"/>
    <cellStyle name="3_Book1_Dieu phoi dat goi 2" xfId="1020" xr:uid="{00000000-0005-0000-0000-0000FD030000}"/>
    <cellStyle name="3_Book1_Dieu phoi dat goi 2_Phu yen ban46" xfId="1021" xr:uid="{00000000-0005-0000-0000-0000FE030000}"/>
    <cellStyle name="3_Book1_DT Kha thi ngay 11-2-06" xfId="1022" xr:uid="{00000000-0005-0000-0000-0000FF030000}"/>
    <cellStyle name="3_Book1_DT Kha thi ngay 11-2-06_Phu yen ban46" xfId="1023" xr:uid="{00000000-0005-0000-0000-000000040000}"/>
    <cellStyle name="3_Book1_DT Kha thi ngay 11-2-06_Phu yen ban46_00. THDT_HOANG MAI" xfId="1024" xr:uid="{00000000-0005-0000-0000-000001040000}"/>
    <cellStyle name="3_Book1_DT ngay 04-01-2006" xfId="1025" xr:uid="{00000000-0005-0000-0000-000002040000}"/>
    <cellStyle name="3_Book1_DT ngay 04-01-2006_Phu yen ban46" xfId="1026" xr:uid="{00000000-0005-0000-0000-000003040000}"/>
    <cellStyle name="3_Book1_DT ngay 11-4-2006" xfId="1027" xr:uid="{00000000-0005-0000-0000-000004040000}"/>
    <cellStyle name="3_Book1_DT ngay 11-4-2006_Phu yen ban46" xfId="1028" xr:uid="{00000000-0005-0000-0000-000005040000}"/>
    <cellStyle name="3_Book1_DT ngay 15-11-05" xfId="1029" xr:uid="{00000000-0005-0000-0000-000006040000}"/>
    <cellStyle name="3_Book1_DT ngay 15-11-05_Phu yen ban46" xfId="1030" xr:uid="{00000000-0005-0000-0000-000007040000}"/>
    <cellStyle name="3_Book1_DT ngay 15-11-05_Phu yen ban46_00. THDT_HOANG MAI" xfId="1031" xr:uid="{00000000-0005-0000-0000-000008040000}"/>
    <cellStyle name="3_Book1_DT theo DM24" xfId="1032" xr:uid="{00000000-0005-0000-0000-000009040000}"/>
    <cellStyle name="3_Book1_Du toan KT-TCsua theo TT 03 - YC 471" xfId="1033" xr:uid="{00000000-0005-0000-0000-00000A040000}"/>
    <cellStyle name="3_Book1_Du toan KT-TCsua theo TT 03 - YC 471_Phu yen ban46" xfId="1034" xr:uid="{00000000-0005-0000-0000-00000B040000}"/>
    <cellStyle name="3_Book1_Du toan Phuong lam" xfId="1035" xr:uid="{00000000-0005-0000-0000-00000C040000}"/>
    <cellStyle name="3_Book1_Du toan Phuong lam_Phu yen ban46" xfId="1036" xr:uid="{00000000-0005-0000-0000-00000D040000}"/>
    <cellStyle name="3_Book1_Du toan Phuong lam_Phu yen ban46_00. THDT_HOANG MAI" xfId="1037" xr:uid="{00000000-0005-0000-0000-00000E040000}"/>
    <cellStyle name="3_Book1_Du toan QL 27 (23-12-2005)" xfId="1038" xr:uid="{00000000-0005-0000-0000-00000F040000}"/>
    <cellStyle name="3_Book1_Du toan QL 27 (23-12-2005)_Phu yen ban46" xfId="1039" xr:uid="{00000000-0005-0000-0000-000010040000}"/>
    <cellStyle name="3_Book1_DuAnKT ngay 11-2-2006" xfId="1040" xr:uid="{00000000-0005-0000-0000-000011040000}"/>
    <cellStyle name="3_Book1_DuAnKT ngay 11-2-2006_Phu yen ban46" xfId="1041" xr:uid="{00000000-0005-0000-0000-000012040000}"/>
    <cellStyle name="3_Book1_Goi 1" xfId="1042" xr:uid="{00000000-0005-0000-0000-000013040000}"/>
    <cellStyle name="3_Book1_Goi 1_Phu yen ban46" xfId="1043" xr:uid="{00000000-0005-0000-0000-000014040000}"/>
    <cellStyle name="3_Book1_Goi thau so 1 (14-12-2006)" xfId="1044" xr:uid="{00000000-0005-0000-0000-000015040000}"/>
    <cellStyle name="3_Book1_Goi thau so 2 (20-6-2006)" xfId="1045" xr:uid="{00000000-0005-0000-0000-000016040000}"/>
    <cellStyle name="3_Book1_Goi thau so 2 (20-6-2006)_Phu yen ban46" xfId="1046" xr:uid="{00000000-0005-0000-0000-000017040000}"/>
    <cellStyle name="3_Book1_Goi thau so 2 (20-6-2006)_Phu yen ban46_00. THDT_HOANG MAI" xfId="1047" xr:uid="{00000000-0005-0000-0000-000018040000}"/>
    <cellStyle name="3_Book1_Goi thau so 2 (30-01-2007)" xfId="1048" xr:uid="{00000000-0005-0000-0000-000019040000}"/>
    <cellStyle name="3_Book1_Goi02(25-05-2006)" xfId="1049" xr:uid="{00000000-0005-0000-0000-00001A040000}"/>
    <cellStyle name="3_Book1_Goi02(25-05-2006)_Phu yen ban46" xfId="1050" xr:uid="{00000000-0005-0000-0000-00001B040000}"/>
    <cellStyle name="3_Book1_K C N - HUNG DONG L.NHUA" xfId="1051" xr:uid="{00000000-0005-0000-0000-00001C040000}"/>
    <cellStyle name="3_Book1_K C N - HUNG DONG L.NHUA_Phu yen ban46" xfId="1052" xr:uid="{00000000-0005-0000-0000-00001D040000}"/>
    <cellStyle name="3_Book1_K C N - HUNG DONG L.NHUA_Phu yen ban46_00. THDT_HOANG MAI" xfId="1053" xr:uid="{00000000-0005-0000-0000-00001E040000}"/>
    <cellStyle name="3_Book1_km48-53 (tham tra ngay 23-10-2006)" xfId="1054" xr:uid="{00000000-0005-0000-0000-000022040000}"/>
    <cellStyle name="3_Book1_Khoi Luong Hoang Truong - Hoang Phu" xfId="1055" xr:uid="{00000000-0005-0000-0000-00001F040000}"/>
    <cellStyle name="3_Book1_Khoi Luong Hoang Truong - Hoang Phu_Phu yen ban46" xfId="1056" xr:uid="{00000000-0005-0000-0000-000020040000}"/>
    <cellStyle name="3_Book1_Khoi Luong Hoang Truong - Hoang Phu_Phu yen ban46_00. THDT_HOANG MAI" xfId="1057" xr:uid="{00000000-0005-0000-0000-000021040000}"/>
    <cellStyle name="3_Book1_Muong TL" xfId="1058" xr:uid="{00000000-0005-0000-0000-000023040000}"/>
    <cellStyle name="3_Book1_Muong TL_Phu yen ban46" xfId="1059" xr:uid="{00000000-0005-0000-0000-000024040000}"/>
    <cellStyle name="3_Book1_Tuyen so 1-Km0+00 - Km0+852.56" xfId="1060" xr:uid="{00000000-0005-0000-0000-000025040000}"/>
    <cellStyle name="3_Book1_Tuyen so 1-Km0+00 - Km0+852.56_Phu yen ban46" xfId="1061" xr:uid="{00000000-0005-0000-0000-000026040000}"/>
    <cellStyle name="3_Book1_TV sua ngay 02-08-06" xfId="1062" xr:uid="{00000000-0005-0000-0000-000027040000}"/>
    <cellStyle name="3_Book1_ÿÿÿÿÿ" xfId="1063" xr:uid="{00000000-0005-0000-0000-000028040000}"/>
    <cellStyle name="3_C" xfId="1064" xr:uid="{00000000-0005-0000-0000-000029040000}"/>
    <cellStyle name="3_C_Phu yen ban46" xfId="1065" xr:uid="{00000000-0005-0000-0000-00002A040000}"/>
    <cellStyle name="3_Cau Bai Son 2 Km 0+270.26 (8-11-2006)" xfId="1066" xr:uid="{00000000-0005-0000-0000-00002B040000}"/>
    <cellStyle name="3_Cau Hoi 115" xfId="1067" xr:uid="{00000000-0005-0000-0000-00002C040000}"/>
    <cellStyle name="3_Cau Hua Trai (TT 04)" xfId="1068" xr:uid="{00000000-0005-0000-0000-00002D040000}"/>
    <cellStyle name="3_Cau Hua Trai (TT 04)_Phu yen ban46" xfId="1069" xr:uid="{00000000-0005-0000-0000-00002E040000}"/>
    <cellStyle name="3_Cau My Thinh sua theo don gia 59 (19-5-07)" xfId="1070" xr:uid="{00000000-0005-0000-0000-00002F040000}"/>
    <cellStyle name="3_Cau Nam Tot(ngay 2-10-2006)" xfId="1071" xr:uid="{00000000-0005-0000-0000-000030040000}"/>
    <cellStyle name="3_Cau Song Dao Km 1+51.54 (20-12-2006)" xfId="1072" xr:uid="{00000000-0005-0000-0000-000031040000}"/>
    <cellStyle name="3_Cau Thanh Ha 1" xfId="1073" xr:uid="{00000000-0005-0000-0000-000032040000}"/>
    <cellStyle name="3_Cau Thanh Ha 1_Phu yen ban46" xfId="1074" xr:uid="{00000000-0005-0000-0000-000033040000}"/>
    <cellStyle name="3_Cau thuy dien Ban La (Cu Anh)" xfId="1075" xr:uid="{00000000-0005-0000-0000-000034040000}"/>
    <cellStyle name="3_Cau thuy dien Ban La (Cu Anh)_00. THDT_HOANG MAI" xfId="1076" xr:uid="{00000000-0005-0000-0000-000035040000}"/>
    <cellStyle name="3_Cau thuy dien Ban La (Cu Anh)_ha" xfId="1077" xr:uid="{00000000-0005-0000-0000-000036040000}"/>
    <cellStyle name="3_Cau thuy dien Ban La (Cu Anh)_ha_00. THDT_HOANG MAI" xfId="1078" xr:uid="{00000000-0005-0000-0000-000037040000}"/>
    <cellStyle name="3_Cau thuy dien Ban La (Cu Anh)_k475-491- sua theo Tham tra lan 2  " xfId="1079" xr:uid="{00000000-0005-0000-0000-000038040000}"/>
    <cellStyle name="3_Cau thuy dien Ban La (Cu Anh)_Phu yen ban46" xfId="1080" xr:uid="{00000000-0005-0000-0000-000039040000}"/>
    <cellStyle name="3_Cau thuy dien Ban La (Cu Anh)_Phu yen ban46_00. THDT_HOANG MAI" xfId="1081" xr:uid="{00000000-0005-0000-0000-00003A040000}"/>
    <cellStyle name="3_Cau Tram Cua - Km4+484.54" xfId="1082" xr:uid="{00000000-0005-0000-0000-00003B040000}"/>
    <cellStyle name="3_CAU XOP XANG II(su­a)" xfId="1083" xr:uid="{00000000-0005-0000-0000-00003C040000}"/>
    <cellStyle name="3_CAU XOP XANG II(su­a)_Phu yen ban46" xfId="1084" xr:uid="{00000000-0005-0000-0000-00003D040000}"/>
    <cellStyle name="3_cong" xfId="1085" xr:uid="{00000000-0005-0000-0000-000042040000}"/>
    <cellStyle name="3_cong_Phu yen ban46" xfId="1086" xr:uid="{00000000-0005-0000-0000-000043040000}"/>
    <cellStyle name="3_Copy of QL_27(TV8)-chinh" xfId="1087" xr:uid="{00000000-0005-0000-0000-000044040000}"/>
    <cellStyle name="3_Chau Thon - Tan Xuan (goi 5)" xfId="1088" xr:uid="{00000000-0005-0000-0000-00003E040000}"/>
    <cellStyle name="3_Chau Thon - Tan Xuan (KCS 8-12-06)" xfId="1089" xr:uid="{00000000-0005-0000-0000-00003F040000}"/>
    <cellStyle name="3_Chi phi KS" xfId="1090" xr:uid="{00000000-0005-0000-0000-000040040000}"/>
    <cellStyle name="3_Chi phi KS_Phu yen ban46" xfId="1091" xr:uid="{00000000-0005-0000-0000-000041040000}"/>
    <cellStyle name="3_Dakt-Cau tinh Hua Phan" xfId="1092" xr:uid="{00000000-0005-0000-0000-000045040000}"/>
    <cellStyle name="3_Dakt-Cau tinh Hua Phan_Phu yen ban46" xfId="1093" xr:uid="{00000000-0005-0000-0000-000046040000}"/>
    <cellStyle name="3_DIEN" xfId="1094" xr:uid="{00000000-0005-0000-0000-000047040000}"/>
    <cellStyle name="3_DIEN_Phu yen ban46" xfId="1095" xr:uid="{00000000-0005-0000-0000-000048040000}"/>
    <cellStyle name="3_Dieu phoi dat goi 1" xfId="1096" xr:uid="{00000000-0005-0000-0000-000049040000}"/>
    <cellStyle name="3_Dieu phoi dat goi 1_Phu yen ban46" xfId="1097" xr:uid="{00000000-0005-0000-0000-00004A040000}"/>
    <cellStyle name="3_Dieu phoi dat goi 1_Phu yen ban46_00. THDT_HOANG MAI" xfId="1098" xr:uid="{00000000-0005-0000-0000-00004B040000}"/>
    <cellStyle name="3_Dieu phoi dat goi 2" xfId="1099" xr:uid="{00000000-0005-0000-0000-00004C040000}"/>
    <cellStyle name="3_Dieu phoi dat goi 2_Phu yen ban46" xfId="1100" xr:uid="{00000000-0005-0000-0000-00004D040000}"/>
    <cellStyle name="3_Dieu phoi dat goi 2_Phu yen ban46_00. THDT_HOANG MAI" xfId="1101" xr:uid="{00000000-0005-0000-0000-00004E040000}"/>
    <cellStyle name="3_Dinh muc thiet ke" xfId="1102" xr:uid="{00000000-0005-0000-0000-00004F040000}"/>
    <cellStyle name="3_Dinh muc thiet ke_Phu yen ban46" xfId="1103" xr:uid="{00000000-0005-0000-0000-000050040000}"/>
    <cellStyle name="3_DONGIA" xfId="1104" xr:uid="{00000000-0005-0000-0000-000051040000}"/>
    <cellStyle name="3_DONGIA_Phu yen ban46" xfId="1105" xr:uid="{00000000-0005-0000-0000-000052040000}"/>
    <cellStyle name="3_DT Chau Hong  trinh ngay 09-01-07" xfId="1106" xr:uid="{00000000-0005-0000-0000-000053040000}"/>
    <cellStyle name="3_DT KT ngay 10-9-2005" xfId="1107" xr:uid="{00000000-0005-0000-0000-000056040000}"/>
    <cellStyle name="3_DT KT ngay 10-9-2005_Phu yen ban46" xfId="1108" xr:uid="{00000000-0005-0000-0000-000057040000}"/>
    <cellStyle name="3_DT Kha thi ngay 11-2-06" xfId="1109" xr:uid="{00000000-0005-0000-0000-000054040000}"/>
    <cellStyle name="3_DT Kha thi ngay 11-2-06_Phu yen ban46" xfId="1110" xr:uid="{00000000-0005-0000-0000-000055040000}"/>
    <cellStyle name="3_DT ngay 04-01-2006" xfId="1111" xr:uid="{00000000-0005-0000-0000-000058040000}"/>
    <cellStyle name="3_DT ngay 04-01-2006_Phu yen ban46" xfId="1112" xr:uid="{00000000-0005-0000-0000-000059040000}"/>
    <cellStyle name="3_DT ngay 04-01-2006_Phu yen ban46_00. THDT_HOANG MAI" xfId="1113" xr:uid="{00000000-0005-0000-0000-00005A040000}"/>
    <cellStyle name="3_DT ngay 11-4-2006" xfId="1114" xr:uid="{00000000-0005-0000-0000-00005B040000}"/>
    <cellStyle name="3_DT ngay 11-4-2006_Phu yen ban46" xfId="1115" xr:uid="{00000000-0005-0000-0000-00005C040000}"/>
    <cellStyle name="3_DT ngay 11-4-2006_Phu yen ban46_00. THDT_HOANG MAI" xfId="1116" xr:uid="{00000000-0005-0000-0000-00005D040000}"/>
    <cellStyle name="3_DT ngay 15-11-05" xfId="1117" xr:uid="{00000000-0005-0000-0000-00005E040000}"/>
    <cellStyle name="3_DT ngay 15-11-05_Phu yen ban46" xfId="1118" xr:uid="{00000000-0005-0000-0000-00005F040000}"/>
    <cellStyle name="3_DT theo DM24" xfId="1119" xr:uid="{00000000-0005-0000-0000-000060040000}"/>
    <cellStyle name="3_DT-497" xfId="1120" xr:uid="{00000000-0005-0000-0000-000061040000}"/>
    <cellStyle name="3_Dtdchinh2397" xfId="1121" xr:uid="{00000000-0005-0000-0000-000062040000}"/>
    <cellStyle name="3_Dtdchinh2397_00. THDT_HOANG MAI" xfId="1122" xr:uid="{00000000-0005-0000-0000-000063040000}"/>
    <cellStyle name="3_DT-Khao-s¸t-TD" xfId="1123" xr:uid="{00000000-0005-0000-0000-000064040000}"/>
    <cellStyle name="3_DTXL goi 11(20-9-05)" xfId="1124" xr:uid="{00000000-0005-0000-0000-000065040000}"/>
    <cellStyle name="3_DTXL goi 11(20-9-05)_Phu yen ban46" xfId="1125" xr:uid="{00000000-0005-0000-0000-000066040000}"/>
    <cellStyle name="3_du toan" xfId="1126" xr:uid="{00000000-0005-0000-0000-000067040000}"/>
    <cellStyle name="3_du toan (03-11-05)" xfId="1127" xr:uid="{00000000-0005-0000-0000-000068040000}"/>
    <cellStyle name="3_du toan (03-11-05)_Phu yen ban46" xfId="1128" xr:uid="{00000000-0005-0000-0000-000069040000}"/>
    <cellStyle name="3_Du toan (12-05-2005) Tham dinh" xfId="1129" xr:uid="{00000000-0005-0000-0000-00006A040000}"/>
    <cellStyle name="3_Du toan (12-05-2005) Tham dinh_Phu yen ban46" xfId="1130" xr:uid="{00000000-0005-0000-0000-00006B040000}"/>
    <cellStyle name="3_Du toan (12-05-2005) Tham dinh_Phu yen ban46_00. THDT_HOANG MAI" xfId="1131" xr:uid="{00000000-0005-0000-0000-00006C040000}"/>
    <cellStyle name="3_Du toan (23-05-2005) Tham dinh" xfId="1132" xr:uid="{00000000-0005-0000-0000-00006D040000}"/>
    <cellStyle name="3_Du toan (23-05-2005) Tham dinh_Phu yen ban46" xfId="1133" xr:uid="{00000000-0005-0000-0000-00006E040000}"/>
    <cellStyle name="3_Du toan (23-05-2005) Tham dinh_Phu yen ban46_00. THDT_HOANG MAI" xfId="1134" xr:uid="{00000000-0005-0000-0000-00006F040000}"/>
    <cellStyle name="3_Du toan (5 - 04 - 2004)" xfId="1135" xr:uid="{00000000-0005-0000-0000-000070040000}"/>
    <cellStyle name="3_Du toan (5 - 04 - 2004)_Phu yen ban46" xfId="1136" xr:uid="{00000000-0005-0000-0000-000071040000}"/>
    <cellStyle name="3_Du toan (5 - 04 - 2004)_Phu yen ban46_00. THDT_HOANG MAI" xfId="1137" xr:uid="{00000000-0005-0000-0000-000072040000}"/>
    <cellStyle name="3_Du toan (6-3-2005)" xfId="1138" xr:uid="{00000000-0005-0000-0000-000073040000}"/>
    <cellStyle name="3_Du toan (6-3-2005)_Phu yen ban46" xfId="1139" xr:uid="{00000000-0005-0000-0000-000074040000}"/>
    <cellStyle name="3_Du toan (Ban A)" xfId="1140" xr:uid="{00000000-0005-0000-0000-000075040000}"/>
    <cellStyle name="3_Du toan (Ban A)_Phu yen ban46" xfId="1141" xr:uid="{00000000-0005-0000-0000-000076040000}"/>
    <cellStyle name="3_Du toan (Ban A)_Phu yen ban46_00. THDT_HOANG MAI" xfId="1142" xr:uid="{00000000-0005-0000-0000-000077040000}"/>
    <cellStyle name="3_Du toan (ngay 13 - 07 - 2004)" xfId="1143" xr:uid="{00000000-0005-0000-0000-000078040000}"/>
    <cellStyle name="3_Du toan (ngay 13 - 07 - 2004)_Phu yen ban46" xfId="1144" xr:uid="{00000000-0005-0000-0000-000079040000}"/>
    <cellStyle name="3_Du toan (ngay 13 - 07 - 2004)_Phu yen ban46_00. THDT_HOANG MAI" xfId="1145" xr:uid="{00000000-0005-0000-0000-00007A040000}"/>
    <cellStyle name="3_Du toan (ngay 25-9-06)" xfId="1146" xr:uid="{00000000-0005-0000-0000-00007B040000}"/>
    <cellStyle name="3_Du toan (ngay03-02-07) theo DG moi" xfId="1147" xr:uid="{00000000-0005-0000-0000-00007C040000}"/>
    <cellStyle name="3_Du toan 558 (Km17+508.12 - Km 22)" xfId="1148" xr:uid="{00000000-0005-0000-0000-00007D040000}"/>
    <cellStyle name="3_Du toan 558 (Km17+508.12 - Km 22)_00. THDT_HOANG MAI" xfId="1149" xr:uid="{00000000-0005-0000-0000-00007E040000}"/>
    <cellStyle name="3_Du toan 558 (Km17+508.12 - Km 22)_ha" xfId="1150" xr:uid="{00000000-0005-0000-0000-00007F040000}"/>
    <cellStyle name="3_Du toan 558 (Km17+508.12 - Km 22)_ha_00. THDT_HOANG MAI" xfId="1151" xr:uid="{00000000-0005-0000-0000-000080040000}"/>
    <cellStyle name="3_Du toan 558 (Km17+508.12 - Km 22)_k475-491- sua theo Tham tra lan 2  " xfId="1152" xr:uid="{00000000-0005-0000-0000-000081040000}"/>
    <cellStyle name="3_Du toan 558 (Km17+508.12 - Km 22)_Phu yen ban46" xfId="1153" xr:uid="{00000000-0005-0000-0000-000082040000}"/>
    <cellStyle name="3_Du toan 558 (Km17+508.12 - Km 22)_Phu yen ban46_00. THDT_HOANG MAI" xfId="1154" xr:uid="{00000000-0005-0000-0000-000083040000}"/>
    <cellStyle name="3_Du toan bo sung (11-2004)" xfId="1155" xr:uid="{00000000-0005-0000-0000-000084040000}"/>
    <cellStyle name="3_Du toan bo sung (11-2004)_Phu yen ban46" xfId="1156" xr:uid="{00000000-0005-0000-0000-000085040000}"/>
    <cellStyle name="3_Du toan Cang Vung Ang (Tham tra 3-11-06)" xfId="1157" xr:uid="{00000000-0005-0000-0000-000086040000}"/>
    <cellStyle name="3_Du toan Cang Vung Ang ngay 09-8-06 " xfId="1158" xr:uid="{00000000-0005-0000-0000-000087040000}"/>
    <cellStyle name="3_Du toan dieu chin theo don gia moi (1-2-2007)" xfId="1159" xr:uid="{00000000-0005-0000-0000-000088040000}"/>
    <cellStyle name="3_Du toan Doan Km 53 - 60 sua theo tham tra(15-5-2007)" xfId="1160" xr:uid="{00000000-0005-0000-0000-000089040000}"/>
    <cellStyle name="3_Du toan Goi 1" xfId="1161" xr:uid="{00000000-0005-0000-0000-00008A040000}"/>
    <cellStyle name="3_Du toan Goi 1_Phu yen ban46" xfId="1162" xr:uid="{00000000-0005-0000-0000-00008B040000}"/>
    <cellStyle name="3_Du toan Goi 1_Phu yen ban46_00. THDT_HOANG MAI" xfId="1163" xr:uid="{00000000-0005-0000-0000-00008C040000}"/>
    <cellStyle name="3_du toan goi 12" xfId="1164" xr:uid="{00000000-0005-0000-0000-00008D040000}"/>
    <cellStyle name="3_du toan goi 12_Phu yen ban46" xfId="1165" xr:uid="{00000000-0005-0000-0000-00008E040000}"/>
    <cellStyle name="3_Du toan Goi 2" xfId="1166" xr:uid="{00000000-0005-0000-0000-00008F040000}"/>
    <cellStyle name="3_Du toan Goi 2_Phu yen ban46" xfId="1167" xr:uid="{00000000-0005-0000-0000-000090040000}"/>
    <cellStyle name="3_Du toan Goi 2_Phu yen ban46_00. THDT_HOANG MAI" xfId="1168" xr:uid="{00000000-0005-0000-0000-000091040000}"/>
    <cellStyle name="3_Du toan Huong Lam - Ban Giang (ngay28-11-06)" xfId="1169" xr:uid="{00000000-0005-0000-0000-000092040000}"/>
    <cellStyle name="3_Du toan Huong Lam - Ban Giang theo DG 59 (ngay3-2-07)" xfId="1170" xr:uid="{00000000-0005-0000-0000-000093040000}"/>
    <cellStyle name="3_Du toan KT-TCsua theo TT 03 - YC 471" xfId="1171" xr:uid="{00000000-0005-0000-0000-000094040000}"/>
    <cellStyle name="3_Du toan KT-TCsua theo TT 03 - YC 471_Phu yen ban46" xfId="1172" xr:uid="{00000000-0005-0000-0000-000095040000}"/>
    <cellStyle name="3_Du toan KT-TCsua theo TT 03 - YC 471_Phu yen ban46_00. THDT_HOANG MAI" xfId="1173" xr:uid="{00000000-0005-0000-0000-000096040000}"/>
    <cellStyle name="3_Du toan ngay (28-10-2005)" xfId="1174" xr:uid="{00000000-0005-0000-0000-000097040000}"/>
    <cellStyle name="3_Du toan ngay (28-10-2005)_Phu yen ban46" xfId="1175" xr:uid="{00000000-0005-0000-0000-000098040000}"/>
    <cellStyle name="3_Du toan ngay (28-10-2005)_Phu yen ban46_00. THDT_HOANG MAI" xfId="1176" xr:uid="{00000000-0005-0000-0000-000099040000}"/>
    <cellStyle name="3_Du toan ngay 16-4-2007" xfId="1177" xr:uid="{00000000-0005-0000-0000-00009A040000}"/>
    <cellStyle name="3_Du toan ngay 1-9-2004 (version 1)" xfId="1178" xr:uid="{00000000-0005-0000-0000-00009B040000}"/>
    <cellStyle name="3_Du toan ngay 1-9-2004 (version 1)_Phu yen ban46" xfId="1179" xr:uid="{00000000-0005-0000-0000-00009C040000}"/>
    <cellStyle name="3_Du toan ngay 1-9-2004 (version 1)_Phu yen ban46_00. THDT_HOANG MAI" xfId="1180" xr:uid="{00000000-0005-0000-0000-00009D040000}"/>
    <cellStyle name="3_Du toan Phuong lam" xfId="1181" xr:uid="{00000000-0005-0000-0000-00009E040000}"/>
    <cellStyle name="3_Du toan Phuong lam_Phu yen ban46" xfId="1182" xr:uid="{00000000-0005-0000-0000-00009F040000}"/>
    <cellStyle name="3_Du toan QL 27 (23-12-2005)" xfId="1183" xr:uid="{00000000-0005-0000-0000-0000A0040000}"/>
    <cellStyle name="3_Du toan QL 27 (23-12-2005)_Phu yen ban46" xfId="1184" xr:uid="{00000000-0005-0000-0000-0000A1040000}"/>
    <cellStyle name="3_Du toan QL 27 (23-12-2005)_Phu yen ban46_00. THDT_HOANG MAI" xfId="1185" xr:uid="{00000000-0005-0000-0000-0000A2040000}"/>
    <cellStyle name="3_Du toan Tay Thanh Hoa duyetcuoi" xfId="1186" xr:uid="{00000000-0005-0000-0000-0000A3040000}"/>
    <cellStyle name="3_Du toan_Coc moc GPMB-Phu Yen" xfId="1187" xr:uid="{00000000-0005-0000-0000-0000A4040000}"/>
    <cellStyle name="3_Du toan_Coc moc GPMB-Phu Yen_00. THDT_HOANG MAI" xfId="1188" xr:uid="{00000000-0005-0000-0000-0000A5040000}"/>
    <cellStyle name="3_du toan_Phu yen ban46" xfId="1189" xr:uid="{00000000-0005-0000-0000-0000A6040000}"/>
    <cellStyle name="3_Du_toan_Ho_Xa___Vinh_Tan_WB3 sua ngay 18-8-06" xfId="1190" xr:uid="{00000000-0005-0000-0000-0000A7040000}"/>
    <cellStyle name="3_DuAnKT ngay 11-2-2006" xfId="1191" xr:uid="{00000000-0005-0000-0000-0000A8040000}"/>
    <cellStyle name="3_DuAnKT ngay 11-2-2006_Phu yen ban46" xfId="1192" xr:uid="{00000000-0005-0000-0000-0000A9040000}"/>
    <cellStyle name="3_DuAnKT ngay 11-2-2006_Phu yen ban46_00. THDT_HOANG MAI" xfId="1193" xr:uid="{00000000-0005-0000-0000-0000AA040000}"/>
    <cellStyle name="3_goi 1" xfId="1194" xr:uid="{00000000-0005-0000-0000-0000B1040000}"/>
    <cellStyle name="3_Goi 1 (TT04)" xfId="1195" xr:uid="{00000000-0005-0000-0000-0000B2040000}"/>
    <cellStyle name="3_Goi 1 (TT04)_Phu yen ban46" xfId="1196" xr:uid="{00000000-0005-0000-0000-0000B3040000}"/>
    <cellStyle name="3_goi 1 duyet theo luong mo (an)" xfId="1197" xr:uid="{00000000-0005-0000-0000-0000B4040000}"/>
    <cellStyle name="3_goi 1 duyet theo luong mo (an)_Phu yen ban46" xfId="1198" xr:uid="{00000000-0005-0000-0000-0000B5040000}"/>
    <cellStyle name="3_Goi 1_1" xfId="1199" xr:uid="{00000000-0005-0000-0000-0000B6040000}"/>
    <cellStyle name="3_Goi 1_1_Phu yen ban46" xfId="1200" xr:uid="{00000000-0005-0000-0000-0000B7040000}"/>
    <cellStyle name="3_Goi 1_1_Phu yen ban46_00. THDT_HOANG MAI" xfId="1201" xr:uid="{00000000-0005-0000-0000-0000B8040000}"/>
    <cellStyle name="3_goi 1_Phu yen ban46" xfId="1202" xr:uid="{00000000-0005-0000-0000-0000B9040000}"/>
    <cellStyle name="3_Goi so 1" xfId="1203" xr:uid="{00000000-0005-0000-0000-0000BA040000}"/>
    <cellStyle name="3_Goi so 1_Phu yen ban46" xfId="1204" xr:uid="{00000000-0005-0000-0000-0000BB040000}"/>
    <cellStyle name="3_Goi thau so 08 (11-05-2007)" xfId="1205" xr:uid="{00000000-0005-0000-0000-0000BC040000}"/>
    <cellStyle name="3_Goi thau so 1 (14-12-2006)" xfId="1206" xr:uid="{00000000-0005-0000-0000-0000BD040000}"/>
    <cellStyle name="3_Goi thau so 2 (20-6-2006)" xfId="1207" xr:uid="{00000000-0005-0000-0000-0000BE040000}"/>
    <cellStyle name="3_Goi thau so 2 (20-6-2006)_Phu yen ban46" xfId="1208" xr:uid="{00000000-0005-0000-0000-0000BF040000}"/>
    <cellStyle name="3_Goi02(25-05-2006)" xfId="1209" xr:uid="{00000000-0005-0000-0000-0000C0040000}"/>
    <cellStyle name="3_Goi02(25-05-2006)_Phu yen ban46" xfId="1210" xr:uid="{00000000-0005-0000-0000-0000C1040000}"/>
    <cellStyle name="3_Goi02(25-05-2006)_Phu yen ban46_00. THDT_HOANG MAI" xfId="1211" xr:uid="{00000000-0005-0000-0000-0000C2040000}"/>
    <cellStyle name="3_Goi1N206" xfId="1212" xr:uid="{00000000-0005-0000-0000-0000C3040000}"/>
    <cellStyle name="3_Goi1N206_Phu yen ban46" xfId="1213" xr:uid="{00000000-0005-0000-0000-0000C4040000}"/>
    <cellStyle name="3_Goi1N206_Phu yen ban46_00. THDT_HOANG MAI" xfId="1214" xr:uid="{00000000-0005-0000-0000-0000C5040000}"/>
    <cellStyle name="3_Goi2N206" xfId="1215" xr:uid="{00000000-0005-0000-0000-0000C6040000}"/>
    <cellStyle name="3_Goi2N206_Phu yen ban46" xfId="1216" xr:uid="{00000000-0005-0000-0000-0000C7040000}"/>
    <cellStyle name="3_Goi2N206_Phu yen ban46_00. THDT_HOANG MAI" xfId="1217" xr:uid="{00000000-0005-0000-0000-0000C8040000}"/>
    <cellStyle name="3_Goi4N216" xfId="1218" xr:uid="{00000000-0005-0000-0000-0000C9040000}"/>
    <cellStyle name="3_Goi4N216_Phu yen ban46" xfId="1219" xr:uid="{00000000-0005-0000-0000-0000CA040000}"/>
    <cellStyle name="3_Goi4N216_Phu yen ban46_00. THDT_HOANG MAI" xfId="1220" xr:uid="{00000000-0005-0000-0000-0000CB040000}"/>
    <cellStyle name="3_Goi5N216" xfId="1221" xr:uid="{00000000-0005-0000-0000-0000CC040000}"/>
    <cellStyle name="3_Goi5N216_Phu yen ban46" xfId="1222" xr:uid="{00000000-0005-0000-0000-0000CD040000}"/>
    <cellStyle name="3_Goi5N216_Phu yen ban46_00. THDT_HOANG MAI" xfId="1223" xr:uid="{00000000-0005-0000-0000-0000CE040000}"/>
    <cellStyle name="3_Gia_VL cau-JIBIC-Ha-tinh" xfId="1224" xr:uid="{00000000-0005-0000-0000-0000AB040000}"/>
    <cellStyle name="3_Gia_VL cau-JIBIC-Ha-tinh_Phu yen ban46" xfId="1225" xr:uid="{00000000-0005-0000-0000-0000AC040000}"/>
    <cellStyle name="3_Gia_VL cau-JIBIC-Ha-tinh_Phu yen ban46_00. THDT_HOANG MAI" xfId="1226" xr:uid="{00000000-0005-0000-0000-0000AD040000}"/>
    <cellStyle name="3_Gia_VLQL48_duyet " xfId="1227" xr:uid="{00000000-0005-0000-0000-0000AE040000}"/>
    <cellStyle name="3_Gia_VLQL48_duyet _Phu yen ban46" xfId="1228" xr:uid="{00000000-0005-0000-0000-0000AF040000}"/>
    <cellStyle name="3_Gia_VLQL48_duyet _Phu yen ban46_00. THDT_HOANG MAI" xfId="1229" xr:uid="{00000000-0005-0000-0000-0000B0040000}"/>
    <cellStyle name="3_Hoi Song" xfId="1230" xr:uid="{00000000-0005-0000-0000-0000CF040000}"/>
    <cellStyle name="3_Hoi Song_Phu yen ban46" xfId="1231" xr:uid="{00000000-0005-0000-0000-0000D0040000}"/>
    <cellStyle name="3_HT-LO" xfId="1232" xr:uid="{00000000-0005-0000-0000-0000D1040000}"/>
    <cellStyle name="3_HT-LO_Phu yen ban46" xfId="1233" xr:uid="{00000000-0005-0000-0000-0000D2040000}"/>
    <cellStyle name="3_HT-LO_Phu yen ban46_00. THDT_HOANG MAI" xfId="1234" xr:uid="{00000000-0005-0000-0000-0000D3040000}"/>
    <cellStyle name="3_Huong Lam - Ban Giang (11-4-2007)" xfId="1235" xr:uid="{00000000-0005-0000-0000-0000D4040000}"/>
    <cellStyle name="3_KL" xfId="1236" xr:uid="{00000000-0005-0000-0000-0000E1040000}"/>
    <cellStyle name="3_KL_Cau My Thinh sua theo don gia 59 (19-5-07)" xfId="1237" xr:uid="{00000000-0005-0000-0000-0000E2040000}"/>
    <cellStyle name="3_Kl_DT_Tham_Dinh_497_16-4-07" xfId="1238" xr:uid="{00000000-0005-0000-0000-0000E3040000}"/>
    <cellStyle name="3_KL_DT-497" xfId="1239" xr:uid="{00000000-0005-0000-0000-0000E4040000}"/>
    <cellStyle name="3_KL_DT-Khao-s¸t-TD" xfId="1240" xr:uid="{00000000-0005-0000-0000-0000E5040000}"/>
    <cellStyle name="3_KL_Huong Lam - Ban Giang (11-4-2007)" xfId="1241" xr:uid="{00000000-0005-0000-0000-0000E6040000}"/>
    <cellStyle name="3_Kl6-6-05" xfId="1242" xr:uid="{00000000-0005-0000-0000-0000E7040000}"/>
    <cellStyle name="3_Kl6-6-05_Phu yen ban46" xfId="1243" xr:uid="{00000000-0005-0000-0000-0000E8040000}"/>
    <cellStyle name="3_KLCongTh" xfId="1244" xr:uid="{00000000-0005-0000-0000-0000E9040000}"/>
    <cellStyle name="3_Kldoan3" xfId="1245" xr:uid="{00000000-0005-0000-0000-0000EA040000}"/>
    <cellStyle name="3_KLhoxa" xfId="1246" xr:uid="{00000000-0005-0000-0000-0000EB040000}"/>
    <cellStyle name="3_KLNM 1303" xfId="1247" xr:uid="{00000000-0005-0000-0000-0000EC040000}"/>
    <cellStyle name="3_Klnutgiao" xfId="1248" xr:uid="{00000000-0005-0000-0000-0000ED040000}"/>
    <cellStyle name="3_Klnutgiao_Phu yen ban46" xfId="1249" xr:uid="{00000000-0005-0000-0000-0000EE040000}"/>
    <cellStyle name="3_KLPA2s" xfId="1250" xr:uid="{00000000-0005-0000-0000-0000EF040000}"/>
    <cellStyle name="3_KLPA2s_Phu yen ban46" xfId="1251" xr:uid="{00000000-0005-0000-0000-0000F0040000}"/>
    <cellStyle name="3_KlQdinhduyet" xfId="1252" xr:uid="{00000000-0005-0000-0000-0000F1040000}"/>
    <cellStyle name="3_KlQdinhduyet_Phu yen ban46" xfId="1253" xr:uid="{00000000-0005-0000-0000-0000F2040000}"/>
    <cellStyle name="3_KlQdinhduyet_Phu yen ban46_00. THDT_HOANG MAI" xfId="1254" xr:uid="{00000000-0005-0000-0000-0000F3040000}"/>
    <cellStyle name="3_KlQL4goi5KCS" xfId="1255" xr:uid="{00000000-0005-0000-0000-0000F4040000}"/>
    <cellStyle name="3_KlQL4goi5KCS_Phu yen ban46" xfId="1256" xr:uid="{00000000-0005-0000-0000-0000F5040000}"/>
    <cellStyle name="3_Kltayth" xfId="1257" xr:uid="{00000000-0005-0000-0000-0000F6040000}"/>
    <cellStyle name="3_Kltayth_Phu yen ban46" xfId="1258" xr:uid="{00000000-0005-0000-0000-0000F7040000}"/>
    <cellStyle name="3_KltaythQDduyet" xfId="1259" xr:uid="{00000000-0005-0000-0000-0000F8040000}"/>
    <cellStyle name="3_KltaythQDduyet_Phu yen ban46" xfId="1260" xr:uid="{00000000-0005-0000-0000-0000F9040000}"/>
    <cellStyle name="3_Kluong4-2004" xfId="1261" xr:uid="{00000000-0005-0000-0000-0000FA040000}"/>
    <cellStyle name="3_Kluong4-2004_Phu yen ban46" xfId="1262" xr:uid="{00000000-0005-0000-0000-0000FB040000}"/>
    <cellStyle name="3_Kluong4-2004_Phu yen ban46_00. THDT_HOANG MAI" xfId="1263" xr:uid="{00000000-0005-0000-0000-0000FC040000}"/>
    <cellStyle name="3_Km 48 - 53 (sua nap TVTT 6-7-2007)" xfId="1264" xr:uid="{00000000-0005-0000-0000-0000FD040000}"/>
    <cellStyle name="3_Km2" xfId="1265" xr:uid="{00000000-0005-0000-0000-0000FE040000}"/>
    <cellStyle name="3_Km3" xfId="1266" xr:uid="{00000000-0005-0000-0000-0000FF040000}"/>
    <cellStyle name="3_km4-6" xfId="1267" xr:uid="{00000000-0005-0000-0000-000000050000}"/>
    <cellStyle name="3_km48-53 (tham tra ngay 23-10-2006)" xfId="1268" xr:uid="{00000000-0005-0000-0000-000001050000}"/>
    <cellStyle name="3_km48-53 (tham tra ngay 23-10-2006)theo gi¸ ca m¸y míi" xfId="1269" xr:uid="{00000000-0005-0000-0000-000002050000}"/>
    <cellStyle name="3_khao sat DBGPMB" xfId="1270" xr:uid="{00000000-0005-0000-0000-0000D5040000}"/>
    <cellStyle name="3_khao sat DBGPMB_00. THDT_HOANG MAI" xfId="1271" xr:uid="{00000000-0005-0000-0000-0000D6040000}"/>
    <cellStyle name="3_Khoi luong" xfId="1272" xr:uid="{00000000-0005-0000-0000-0000D7040000}"/>
    <cellStyle name="3_Khoi luong doan 1" xfId="1273" xr:uid="{00000000-0005-0000-0000-0000D8040000}"/>
    <cellStyle name="3_Khoi luong doan 1_Phu yen ban46" xfId="1274" xr:uid="{00000000-0005-0000-0000-0000D9040000}"/>
    <cellStyle name="3_Khoi luong doan 1_Phu yen ban46_00. THDT_HOANG MAI" xfId="1275" xr:uid="{00000000-0005-0000-0000-0000DA040000}"/>
    <cellStyle name="3_Khoi luong doan 2" xfId="1276" xr:uid="{00000000-0005-0000-0000-0000DB040000}"/>
    <cellStyle name="3_Khoi Luong Hoang Truong - Hoang Phu" xfId="1277" xr:uid="{00000000-0005-0000-0000-0000DC040000}"/>
    <cellStyle name="3_Khoi Luong Hoang Truong - Hoang Phu_Phu yen ban46" xfId="1278" xr:uid="{00000000-0005-0000-0000-0000DD040000}"/>
    <cellStyle name="3_Khoi Luong Hoang Truong - Hoang Phu_Phu yen ban46_00. THDT_HOANG MAI" xfId="1279" xr:uid="{00000000-0005-0000-0000-0000DE040000}"/>
    <cellStyle name="3_Khoi luong_Phu yen ban46" xfId="1280" xr:uid="{00000000-0005-0000-0000-0000DF040000}"/>
    <cellStyle name="3_Khoi luong_Phu yen ban46_00. THDT_HOANG MAI" xfId="1281" xr:uid="{00000000-0005-0000-0000-0000E0040000}"/>
    <cellStyle name="3_Luong A6" xfId="1282" xr:uid="{00000000-0005-0000-0000-000003050000}"/>
    <cellStyle name="3_Luong A6_Phu yen ban46" xfId="1283" xr:uid="{00000000-0005-0000-0000-000004050000}"/>
    <cellStyle name="3_maugiacotaluy" xfId="1284" xr:uid="{00000000-0005-0000-0000-000005050000}"/>
    <cellStyle name="3_maugiacotaluy_Phu yen ban46" xfId="1285" xr:uid="{00000000-0005-0000-0000-000006050000}"/>
    <cellStyle name="3_My Thanh Son Thanh" xfId="1286" xr:uid="{00000000-0005-0000-0000-000007050000}"/>
    <cellStyle name="3_My Thanh Son Thanh_Phu yen ban46" xfId="1287" xr:uid="{00000000-0005-0000-0000-000008050000}"/>
    <cellStyle name="3_Nhom I" xfId="1288" xr:uid="{00000000-0005-0000-0000-000009050000}"/>
    <cellStyle name="3_Nhom I_Phu yen ban46" xfId="1289" xr:uid="{00000000-0005-0000-0000-00000A050000}"/>
    <cellStyle name="3_Nhom I_Phu yen ban46_00. THDT_HOANG MAI" xfId="1290" xr:uid="{00000000-0005-0000-0000-00000B050000}"/>
    <cellStyle name="3_Project N.Du" xfId="1291" xr:uid="{00000000-0005-0000-0000-00000C050000}"/>
    <cellStyle name="3_Project N.Du.dien" xfId="1292" xr:uid="{00000000-0005-0000-0000-00000D050000}"/>
    <cellStyle name="3_Project N.Du.dien_Phu yen ban46" xfId="1293" xr:uid="{00000000-0005-0000-0000-00000E050000}"/>
    <cellStyle name="3_Project N.Du_Phu yen ban46" xfId="1294" xr:uid="{00000000-0005-0000-0000-00000F050000}"/>
    <cellStyle name="3_Project N.Du_Phu yen ban46_00. THDT_HOANG MAI" xfId="1295" xr:uid="{00000000-0005-0000-0000-000010050000}"/>
    <cellStyle name="3_Project QL4" xfId="1296" xr:uid="{00000000-0005-0000-0000-000011050000}"/>
    <cellStyle name="3_Project QL4 goi 7" xfId="1297" xr:uid="{00000000-0005-0000-0000-000012050000}"/>
    <cellStyle name="3_Project QL4 goi 7_Phu yen ban46" xfId="1298" xr:uid="{00000000-0005-0000-0000-000013050000}"/>
    <cellStyle name="3_Project QL4 goi 7_Phu yen ban46_00. THDT_HOANG MAI" xfId="1299" xr:uid="{00000000-0005-0000-0000-000014050000}"/>
    <cellStyle name="3_Project QL4 goi5" xfId="1300" xr:uid="{00000000-0005-0000-0000-000015050000}"/>
    <cellStyle name="3_Project QL4 goi5_Phu yen ban46" xfId="1301" xr:uid="{00000000-0005-0000-0000-000016050000}"/>
    <cellStyle name="3_Project QL4 goi8" xfId="1302" xr:uid="{00000000-0005-0000-0000-000017050000}"/>
    <cellStyle name="3_Project QL4 goi8_Phu yen ban46" xfId="1303" xr:uid="{00000000-0005-0000-0000-000018050000}"/>
    <cellStyle name="3_Project QL4_Phu yen ban46" xfId="1304" xr:uid="{00000000-0005-0000-0000-000019050000}"/>
    <cellStyle name="3_QL1A-SUA2005" xfId="1305" xr:uid="{00000000-0005-0000-0000-00001A050000}"/>
    <cellStyle name="3_QL1A-SUA2005_Phu yen ban46" xfId="1306" xr:uid="{00000000-0005-0000-0000-00001B050000}"/>
    <cellStyle name="3_QL1A-SUA2005_Phu yen ban46_00. THDT_HOANG MAI" xfId="1307" xr:uid="{00000000-0005-0000-0000-00001C050000}"/>
    <cellStyle name="3_Sheet1" xfId="1308" xr:uid="{00000000-0005-0000-0000-00001D050000}"/>
    <cellStyle name="3_Sheet1_Cau My Thinh sua theo don gia 59 (19-5-07)" xfId="1309" xr:uid="{00000000-0005-0000-0000-00001E050000}"/>
    <cellStyle name="3_Sheet1_DT_Tham_Dinh_497_16-4-07" xfId="1310" xr:uid="{00000000-0005-0000-0000-00001F050000}"/>
    <cellStyle name="3_Sheet1_DT-497" xfId="1311" xr:uid="{00000000-0005-0000-0000-000020050000}"/>
    <cellStyle name="3_Sheet1_DT-Khao-s¸t-TD" xfId="1312" xr:uid="{00000000-0005-0000-0000-000021050000}"/>
    <cellStyle name="3_Sheet1_Huong Lam - Ban Giang (11-4-2007)" xfId="1313" xr:uid="{00000000-0005-0000-0000-000022050000}"/>
    <cellStyle name="3_Sheet1_Phu yen ban46" xfId="1314" xr:uid="{00000000-0005-0000-0000-000023050000}"/>
    <cellStyle name="3_SuoiTon" xfId="1315" xr:uid="{00000000-0005-0000-0000-000024050000}"/>
    <cellStyle name="3_SuoiTon_Phu yen ban46" xfId="1316" xr:uid="{00000000-0005-0000-0000-000025050000}"/>
    <cellStyle name="3_SuoiTon_Phu yen ban46_00. THDT_HOANG MAI" xfId="1317" xr:uid="{00000000-0005-0000-0000-000026050000}"/>
    <cellStyle name="3_t" xfId="1318" xr:uid="{00000000-0005-0000-0000-000027050000}"/>
    <cellStyle name="3_t_Phu yen ban46" xfId="1319" xr:uid="{00000000-0005-0000-0000-000028050000}"/>
    <cellStyle name="3_Tay THoa" xfId="1320" xr:uid="{00000000-0005-0000-0000-000029050000}"/>
    <cellStyle name="3_Tay THoa_Phu yen ban46" xfId="1321" xr:uid="{00000000-0005-0000-0000-00002A050000}"/>
    <cellStyle name="3_Tay THoa_Phu yen ban46_00. THDT_HOANG MAI" xfId="1322" xr:uid="{00000000-0005-0000-0000-00002B050000}"/>
    <cellStyle name="3_Tong hop DT dieu chinh duong 38-95" xfId="1323" xr:uid="{00000000-0005-0000-0000-000033050000}"/>
    <cellStyle name="3_Tong hop DT dieu chinh duong 38-95_Phu yen ban46" xfId="1324" xr:uid="{00000000-0005-0000-0000-000034050000}"/>
    <cellStyle name="3_Tong hop khoi luong duong 557 (30-5-2006)" xfId="1325" xr:uid="{00000000-0005-0000-0000-000035050000}"/>
    <cellStyle name="3_Tong hop khoi luong duong 557 (30-5-2006)_Phu yen ban46" xfId="1326" xr:uid="{00000000-0005-0000-0000-000036050000}"/>
    <cellStyle name="3_Tong muc dau tu" xfId="1327" xr:uid="{00000000-0005-0000-0000-000037050000}"/>
    <cellStyle name="3_Tong muc dau tu_Phu yen ban46" xfId="1328" xr:uid="{00000000-0005-0000-0000-000038050000}"/>
    <cellStyle name="3_Tuyen so 1-Km0+00 - Km0+852.56" xfId="1329" xr:uid="{00000000-0005-0000-0000-000039050000}"/>
    <cellStyle name="3_Tuyen so 1-Km0+00 - Km0+852.56_Phu yen ban46" xfId="1330" xr:uid="{00000000-0005-0000-0000-00003A050000}"/>
    <cellStyle name="3_Tuyen so 1-Km0+00 - Km0+852.56_Phu yen ban46_00. THDT_HOANG MAI" xfId="1331" xr:uid="{00000000-0005-0000-0000-00003B050000}"/>
    <cellStyle name="3_TV sua ngay 02-08-06" xfId="1332" xr:uid="{00000000-0005-0000-0000-00003C050000}"/>
    <cellStyle name="3_Tham tra (8-11)1" xfId="1333" xr:uid="{00000000-0005-0000-0000-00002C050000}"/>
    <cellStyle name="3_THkl" xfId="1334" xr:uid="{00000000-0005-0000-0000-00002D050000}"/>
    <cellStyle name="3_THklpa2" xfId="1335" xr:uid="{00000000-0005-0000-0000-00002E050000}"/>
    <cellStyle name="3_Thong ke cong" xfId="1336" xr:uid="{00000000-0005-0000-0000-00002F050000}"/>
    <cellStyle name="3_Thong ke cong_00. THDT_HOANG MAI" xfId="1337" xr:uid="{00000000-0005-0000-0000-000030050000}"/>
    <cellStyle name="3_thong ke giao dan sinh" xfId="1338" xr:uid="{00000000-0005-0000-0000-000031050000}"/>
    <cellStyle name="3_thong ke giao dan sinh_00. THDT_HOANG MAI" xfId="1339" xr:uid="{00000000-0005-0000-0000-000032050000}"/>
    <cellStyle name="3_VatLieu 3 cau -NA" xfId="1340" xr:uid="{00000000-0005-0000-0000-00003D050000}"/>
    <cellStyle name="3_VatLieu 3 cau -NA_Phu yen ban46" xfId="1341" xr:uid="{00000000-0005-0000-0000-00003E050000}"/>
    <cellStyle name="3_VatLieu 3 cau -NA_Phu yen ban46_00. THDT_HOANG MAI" xfId="1342" xr:uid="{00000000-0005-0000-0000-00003F050000}"/>
    <cellStyle name="3_ÿÿÿÿÿ" xfId="1343" xr:uid="{00000000-0005-0000-0000-000040050000}"/>
    <cellStyle name="3_ÿÿÿÿÿ_1" xfId="1344" xr:uid="{00000000-0005-0000-0000-000041050000}"/>
    <cellStyle name="3_ÿÿÿÿÿ_1_Phu yen ban46" xfId="1345" xr:uid="{00000000-0005-0000-0000-000042050000}"/>
    <cellStyle name="3_ÿÿÿÿÿ_1_Phu yen ban46_00. THDT_HOANG MAI" xfId="1346" xr:uid="{00000000-0005-0000-0000-000043050000}"/>
    <cellStyle name="3_ÿÿÿÿÿ_ha" xfId="1347" xr:uid="{00000000-0005-0000-0000-000044050000}"/>
    <cellStyle name="3_ÿÿÿÿÿ_k475-491- sua theo Tham tra lan 2  " xfId="1348" xr:uid="{00000000-0005-0000-0000-000045050000}"/>
    <cellStyle name="3_ÿÿÿÿÿ_Phu yen ban46" xfId="1349" xr:uid="{00000000-0005-0000-0000-000046050000}"/>
    <cellStyle name="4" xfId="1350" xr:uid="{00000000-0005-0000-0000-000047050000}"/>
    <cellStyle name="4_6.Bang_luong_moi_XDCB" xfId="1351" xr:uid="{00000000-0005-0000-0000-000048050000}"/>
    <cellStyle name="4_A che do KS +chi BQL" xfId="1352" xr:uid="{00000000-0005-0000-0000-000049050000}"/>
    <cellStyle name="4_A che do KS +chi BQL_Phu yen ban46" xfId="1353" xr:uid="{00000000-0005-0000-0000-00004A050000}"/>
    <cellStyle name="4_Ban 47 (Ha Tinh)" xfId="1354" xr:uid="{00000000-0005-0000-0000-00004B050000}"/>
    <cellStyle name="4_BANG CAM COC GPMB 8km" xfId="1355" xr:uid="{00000000-0005-0000-0000-00004C050000}"/>
    <cellStyle name="4_BANG CAM COC GPMB 8km_Phu yen ban46" xfId="1356" xr:uid="{00000000-0005-0000-0000-00004D050000}"/>
    <cellStyle name="4_BANG CAM COC GPMB 8km_Phu yen ban46_00. THDT_HOANG MAI" xfId="1357" xr:uid="{00000000-0005-0000-0000-00004E050000}"/>
    <cellStyle name="4_Bang tong hop khoi luong" xfId="1358" xr:uid="{00000000-0005-0000-0000-00004F050000}"/>
    <cellStyle name="4_Bang tong hop khoi luong_Phu yen ban46" xfId="1359" xr:uid="{00000000-0005-0000-0000-000050050000}"/>
    <cellStyle name="4_Book1" xfId="1360" xr:uid="{00000000-0005-0000-0000-000051050000}"/>
    <cellStyle name="4_Book1 (version 1)" xfId="1361" xr:uid="{00000000-0005-0000-0000-000052050000}"/>
    <cellStyle name="4_Book1 (version 1)_00. THDT_HOANG MAI" xfId="1362" xr:uid="{00000000-0005-0000-0000-000053050000}"/>
    <cellStyle name="4_Book1_1" xfId="1363" xr:uid="{00000000-0005-0000-0000-000054050000}"/>
    <cellStyle name="4_Book1_1_Phu yen ban46" xfId="1364" xr:uid="{00000000-0005-0000-0000-000055050000}"/>
    <cellStyle name="4_Book1_1_Phu yen ban46_00. THDT_HOANG MAI" xfId="1365" xr:uid="{00000000-0005-0000-0000-000056050000}"/>
    <cellStyle name="4_Book1_Book1" xfId="1366" xr:uid="{00000000-0005-0000-0000-000057050000}"/>
    <cellStyle name="4_Book1_Book1_Book1" xfId="1367" xr:uid="{00000000-0005-0000-0000-000058050000}"/>
    <cellStyle name="4_Book1_Book1_Phu yen ban46" xfId="1368" xr:uid="{00000000-0005-0000-0000-000059050000}"/>
    <cellStyle name="4_Book1_Book1_Phu yen ban46_00. THDT_HOANG MAI" xfId="1369" xr:uid="{00000000-0005-0000-0000-00005A050000}"/>
    <cellStyle name="4_Book1_Cau Bai Son 2 Km 0+270.26 (8-11-2006)" xfId="1370" xr:uid="{00000000-0005-0000-0000-00005B050000}"/>
    <cellStyle name="4_Book1_Cau Hoa Son Km 1+441.06 (14-12-2006)" xfId="1371" xr:uid="{00000000-0005-0000-0000-00005C050000}"/>
    <cellStyle name="4_Book1_Cau Hoa Son Km 1+441.06 (22-10-2006)" xfId="1372" xr:uid="{00000000-0005-0000-0000-00005D050000}"/>
    <cellStyle name="4_Book1_Cau Hoa Son Km 1+441.06 (24-10-2006)" xfId="1373" xr:uid="{00000000-0005-0000-0000-00005E050000}"/>
    <cellStyle name="4_Book1_Cau Nam Tot(ngay 2-10-2006)" xfId="1374" xr:uid="{00000000-0005-0000-0000-00005F050000}"/>
    <cellStyle name="4_Book1_Cau Song Dao Km 1+51.54 (20-12-2006)" xfId="1375" xr:uid="{00000000-0005-0000-0000-000060050000}"/>
    <cellStyle name="4_Book1_Cau Tram Cua - Km4+484.54" xfId="1376" xr:uid="{00000000-0005-0000-0000-000061050000}"/>
    <cellStyle name="4_Book1_CAU XOP XANG II(su­a)" xfId="1377" xr:uid="{00000000-0005-0000-0000-000062050000}"/>
    <cellStyle name="4_Book1_CAU XOP XANG II(su­a)_Phu yen ban46" xfId="1378" xr:uid="{00000000-0005-0000-0000-000063050000}"/>
    <cellStyle name="4_Book1_CAU XOP XANG II(su­a)_Phu yen ban46_00. THDT_HOANG MAI" xfId="1379" xr:uid="{00000000-0005-0000-0000-000064050000}"/>
    <cellStyle name="4_Book1_Dieu phoi dat goi 1" xfId="1380" xr:uid="{00000000-0005-0000-0000-000065050000}"/>
    <cellStyle name="4_Book1_Dieu phoi dat goi 1_Phu yen ban46" xfId="1381" xr:uid="{00000000-0005-0000-0000-000066050000}"/>
    <cellStyle name="4_Book1_Dieu phoi dat goi 2" xfId="1382" xr:uid="{00000000-0005-0000-0000-000067050000}"/>
    <cellStyle name="4_Book1_Dieu phoi dat goi 2_Phu yen ban46" xfId="1383" xr:uid="{00000000-0005-0000-0000-000068050000}"/>
    <cellStyle name="4_Book1_DT Kha thi ngay 11-2-06" xfId="1384" xr:uid="{00000000-0005-0000-0000-000069050000}"/>
    <cellStyle name="4_Book1_DT Kha thi ngay 11-2-06_Phu yen ban46" xfId="1385" xr:uid="{00000000-0005-0000-0000-00006A050000}"/>
    <cellStyle name="4_Book1_DT Kha thi ngay 11-2-06_Phu yen ban46_00. THDT_HOANG MAI" xfId="1386" xr:uid="{00000000-0005-0000-0000-00006B050000}"/>
    <cellStyle name="4_Book1_DT ngay 04-01-2006" xfId="1387" xr:uid="{00000000-0005-0000-0000-00006C050000}"/>
    <cellStyle name="4_Book1_DT ngay 04-01-2006_Phu yen ban46" xfId="1388" xr:uid="{00000000-0005-0000-0000-00006D050000}"/>
    <cellStyle name="4_Book1_DT ngay 11-4-2006" xfId="1389" xr:uid="{00000000-0005-0000-0000-00006E050000}"/>
    <cellStyle name="4_Book1_DT ngay 11-4-2006_Phu yen ban46" xfId="1390" xr:uid="{00000000-0005-0000-0000-00006F050000}"/>
    <cellStyle name="4_Book1_DT ngay 15-11-05" xfId="1391" xr:uid="{00000000-0005-0000-0000-000070050000}"/>
    <cellStyle name="4_Book1_DT ngay 15-11-05_Phu yen ban46" xfId="1392" xr:uid="{00000000-0005-0000-0000-000071050000}"/>
    <cellStyle name="4_Book1_DT ngay 15-11-05_Phu yen ban46_00. THDT_HOANG MAI" xfId="1393" xr:uid="{00000000-0005-0000-0000-000072050000}"/>
    <cellStyle name="4_Book1_DT theo DM24" xfId="1394" xr:uid="{00000000-0005-0000-0000-000073050000}"/>
    <cellStyle name="4_Book1_Du toan KT-TCsua theo TT 03 - YC 471" xfId="1395" xr:uid="{00000000-0005-0000-0000-000074050000}"/>
    <cellStyle name="4_Book1_Du toan KT-TCsua theo TT 03 - YC 471_Phu yen ban46" xfId="1396" xr:uid="{00000000-0005-0000-0000-000075050000}"/>
    <cellStyle name="4_Book1_Du toan Phuong lam" xfId="1397" xr:uid="{00000000-0005-0000-0000-000076050000}"/>
    <cellStyle name="4_Book1_Du toan Phuong lam_Phu yen ban46" xfId="1398" xr:uid="{00000000-0005-0000-0000-000077050000}"/>
    <cellStyle name="4_Book1_Du toan Phuong lam_Phu yen ban46_00. THDT_HOANG MAI" xfId="1399" xr:uid="{00000000-0005-0000-0000-000078050000}"/>
    <cellStyle name="4_Book1_Du toan QL 27 (23-12-2005)" xfId="1400" xr:uid="{00000000-0005-0000-0000-000079050000}"/>
    <cellStyle name="4_Book1_Du toan QL 27 (23-12-2005)_Phu yen ban46" xfId="1401" xr:uid="{00000000-0005-0000-0000-00007A050000}"/>
    <cellStyle name="4_Book1_DuAnKT ngay 11-2-2006" xfId="1402" xr:uid="{00000000-0005-0000-0000-00007B050000}"/>
    <cellStyle name="4_Book1_DuAnKT ngay 11-2-2006_Phu yen ban46" xfId="1403" xr:uid="{00000000-0005-0000-0000-00007C050000}"/>
    <cellStyle name="4_Book1_Goi 1" xfId="1404" xr:uid="{00000000-0005-0000-0000-00007D050000}"/>
    <cellStyle name="4_Book1_Goi 1_Phu yen ban46" xfId="1405" xr:uid="{00000000-0005-0000-0000-00007E050000}"/>
    <cellStyle name="4_Book1_Goi thau so 1 (14-12-2006)" xfId="1406" xr:uid="{00000000-0005-0000-0000-00007F050000}"/>
    <cellStyle name="4_Book1_Goi thau so 2 (20-6-2006)" xfId="1407" xr:uid="{00000000-0005-0000-0000-000080050000}"/>
    <cellStyle name="4_Book1_Goi thau so 2 (20-6-2006)_Phu yen ban46" xfId="1408" xr:uid="{00000000-0005-0000-0000-000081050000}"/>
    <cellStyle name="4_Book1_Goi thau so 2 (20-6-2006)_Phu yen ban46_00. THDT_HOANG MAI" xfId="1409" xr:uid="{00000000-0005-0000-0000-000082050000}"/>
    <cellStyle name="4_Book1_Goi thau so 2 (30-01-2007)" xfId="1410" xr:uid="{00000000-0005-0000-0000-000083050000}"/>
    <cellStyle name="4_Book1_Goi02(25-05-2006)" xfId="1411" xr:uid="{00000000-0005-0000-0000-000084050000}"/>
    <cellStyle name="4_Book1_Goi02(25-05-2006)_Phu yen ban46" xfId="1412" xr:uid="{00000000-0005-0000-0000-000085050000}"/>
    <cellStyle name="4_Book1_K C N - HUNG DONG L.NHUA" xfId="1413" xr:uid="{00000000-0005-0000-0000-000086050000}"/>
    <cellStyle name="4_Book1_K C N - HUNG DONG L.NHUA_Phu yen ban46" xfId="1414" xr:uid="{00000000-0005-0000-0000-000087050000}"/>
    <cellStyle name="4_Book1_K C N - HUNG DONG L.NHUA_Phu yen ban46_00. THDT_HOANG MAI" xfId="1415" xr:uid="{00000000-0005-0000-0000-000088050000}"/>
    <cellStyle name="4_Book1_km48-53 (tham tra ngay 23-10-2006)" xfId="1416" xr:uid="{00000000-0005-0000-0000-00008C050000}"/>
    <cellStyle name="4_Book1_Khoi Luong Hoang Truong - Hoang Phu" xfId="1417" xr:uid="{00000000-0005-0000-0000-000089050000}"/>
    <cellStyle name="4_Book1_Khoi Luong Hoang Truong - Hoang Phu_Phu yen ban46" xfId="1418" xr:uid="{00000000-0005-0000-0000-00008A050000}"/>
    <cellStyle name="4_Book1_Khoi Luong Hoang Truong - Hoang Phu_Phu yen ban46_00. THDT_HOANG MAI" xfId="1419" xr:uid="{00000000-0005-0000-0000-00008B050000}"/>
    <cellStyle name="4_Book1_Muong TL" xfId="1420" xr:uid="{00000000-0005-0000-0000-00008D050000}"/>
    <cellStyle name="4_Book1_Muong TL_Phu yen ban46" xfId="1421" xr:uid="{00000000-0005-0000-0000-00008E050000}"/>
    <cellStyle name="4_Book1_Tuyen so 1-Km0+00 - Km0+852.56" xfId="1422" xr:uid="{00000000-0005-0000-0000-00008F050000}"/>
    <cellStyle name="4_Book1_Tuyen so 1-Km0+00 - Km0+852.56_Phu yen ban46" xfId="1423" xr:uid="{00000000-0005-0000-0000-000090050000}"/>
    <cellStyle name="4_Book1_TV sua ngay 02-08-06" xfId="1424" xr:uid="{00000000-0005-0000-0000-000091050000}"/>
    <cellStyle name="4_Book1_ÿÿÿÿÿ" xfId="1425" xr:uid="{00000000-0005-0000-0000-000092050000}"/>
    <cellStyle name="4_C" xfId="1426" xr:uid="{00000000-0005-0000-0000-000093050000}"/>
    <cellStyle name="4_C_Phu yen ban46" xfId="1427" xr:uid="{00000000-0005-0000-0000-000094050000}"/>
    <cellStyle name="4_Cau Bai Son 2 Km 0+270.26 (8-11-2006)" xfId="1428" xr:uid="{00000000-0005-0000-0000-000095050000}"/>
    <cellStyle name="4_Cau Hoi 115" xfId="1429" xr:uid="{00000000-0005-0000-0000-000096050000}"/>
    <cellStyle name="4_Cau Hua Trai (TT 04)" xfId="1430" xr:uid="{00000000-0005-0000-0000-000097050000}"/>
    <cellStyle name="4_Cau Hua Trai (TT 04)_Phu yen ban46" xfId="1431" xr:uid="{00000000-0005-0000-0000-000098050000}"/>
    <cellStyle name="4_Cau My Thinh sua theo don gia 59 (19-5-07)" xfId="1432" xr:uid="{00000000-0005-0000-0000-000099050000}"/>
    <cellStyle name="4_Cau Nam Tot(ngay 2-10-2006)" xfId="1433" xr:uid="{00000000-0005-0000-0000-00009A050000}"/>
    <cellStyle name="4_Cau Song Dao Km 1+51.54 (20-12-2006)" xfId="1434" xr:uid="{00000000-0005-0000-0000-00009B050000}"/>
    <cellStyle name="4_Cau Thanh Ha 1" xfId="1435" xr:uid="{00000000-0005-0000-0000-00009C050000}"/>
    <cellStyle name="4_Cau Thanh Ha 1_Phu yen ban46" xfId="1436" xr:uid="{00000000-0005-0000-0000-00009D050000}"/>
    <cellStyle name="4_Cau thuy dien Ban La (Cu Anh)" xfId="1437" xr:uid="{00000000-0005-0000-0000-00009E050000}"/>
    <cellStyle name="4_Cau thuy dien Ban La (Cu Anh)_00. THDT_HOANG MAI" xfId="1438" xr:uid="{00000000-0005-0000-0000-00009F050000}"/>
    <cellStyle name="4_Cau thuy dien Ban La (Cu Anh)_ha" xfId="1439" xr:uid="{00000000-0005-0000-0000-0000A0050000}"/>
    <cellStyle name="4_Cau thuy dien Ban La (Cu Anh)_ha_00. THDT_HOANG MAI" xfId="1440" xr:uid="{00000000-0005-0000-0000-0000A1050000}"/>
    <cellStyle name="4_Cau thuy dien Ban La (Cu Anh)_k475-491- sua theo Tham tra lan 2  " xfId="1441" xr:uid="{00000000-0005-0000-0000-0000A2050000}"/>
    <cellStyle name="4_Cau thuy dien Ban La (Cu Anh)_Phu yen ban46" xfId="1442" xr:uid="{00000000-0005-0000-0000-0000A3050000}"/>
    <cellStyle name="4_Cau thuy dien Ban La (Cu Anh)_Phu yen ban46_00. THDT_HOANG MAI" xfId="1443" xr:uid="{00000000-0005-0000-0000-0000A4050000}"/>
    <cellStyle name="4_Cau Tram Cua - Km4+484.54" xfId="1444" xr:uid="{00000000-0005-0000-0000-0000A5050000}"/>
    <cellStyle name="4_CAU XOP XANG II(su­a)" xfId="1445" xr:uid="{00000000-0005-0000-0000-0000A6050000}"/>
    <cellStyle name="4_CAU XOP XANG II(su­a)_Phu yen ban46" xfId="1446" xr:uid="{00000000-0005-0000-0000-0000A7050000}"/>
    <cellStyle name="4_cong" xfId="1447" xr:uid="{00000000-0005-0000-0000-0000AC050000}"/>
    <cellStyle name="4_cong_Phu yen ban46" xfId="1448" xr:uid="{00000000-0005-0000-0000-0000AD050000}"/>
    <cellStyle name="4_Copy of QL_27(TV8)-chinh" xfId="1449" xr:uid="{00000000-0005-0000-0000-0000AE050000}"/>
    <cellStyle name="4_Chau Thon - Tan Xuan (goi 5)" xfId="1450" xr:uid="{00000000-0005-0000-0000-0000A8050000}"/>
    <cellStyle name="4_Chau Thon - Tan Xuan (KCS 8-12-06)" xfId="1451" xr:uid="{00000000-0005-0000-0000-0000A9050000}"/>
    <cellStyle name="4_Chi phi KS" xfId="1452" xr:uid="{00000000-0005-0000-0000-0000AA050000}"/>
    <cellStyle name="4_Chi phi KS_Phu yen ban46" xfId="1453" xr:uid="{00000000-0005-0000-0000-0000AB050000}"/>
    <cellStyle name="4_Dakt-Cau tinh Hua Phan" xfId="1454" xr:uid="{00000000-0005-0000-0000-0000AF050000}"/>
    <cellStyle name="4_Dakt-Cau tinh Hua Phan_Phu yen ban46" xfId="1455" xr:uid="{00000000-0005-0000-0000-0000B0050000}"/>
    <cellStyle name="4_DIEN" xfId="1456" xr:uid="{00000000-0005-0000-0000-0000B1050000}"/>
    <cellStyle name="4_DIEN_Phu yen ban46" xfId="1457" xr:uid="{00000000-0005-0000-0000-0000B2050000}"/>
    <cellStyle name="4_Dieu phoi dat goi 1" xfId="1458" xr:uid="{00000000-0005-0000-0000-0000B3050000}"/>
    <cellStyle name="4_Dieu phoi dat goi 1_Phu yen ban46" xfId="1459" xr:uid="{00000000-0005-0000-0000-0000B4050000}"/>
    <cellStyle name="4_Dieu phoi dat goi 1_Phu yen ban46_00. THDT_HOANG MAI" xfId="1460" xr:uid="{00000000-0005-0000-0000-0000B5050000}"/>
    <cellStyle name="4_Dieu phoi dat goi 2" xfId="1461" xr:uid="{00000000-0005-0000-0000-0000B6050000}"/>
    <cellStyle name="4_Dieu phoi dat goi 2_Phu yen ban46" xfId="1462" xr:uid="{00000000-0005-0000-0000-0000B7050000}"/>
    <cellStyle name="4_Dieu phoi dat goi 2_Phu yen ban46_00. THDT_HOANG MAI" xfId="1463" xr:uid="{00000000-0005-0000-0000-0000B8050000}"/>
    <cellStyle name="4_Dinh muc thiet ke" xfId="1464" xr:uid="{00000000-0005-0000-0000-0000B9050000}"/>
    <cellStyle name="4_Dinh muc thiet ke_Phu yen ban46" xfId="1465" xr:uid="{00000000-0005-0000-0000-0000BA050000}"/>
    <cellStyle name="4_DONGIA" xfId="1466" xr:uid="{00000000-0005-0000-0000-0000BB050000}"/>
    <cellStyle name="4_DONGIA_Phu yen ban46" xfId="1467" xr:uid="{00000000-0005-0000-0000-0000BC050000}"/>
    <cellStyle name="4_DT Chau Hong  trinh ngay 09-01-07" xfId="1468" xr:uid="{00000000-0005-0000-0000-0000BD050000}"/>
    <cellStyle name="4_DT KT ngay 10-9-2005" xfId="1469" xr:uid="{00000000-0005-0000-0000-0000C0050000}"/>
    <cellStyle name="4_DT KT ngay 10-9-2005_Phu yen ban46" xfId="1470" xr:uid="{00000000-0005-0000-0000-0000C1050000}"/>
    <cellStyle name="4_DT Kha thi ngay 11-2-06" xfId="1471" xr:uid="{00000000-0005-0000-0000-0000BE050000}"/>
    <cellStyle name="4_DT Kha thi ngay 11-2-06_Phu yen ban46" xfId="1472" xr:uid="{00000000-0005-0000-0000-0000BF050000}"/>
    <cellStyle name="4_DT ngay 04-01-2006" xfId="1473" xr:uid="{00000000-0005-0000-0000-0000C2050000}"/>
    <cellStyle name="4_DT ngay 04-01-2006_Phu yen ban46" xfId="1474" xr:uid="{00000000-0005-0000-0000-0000C3050000}"/>
    <cellStyle name="4_DT ngay 04-01-2006_Phu yen ban46_00. THDT_HOANG MAI" xfId="1475" xr:uid="{00000000-0005-0000-0000-0000C4050000}"/>
    <cellStyle name="4_DT ngay 11-4-2006" xfId="1476" xr:uid="{00000000-0005-0000-0000-0000C5050000}"/>
    <cellStyle name="4_DT ngay 11-4-2006_Phu yen ban46" xfId="1477" xr:uid="{00000000-0005-0000-0000-0000C6050000}"/>
    <cellStyle name="4_DT ngay 11-4-2006_Phu yen ban46_00. THDT_HOANG MAI" xfId="1478" xr:uid="{00000000-0005-0000-0000-0000C7050000}"/>
    <cellStyle name="4_DT ngay 15-11-05" xfId="1479" xr:uid="{00000000-0005-0000-0000-0000C8050000}"/>
    <cellStyle name="4_DT ngay 15-11-05_Phu yen ban46" xfId="1480" xr:uid="{00000000-0005-0000-0000-0000C9050000}"/>
    <cellStyle name="4_DT theo DM24" xfId="1481" xr:uid="{00000000-0005-0000-0000-0000CA050000}"/>
    <cellStyle name="4_DT-497" xfId="1482" xr:uid="{00000000-0005-0000-0000-0000CB050000}"/>
    <cellStyle name="4_Dtdchinh2397" xfId="1483" xr:uid="{00000000-0005-0000-0000-0000CC050000}"/>
    <cellStyle name="4_Dtdchinh2397_00. THDT_HOANG MAI" xfId="1484" xr:uid="{00000000-0005-0000-0000-0000CD050000}"/>
    <cellStyle name="4_DT-Khao-s¸t-TD" xfId="1485" xr:uid="{00000000-0005-0000-0000-0000CE050000}"/>
    <cellStyle name="4_DTXL goi 11(20-9-05)" xfId="1486" xr:uid="{00000000-0005-0000-0000-0000CF050000}"/>
    <cellStyle name="4_DTXL goi 11(20-9-05)_Phu yen ban46" xfId="1487" xr:uid="{00000000-0005-0000-0000-0000D0050000}"/>
    <cellStyle name="4_du toan" xfId="1488" xr:uid="{00000000-0005-0000-0000-0000D1050000}"/>
    <cellStyle name="4_du toan (03-11-05)" xfId="1489" xr:uid="{00000000-0005-0000-0000-0000D2050000}"/>
    <cellStyle name="4_du toan (03-11-05)_Phu yen ban46" xfId="1490" xr:uid="{00000000-0005-0000-0000-0000D3050000}"/>
    <cellStyle name="4_Du toan (12-05-2005) Tham dinh" xfId="1491" xr:uid="{00000000-0005-0000-0000-0000D4050000}"/>
    <cellStyle name="4_Du toan (12-05-2005) Tham dinh_Phu yen ban46" xfId="1492" xr:uid="{00000000-0005-0000-0000-0000D5050000}"/>
    <cellStyle name="4_Du toan (12-05-2005) Tham dinh_Phu yen ban46_00. THDT_HOANG MAI" xfId="1493" xr:uid="{00000000-0005-0000-0000-0000D6050000}"/>
    <cellStyle name="4_Du toan (23-05-2005) Tham dinh" xfId="1494" xr:uid="{00000000-0005-0000-0000-0000D7050000}"/>
    <cellStyle name="4_Du toan (23-05-2005) Tham dinh_Phu yen ban46" xfId="1495" xr:uid="{00000000-0005-0000-0000-0000D8050000}"/>
    <cellStyle name="4_Du toan (23-05-2005) Tham dinh_Phu yen ban46_00. THDT_HOANG MAI" xfId="1496" xr:uid="{00000000-0005-0000-0000-0000D9050000}"/>
    <cellStyle name="4_Du toan (5 - 04 - 2004)" xfId="1497" xr:uid="{00000000-0005-0000-0000-0000DA050000}"/>
    <cellStyle name="4_Du toan (5 - 04 - 2004)_Phu yen ban46" xfId="1498" xr:uid="{00000000-0005-0000-0000-0000DB050000}"/>
    <cellStyle name="4_Du toan (5 - 04 - 2004)_Phu yen ban46_00. THDT_HOANG MAI" xfId="1499" xr:uid="{00000000-0005-0000-0000-0000DC050000}"/>
    <cellStyle name="4_Du toan (6-3-2005)" xfId="1500" xr:uid="{00000000-0005-0000-0000-0000DD050000}"/>
    <cellStyle name="4_Du toan (6-3-2005)_Phu yen ban46" xfId="1501" xr:uid="{00000000-0005-0000-0000-0000DE050000}"/>
    <cellStyle name="4_Du toan (Ban A)" xfId="1502" xr:uid="{00000000-0005-0000-0000-0000DF050000}"/>
    <cellStyle name="4_Du toan (Ban A)_Phu yen ban46" xfId="1503" xr:uid="{00000000-0005-0000-0000-0000E0050000}"/>
    <cellStyle name="4_Du toan (Ban A)_Phu yen ban46_00. THDT_HOANG MAI" xfId="1504" xr:uid="{00000000-0005-0000-0000-0000E1050000}"/>
    <cellStyle name="4_Du toan (ngay 13 - 07 - 2004)" xfId="1505" xr:uid="{00000000-0005-0000-0000-0000E2050000}"/>
    <cellStyle name="4_Du toan (ngay 13 - 07 - 2004)_Phu yen ban46" xfId="1506" xr:uid="{00000000-0005-0000-0000-0000E3050000}"/>
    <cellStyle name="4_Du toan (ngay 13 - 07 - 2004)_Phu yen ban46_00. THDT_HOANG MAI" xfId="1507" xr:uid="{00000000-0005-0000-0000-0000E4050000}"/>
    <cellStyle name="4_Du toan (ngay 25-9-06)" xfId="1508" xr:uid="{00000000-0005-0000-0000-0000E5050000}"/>
    <cellStyle name="4_Du toan (ngay03-02-07) theo DG moi" xfId="1509" xr:uid="{00000000-0005-0000-0000-0000E6050000}"/>
    <cellStyle name="4_Du toan 558 (Km17+508.12 - Km 22)" xfId="1510" xr:uid="{00000000-0005-0000-0000-0000E7050000}"/>
    <cellStyle name="4_Du toan 558 (Km17+508.12 - Km 22)_00. THDT_HOANG MAI" xfId="1511" xr:uid="{00000000-0005-0000-0000-0000E8050000}"/>
    <cellStyle name="4_Du toan 558 (Km17+508.12 - Km 22)_ha" xfId="1512" xr:uid="{00000000-0005-0000-0000-0000E9050000}"/>
    <cellStyle name="4_Du toan 558 (Km17+508.12 - Km 22)_ha_00. THDT_HOANG MAI" xfId="1513" xr:uid="{00000000-0005-0000-0000-0000EA050000}"/>
    <cellStyle name="4_Du toan 558 (Km17+508.12 - Km 22)_k475-491- sua theo Tham tra lan 2  " xfId="1514" xr:uid="{00000000-0005-0000-0000-0000EB050000}"/>
    <cellStyle name="4_Du toan 558 (Km17+508.12 - Km 22)_Phu yen ban46" xfId="1515" xr:uid="{00000000-0005-0000-0000-0000EC050000}"/>
    <cellStyle name="4_Du toan 558 (Km17+508.12 - Km 22)_Phu yen ban46_00. THDT_HOANG MAI" xfId="1516" xr:uid="{00000000-0005-0000-0000-0000ED050000}"/>
    <cellStyle name="4_Du toan bo sung (11-2004)" xfId="1517" xr:uid="{00000000-0005-0000-0000-0000EE050000}"/>
    <cellStyle name="4_Du toan bo sung (11-2004)_Phu yen ban46" xfId="1518" xr:uid="{00000000-0005-0000-0000-0000EF050000}"/>
    <cellStyle name="4_Du toan Cang Vung Ang (Tham tra 3-11-06)" xfId="1519" xr:uid="{00000000-0005-0000-0000-0000F0050000}"/>
    <cellStyle name="4_Du toan Cang Vung Ang ngay 09-8-06 " xfId="1520" xr:uid="{00000000-0005-0000-0000-0000F1050000}"/>
    <cellStyle name="4_Du toan dieu chin theo don gia moi (1-2-2007)" xfId="1521" xr:uid="{00000000-0005-0000-0000-0000F2050000}"/>
    <cellStyle name="4_Du toan Doan Km 53 - 60 sua theo tham tra(15-5-2007)" xfId="1522" xr:uid="{00000000-0005-0000-0000-0000F3050000}"/>
    <cellStyle name="4_Du toan Goi 1" xfId="1523" xr:uid="{00000000-0005-0000-0000-0000F4050000}"/>
    <cellStyle name="4_Du toan Goi 1_Phu yen ban46" xfId="1524" xr:uid="{00000000-0005-0000-0000-0000F5050000}"/>
    <cellStyle name="4_Du toan Goi 1_Phu yen ban46_00. THDT_HOANG MAI" xfId="1525" xr:uid="{00000000-0005-0000-0000-0000F6050000}"/>
    <cellStyle name="4_du toan goi 12" xfId="1526" xr:uid="{00000000-0005-0000-0000-0000F7050000}"/>
    <cellStyle name="4_du toan goi 12_Phu yen ban46" xfId="1527" xr:uid="{00000000-0005-0000-0000-0000F8050000}"/>
    <cellStyle name="4_Du toan Goi 2" xfId="1528" xr:uid="{00000000-0005-0000-0000-0000F9050000}"/>
    <cellStyle name="4_Du toan Goi 2_Phu yen ban46" xfId="1529" xr:uid="{00000000-0005-0000-0000-0000FA050000}"/>
    <cellStyle name="4_Du toan Goi 2_Phu yen ban46_00. THDT_HOANG MAI" xfId="1530" xr:uid="{00000000-0005-0000-0000-0000FB050000}"/>
    <cellStyle name="4_Du toan Huong Lam - Ban Giang (ngay28-11-06)" xfId="1531" xr:uid="{00000000-0005-0000-0000-0000FC050000}"/>
    <cellStyle name="4_Du toan Huong Lam - Ban Giang theo DG 59 (ngay3-2-07)" xfId="1532" xr:uid="{00000000-0005-0000-0000-0000FD050000}"/>
    <cellStyle name="4_Du toan KT-TCsua theo TT 03 - YC 471" xfId="1533" xr:uid="{00000000-0005-0000-0000-0000FE050000}"/>
    <cellStyle name="4_Du toan KT-TCsua theo TT 03 - YC 471_Phu yen ban46" xfId="1534" xr:uid="{00000000-0005-0000-0000-0000FF050000}"/>
    <cellStyle name="4_Du toan KT-TCsua theo TT 03 - YC 471_Phu yen ban46_00. THDT_HOANG MAI" xfId="1535" xr:uid="{00000000-0005-0000-0000-000000060000}"/>
    <cellStyle name="4_Du toan ngay (28-10-2005)" xfId="1536" xr:uid="{00000000-0005-0000-0000-000001060000}"/>
    <cellStyle name="4_Du toan ngay (28-10-2005)_Phu yen ban46" xfId="1537" xr:uid="{00000000-0005-0000-0000-000002060000}"/>
    <cellStyle name="4_Du toan ngay (28-10-2005)_Phu yen ban46_00. THDT_HOANG MAI" xfId="1538" xr:uid="{00000000-0005-0000-0000-000003060000}"/>
    <cellStyle name="4_Du toan ngay 16-4-2007" xfId="1539" xr:uid="{00000000-0005-0000-0000-000004060000}"/>
    <cellStyle name="4_Du toan ngay 1-9-2004 (version 1)" xfId="1540" xr:uid="{00000000-0005-0000-0000-000005060000}"/>
    <cellStyle name="4_Du toan ngay 1-9-2004 (version 1)_Phu yen ban46" xfId="1541" xr:uid="{00000000-0005-0000-0000-000006060000}"/>
    <cellStyle name="4_Du toan ngay 1-9-2004 (version 1)_Phu yen ban46_00. THDT_HOANG MAI" xfId="1542" xr:uid="{00000000-0005-0000-0000-000007060000}"/>
    <cellStyle name="4_Du toan Phuong lam" xfId="1543" xr:uid="{00000000-0005-0000-0000-000008060000}"/>
    <cellStyle name="4_Du toan Phuong lam_Phu yen ban46" xfId="1544" xr:uid="{00000000-0005-0000-0000-000009060000}"/>
    <cellStyle name="4_Du toan QL 27 (23-12-2005)" xfId="1545" xr:uid="{00000000-0005-0000-0000-00000A060000}"/>
    <cellStyle name="4_Du toan QL 27 (23-12-2005)_Phu yen ban46" xfId="1546" xr:uid="{00000000-0005-0000-0000-00000B060000}"/>
    <cellStyle name="4_Du toan QL 27 (23-12-2005)_Phu yen ban46_00. THDT_HOANG MAI" xfId="1547" xr:uid="{00000000-0005-0000-0000-00000C060000}"/>
    <cellStyle name="4_Du toan Tay Thanh Hoa duyetcuoi" xfId="1548" xr:uid="{00000000-0005-0000-0000-00000D060000}"/>
    <cellStyle name="4_Du toan_Coc moc GPMB-Phu Yen" xfId="1549" xr:uid="{00000000-0005-0000-0000-00000E060000}"/>
    <cellStyle name="4_Du toan_Coc moc GPMB-Phu Yen_00. THDT_HOANG MAI" xfId="1550" xr:uid="{00000000-0005-0000-0000-00000F060000}"/>
    <cellStyle name="4_du toan_Phu yen ban46" xfId="1551" xr:uid="{00000000-0005-0000-0000-000010060000}"/>
    <cellStyle name="4_Du_toan_Ho_Xa___Vinh_Tan_WB3 sua ngay 18-8-06" xfId="1552" xr:uid="{00000000-0005-0000-0000-000011060000}"/>
    <cellStyle name="4_DuAnKT ngay 11-2-2006" xfId="1553" xr:uid="{00000000-0005-0000-0000-000012060000}"/>
    <cellStyle name="4_DuAnKT ngay 11-2-2006_Phu yen ban46" xfId="1554" xr:uid="{00000000-0005-0000-0000-000013060000}"/>
    <cellStyle name="4_DuAnKT ngay 11-2-2006_Phu yen ban46_00. THDT_HOANG MAI" xfId="1555" xr:uid="{00000000-0005-0000-0000-000014060000}"/>
    <cellStyle name="4_goi 1" xfId="1556" xr:uid="{00000000-0005-0000-0000-00001B060000}"/>
    <cellStyle name="4_Goi 1 (TT04)" xfId="1557" xr:uid="{00000000-0005-0000-0000-00001C060000}"/>
    <cellStyle name="4_Goi 1 (TT04)_Phu yen ban46" xfId="1558" xr:uid="{00000000-0005-0000-0000-00001D060000}"/>
    <cellStyle name="4_goi 1 duyet theo luong mo (an)" xfId="1559" xr:uid="{00000000-0005-0000-0000-00001E060000}"/>
    <cellStyle name="4_goi 1 duyet theo luong mo (an)_Phu yen ban46" xfId="1560" xr:uid="{00000000-0005-0000-0000-00001F060000}"/>
    <cellStyle name="4_Goi 1_1" xfId="1561" xr:uid="{00000000-0005-0000-0000-000020060000}"/>
    <cellStyle name="4_Goi 1_1_Phu yen ban46" xfId="1562" xr:uid="{00000000-0005-0000-0000-000021060000}"/>
    <cellStyle name="4_Goi 1_1_Phu yen ban46_00. THDT_HOANG MAI" xfId="1563" xr:uid="{00000000-0005-0000-0000-000022060000}"/>
    <cellStyle name="4_goi 1_Phu yen ban46" xfId="1564" xr:uid="{00000000-0005-0000-0000-000023060000}"/>
    <cellStyle name="4_Goi so 1" xfId="1565" xr:uid="{00000000-0005-0000-0000-000024060000}"/>
    <cellStyle name="4_Goi so 1_Phu yen ban46" xfId="1566" xr:uid="{00000000-0005-0000-0000-000025060000}"/>
    <cellStyle name="4_Goi thau so 08 (11-05-2007)" xfId="1567" xr:uid="{00000000-0005-0000-0000-000026060000}"/>
    <cellStyle name="4_Goi thau so 1 (14-12-2006)" xfId="1568" xr:uid="{00000000-0005-0000-0000-000027060000}"/>
    <cellStyle name="4_Goi thau so 2 (20-6-2006)" xfId="1569" xr:uid="{00000000-0005-0000-0000-000028060000}"/>
    <cellStyle name="4_Goi thau so 2 (20-6-2006)_Phu yen ban46" xfId="1570" xr:uid="{00000000-0005-0000-0000-000029060000}"/>
    <cellStyle name="4_Goi02(25-05-2006)" xfId="1571" xr:uid="{00000000-0005-0000-0000-00002A060000}"/>
    <cellStyle name="4_Goi02(25-05-2006)_Phu yen ban46" xfId="1572" xr:uid="{00000000-0005-0000-0000-00002B060000}"/>
    <cellStyle name="4_Goi02(25-05-2006)_Phu yen ban46_00. THDT_HOANG MAI" xfId="1573" xr:uid="{00000000-0005-0000-0000-00002C060000}"/>
    <cellStyle name="4_Goi1N206" xfId="1574" xr:uid="{00000000-0005-0000-0000-00002D060000}"/>
    <cellStyle name="4_Goi1N206_Phu yen ban46" xfId="1575" xr:uid="{00000000-0005-0000-0000-00002E060000}"/>
    <cellStyle name="4_Goi1N206_Phu yen ban46_00. THDT_HOANG MAI" xfId="1576" xr:uid="{00000000-0005-0000-0000-00002F060000}"/>
    <cellStyle name="4_Goi2N206" xfId="1577" xr:uid="{00000000-0005-0000-0000-000030060000}"/>
    <cellStyle name="4_Goi2N206_Phu yen ban46" xfId="1578" xr:uid="{00000000-0005-0000-0000-000031060000}"/>
    <cellStyle name="4_Goi2N206_Phu yen ban46_00. THDT_HOANG MAI" xfId="1579" xr:uid="{00000000-0005-0000-0000-000032060000}"/>
    <cellStyle name="4_Goi4N216" xfId="1580" xr:uid="{00000000-0005-0000-0000-000033060000}"/>
    <cellStyle name="4_Goi4N216_Phu yen ban46" xfId="1581" xr:uid="{00000000-0005-0000-0000-000034060000}"/>
    <cellStyle name="4_Goi4N216_Phu yen ban46_00. THDT_HOANG MAI" xfId="1582" xr:uid="{00000000-0005-0000-0000-000035060000}"/>
    <cellStyle name="4_Goi5N216" xfId="1583" xr:uid="{00000000-0005-0000-0000-000036060000}"/>
    <cellStyle name="4_Goi5N216_Phu yen ban46" xfId="1584" xr:uid="{00000000-0005-0000-0000-000037060000}"/>
    <cellStyle name="4_Goi5N216_Phu yen ban46_00. THDT_HOANG MAI" xfId="1585" xr:uid="{00000000-0005-0000-0000-000038060000}"/>
    <cellStyle name="4_Gia_VL cau-JIBIC-Ha-tinh" xfId="1586" xr:uid="{00000000-0005-0000-0000-000015060000}"/>
    <cellStyle name="4_Gia_VL cau-JIBIC-Ha-tinh_Phu yen ban46" xfId="1587" xr:uid="{00000000-0005-0000-0000-000016060000}"/>
    <cellStyle name="4_Gia_VL cau-JIBIC-Ha-tinh_Phu yen ban46_00. THDT_HOANG MAI" xfId="1588" xr:uid="{00000000-0005-0000-0000-000017060000}"/>
    <cellStyle name="4_Gia_VLQL48_duyet " xfId="1589" xr:uid="{00000000-0005-0000-0000-000018060000}"/>
    <cellStyle name="4_Gia_VLQL48_duyet _Phu yen ban46" xfId="1590" xr:uid="{00000000-0005-0000-0000-000019060000}"/>
    <cellStyle name="4_Gia_VLQL48_duyet _Phu yen ban46_00. THDT_HOANG MAI" xfId="1591" xr:uid="{00000000-0005-0000-0000-00001A060000}"/>
    <cellStyle name="4_Hoi Song" xfId="1592" xr:uid="{00000000-0005-0000-0000-000039060000}"/>
    <cellStyle name="4_Hoi Song_Phu yen ban46" xfId="1593" xr:uid="{00000000-0005-0000-0000-00003A060000}"/>
    <cellStyle name="4_HT-LO" xfId="1594" xr:uid="{00000000-0005-0000-0000-00003B060000}"/>
    <cellStyle name="4_HT-LO_Phu yen ban46" xfId="1595" xr:uid="{00000000-0005-0000-0000-00003C060000}"/>
    <cellStyle name="4_HT-LO_Phu yen ban46_00. THDT_HOANG MAI" xfId="1596" xr:uid="{00000000-0005-0000-0000-00003D060000}"/>
    <cellStyle name="4_Huong Lam - Ban Giang (11-4-2007)" xfId="1597" xr:uid="{00000000-0005-0000-0000-00003E060000}"/>
    <cellStyle name="4_KL" xfId="1598" xr:uid="{00000000-0005-0000-0000-00004B060000}"/>
    <cellStyle name="4_Kl6-6-05" xfId="1599" xr:uid="{00000000-0005-0000-0000-00004C060000}"/>
    <cellStyle name="4_Kl6-6-05_Phu yen ban46" xfId="1600" xr:uid="{00000000-0005-0000-0000-00004D060000}"/>
    <cellStyle name="4_KLCongTh" xfId="1601" xr:uid="{00000000-0005-0000-0000-00004E060000}"/>
    <cellStyle name="4_Kldoan3" xfId="1602" xr:uid="{00000000-0005-0000-0000-00004F060000}"/>
    <cellStyle name="4_KLhoxa" xfId="1603" xr:uid="{00000000-0005-0000-0000-000050060000}"/>
    <cellStyle name="4_KLNM 1303" xfId="1604" xr:uid="{00000000-0005-0000-0000-000051060000}"/>
    <cellStyle name="4_Klnutgiao" xfId="1605" xr:uid="{00000000-0005-0000-0000-000052060000}"/>
    <cellStyle name="4_Klnutgiao_Phu yen ban46" xfId="1606" xr:uid="{00000000-0005-0000-0000-000053060000}"/>
    <cellStyle name="4_KLPA2s" xfId="1607" xr:uid="{00000000-0005-0000-0000-000054060000}"/>
    <cellStyle name="4_KLPA2s_Phu yen ban46" xfId="1608" xr:uid="{00000000-0005-0000-0000-000055060000}"/>
    <cellStyle name="4_KlQdinhduyet" xfId="1609" xr:uid="{00000000-0005-0000-0000-000056060000}"/>
    <cellStyle name="4_KlQdinhduyet_Phu yen ban46" xfId="1610" xr:uid="{00000000-0005-0000-0000-000057060000}"/>
    <cellStyle name="4_KlQdinhduyet_Phu yen ban46_00. THDT_HOANG MAI" xfId="1611" xr:uid="{00000000-0005-0000-0000-000058060000}"/>
    <cellStyle name="4_KlQL4goi5KCS" xfId="1612" xr:uid="{00000000-0005-0000-0000-000059060000}"/>
    <cellStyle name="4_KlQL4goi5KCS_Phu yen ban46" xfId="1613" xr:uid="{00000000-0005-0000-0000-00005A060000}"/>
    <cellStyle name="4_Kltayth" xfId="1614" xr:uid="{00000000-0005-0000-0000-00005B060000}"/>
    <cellStyle name="4_Kltayth_Phu yen ban46" xfId="1615" xr:uid="{00000000-0005-0000-0000-00005C060000}"/>
    <cellStyle name="4_KltaythQDduyet" xfId="1616" xr:uid="{00000000-0005-0000-0000-00005D060000}"/>
    <cellStyle name="4_KltaythQDduyet_Phu yen ban46" xfId="1617" xr:uid="{00000000-0005-0000-0000-00005E060000}"/>
    <cellStyle name="4_Kluong4-2004" xfId="1618" xr:uid="{00000000-0005-0000-0000-00005F060000}"/>
    <cellStyle name="4_Kluong4-2004_Phu yen ban46" xfId="1619" xr:uid="{00000000-0005-0000-0000-000060060000}"/>
    <cellStyle name="4_Kluong4-2004_Phu yen ban46_00. THDT_HOANG MAI" xfId="1620" xr:uid="{00000000-0005-0000-0000-000061060000}"/>
    <cellStyle name="4_Km 48 - 53 (sua nap TVTT 6-7-2007)" xfId="1621" xr:uid="{00000000-0005-0000-0000-000062060000}"/>
    <cellStyle name="4_km4-6" xfId="1622" xr:uid="{00000000-0005-0000-0000-000063060000}"/>
    <cellStyle name="4_km48-53 (tham tra ngay 23-10-2006)" xfId="1623" xr:uid="{00000000-0005-0000-0000-000064060000}"/>
    <cellStyle name="4_km48-53 (tham tra ngay 23-10-2006)theo gi¸ ca m¸y míi" xfId="1624" xr:uid="{00000000-0005-0000-0000-000065060000}"/>
    <cellStyle name="4_khao sat DBGPMB" xfId="1625" xr:uid="{00000000-0005-0000-0000-00003F060000}"/>
    <cellStyle name="4_khao sat DBGPMB_00. THDT_HOANG MAI" xfId="1626" xr:uid="{00000000-0005-0000-0000-000040060000}"/>
    <cellStyle name="4_Khoi luong" xfId="1627" xr:uid="{00000000-0005-0000-0000-000041060000}"/>
    <cellStyle name="4_Khoi luong doan 1" xfId="1628" xr:uid="{00000000-0005-0000-0000-000042060000}"/>
    <cellStyle name="4_Khoi luong doan 1_Phu yen ban46" xfId="1629" xr:uid="{00000000-0005-0000-0000-000043060000}"/>
    <cellStyle name="4_Khoi luong doan 1_Phu yen ban46_00. THDT_HOANG MAI" xfId="1630" xr:uid="{00000000-0005-0000-0000-000044060000}"/>
    <cellStyle name="4_Khoi luong doan 2" xfId="1631" xr:uid="{00000000-0005-0000-0000-000045060000}"/>
    <cellStyle name="4_Khoi Luong Hoang Truong - Hoang Phu" xfId="1632" xr:uid="{00000000-0005-0000-0000-000046060000}"/>
    <cellStyle name="4_Khoi Luong Hoang Truong - Hoang Phu_Phu yen ban46" xfId="1633" xr:uid="{00000000-0005-0000-0000-000047060000}"/>
    <cellStyle name="4_Khoi Luong Hoang Truong - Hoang Phu_Phu yen ban46_00. THDT_HOANG MAI" xfId="1634" xr:uid="{00000000-0005-0000-0000-000048060000}"/>
    <cellStyle name="4_Khoi luong_Phu yen ban46" xfId="1635" xr:uid="{00000000-0005-0000-0000-000049060000}"/>
    <cellStyle name="4_Khoi luong_Phu yen ban46_00. THDT_HOANG MAI" xfId="1636" xr:uid="{00000000-0005-0000-0000-00004A060000}"/>
    <cellStyle name="4_Luong A6" xfId="1637" xr:uid="{00000000-0005-0000-0000-000066060000}"/>
    <cellStyle name="4_Luong A6_Phu yen ban46" xfId="1638" xr:uid="{00000000-0005-0000-0000-000067060000}"/>
    <cellStyle name="4_maugiacotaluy" xfId="1639" xr:uid="{00000000-0005-0000-0000-000068060000}"/>
    <cellStyle name="4_maugiacotaluy_Phu yen ban46" xfId="1640" xr:uid="{00000000-0005-0000-0000-000069060000}"/>
    <cellStyle name="4_My Thanh Son Thanh" xfId="1641" xr:uid="{00000000-0005-0000-0000-00006A060000}"/>
    <cellStyle name="4_My Thanh Son Thanh_Phu yen ban46" xfId="1642" xr:uid="{00000000-0005-0000-0000-00006B060000}"/>
    <cellStyle name="4_Nhom I" xfId="1643" xr:uid="{00000000-0005-0000-0000-00006C060000}"/>
    <cellStyle name="4_Nhom I_Phu yen ban46" xfId="1644" xr:uid="{00000000-0005-0000-0000-00006D060000}"/>
    <cellStyle name="4_Nhom I_Phu yen ban46_00. THDT_HOANG MAI" xfId="1645" xr:uid="{00000000-0005-0000-0000-00006E060000}"/>
    <cellStyle name="4_Project N.Du" xfId="1646" xr:uid="{00000000-0005-0000-0000-00006F060000}"/>
    <cellStyle name="4_Project N.Du.dien" xfId="1647" xr:uid="{00000000-0005-0000-0000-000070060000}"/>
    <cellStyle name="4_Project N.Du.dien_Phu yen ban46" xfId="1648" xr:uid="{00000000-0005-0000-0000-000071060000}"/>
    <cellStyle name="4_Project N.Du_Phu yen ban46" xfId="1649" xr:uid="{00000000-0005-0000-0000-000072060000}"/>
    <cellStyle name="4_Project N.Du_Phu yen ban46_00. THDT_HOANG MAI" xfId="1650" xr:uid="{00000000-0005-0000-0000-000073060000}"/>
    <cellStyle name="4_Project QL4" xfId="1651" xr:uid="{00000000-0005-0000-0000-000074060000}"/>
    <cellStyle name="4_Project QL4 goi 7" xfId="1652" xr:uid="{00000000-0005-0000-0000-000075060000}"/>
    <cellStyle name="4_Project QL4 goi 7_Phu yen ban46" xfId="1653" xr:uid="{00000000-0005-0000-0000-000076060000}"/>
    <cellStyle name="4_Project QL4 goi 7_Phu yen ban46_00. THDT_HOANG MAI" xfId="1654" xr:uid="{00000000-0005-0000-0000-000077060000}"/>
    <cellStyle name="4_Project QL4 goi5" xfId="1655" xr:uid="{00000000-0005-0000-0000-000078060000}"/>
    <cellStyle name="4_Project QL4 goi5_Phu yen ban46" xfId="1656" xr:uid="{00000000-0005-0000-0000-000079060000}"/>
    <cellStyle name="4_Project QL4 goi8" xfId="1657" xr:uid="{00000000-0005-0000-0000-00007A060000}"/>
    <cellStyle name="4_Project QL4 goi8_Phu yen ban46" xfId="1658" xr:uid="{00000000-0005-0000-0000-00007B060000}"/>
    <cellStyle name="4_Project QL4_Phu yen ban46" xfId="1659" xr:uid="{00000000-0005-0000-0000-00007C060000}"/>
    <cellStyle name="4_QL1A-SUA2005" xfId="1660" xr:uid="{00000000-0005-0000-0000-00007D060000}"/>
    <cellStyle name="4_QL1A-SUA2005_Phu yen ban46" xfId="1661" xr:uid="{00000000-0005-0000-0000-00007E060000}"/>
    <cellStyle name="4_QL1A-SUA2005_Phu yen ban46_00. THDT_HOANG MAI" xfId="1662" xr:uid="{00000000-0005-0000-0000-00007F060000}"/>
    <cellStyle name="4_Sheet1" xfId="1663" xr:uid="{00000000-0005-0000-0000-000080060000}"/>
    <cellStyle name="4_Sheet1_Phu yen ban46" xfId="1664" xr:uid="{00000000-0005-0000-0000-000081060000}"/>
    <cellStyle name="4_SuoiTon" xfId="1665" xr:uid="{00000000-0005-0000-0000-000082060000}"/>
    <cellStyle name="4_SuoiTon_Phu yen ban46" xfId="1666" xr:uid="{00000000-0005-0000-0000-000083060000}"/>
    <cellStyle name="4_SuoiTon_Phu yen ban46_00. THDT_HOANG MAI" xfId="1667" xr:uid="{00000000-0005-0000-0000-000084060000}"/>
    <cellStyle name="4_t" xfId="1668" xr:uid="{00000000-0005-0000-0000-000085060000}"/>
    <cellStyle name="4_t_Phu yen ban46" xfId="1669" xr:uid="{00000000-0005-0000-0000-000086060000}"/>
    <cellStyle name="4_Tay THoa" xfId="1670" xr:uid="{00000000-0005-0000-0000-000087060000}"/>
    <cellStyle name="4_Tay THoa_Phu yen ban46" xfId="1671" xr:uid="{00000000-0005-0000-0000-000088060000}"/>
    <cellStyle name="4_Tay THoa_Phu yen ban46_00. THDT_HOANG MAI" xfId="1672" xr:uid="{00000000-0005-0000-0000-000089060000}"/>
    <cellStyle name="4_Tong hop DT dieu chinh duong 38-95" xfId="1673" xr:uid="{00000000-0005-0000-0000-000091060000}"/>
    <cellStyle name="4_Tong hop DT dieu chinh duong 38-95_Phu yen ban46" xfId="1674" xr:uid="{00000000-0005-0000-0000-000092060000}"/>
    <cellStyle name="4_Tong hop khoi luong duong 557 (30-5-2006)" xfId="1675" xr:uid="{00000000-0005-0000-0000-000093060000}"/>
    <cellStyle name="4_Tong hop khoi luong duong 557 (30-5-2006)_Phu yen ban46" xfId="1676" xr:uid="{00000000-0005-0000-0000-000094060000}"/>
    <cellStyle name="4_Tong muc dau tu" xfId="1677" xr:uid="{00000000-0005-0000-0000-000095060000}"/>
    <cellStyle name="4_Tong muc dau tu_Phu yen ban46" xfId="1678" xr:uid="{00000000-0005-0000-0000-000096060000}"/>
    <cellStyle name="4_Tuyen so 1-Km0+00 - Km0+852.56" xfId="1679" xr:uid="{00000000-0005-0000-0000-000097060000}"/>
    <cellStyle name="4_Tuyen so 1-Km0+00 - Km0+852.56_Phu yen ban46" xfId="1680" xr:uid="{00000000-0005-0000-0000-000098060000}"/>
    <cellStyle name="4_Tuyen so 1-Km0+00 - Km0+852.56_Phu yen ban46_00. THDT_HOANG MAI" xfId="1681" xr:uid="{00000000-0005-0000-0000-000099060000}"/>
    <cellStyle name="4_TV sua ngay 02-08-06" xfId="1682" xr:uid="{00000000-0005-0000-0000-00009A060000}"/>
    <cellStyle name="4_Tham tra (8-11)1" xfId="1683" xr:uid="{00000000-0005-0000-0000-00008A060000}"/>
    <cellStyle name="4_THkl" xfId="1684" xr:uid="{00000000-0005-0000-0000-00008B060000}"/>
    <cellStyle name="4_THklpa2" xfId="1685" xr:uid="{00000000-0005-0000-0000-00008C060000}"/>
    <cellStyle name="4_Thong ke cong" xfId="1686" xr:uid="{00000000-0005-0000-0000-00008D060000}"/>
    <cellStyle name="4_Thong ke cong_00. THDT_HOANG MAI" xfId="1687" xr:uid="{00000000-0005-0000-0000-00008E060000}"/>
    <cellStyle name="4_thong ke giao dan sinh" xfId="1688" xr:uid="{00000000-0005-0000-0000-00008F060000}"/>
    <cellStyle name="4_thong ke giao dan sinh_00. THDT_HOANG MAI" xfId="1689" xr:uid="{00000000-0005-0000-0000-000090060000}"/>
    <cellStyle name="4_VatLieu 3 cau -NA" xfId="1690" xr:uid="{00000000-0005-0000-0000-00009B060000}"/>
    <cellStyle name="4_VatLieu 3 cau -NA_Phu yen ban46" xfId="1691" xr:uid="{00000000-0005-0000-0000-00009C060000}"/>
    <cellStyle name="4_VatLieu 3 cau -NA_Phu yen ban46_00. THDT_HOANG MAI" xfId="1692" xr:uid="{00000000-0005-0000-0000-00009D060000}"/>
    <cellStyle name="4_ÿÿÿÿÿ" xfId="1693" xr:uid="{00000000-0005-0000-0000-00009E060000}"/>
    <cellStyle name="4_ÿÿÿÿÿ_1" xfId="1694" xr:uid="{00000000-0005-0000-0000-00009F060000}"/>
    <cellStyle name="4_ÿÿÿÿÿ_1_Phu yen ban46" xfId="1695" xr:uid="{00000000-0005-0000-0000-0000A0060000}"/>
    <cellStyle name="4_ÿÿÿÿÿ_1_Phu yen ban46_00. THDT_HOANG MAI" xfId="1696" xr:uid="{00000000-0005-0000-0000-0000A1060000}"/>
    <cellStyle name="4_ÿÿÿÿÿ_ha" xfId="1697" xr:uid="{00000000-0005-0000-0000-0000A2060000}"/>
    <cellStyle name="4_ÿÿÿÿÿ_k475-491- sua theo Tham tra lan 2  " xfId="1698" xr:uid="{00000000-0005-0000-0000-0000A3060000}"/>
    <cellStyle name="4_ÿÿÿÿÿ_Phu yen ban46" xfId="1699" xr:uid="{00000000-0005-0000-0000-0000A4060000}"/>
    <cellStyle name="40% - Accent1 2" xfId="1700" xr:uid="{00000000-0005-0000-0000-0000A5060000}"/>
    <cellStyle name="40% - Accent2 2" xfId="1701" xr:uid="{00000000-0005-0000-0000-0000A6060000}"/>
    <cellStyle name="40% - Accent3 2" xfId="1702" xr:uid="{00000000-0005-0000-0000-0000A7060000}"/>
    <cellStyle name="40% - Accent4 2" xfId="1703" xr:uid="{00000000-0005-0000-0000-0000A8060000}"/>
    <cellStyle name="40% - Accent5 2" xfId="1704" xr:uid="{00000000-0005-0000-0000-0000A9060000}"/>
    <cellStyle name="40% - Accent6 2" xfId="1705" xr:uid="{00000000-0005-0000-0000-0000AA060000}"/>
    <cellStyle name="50" xfId="1706" xr:uid="{00000000-0005-0000-0000-0000AB060000}"/>
    <cellStyle name="6" xfId="1707" xr:uid="{00000000-0005-0000-0000-0000AC060000}"/>
    <cellStyle name="6 SBU" xfId="1708" xr:uid="{00000000-0005-0000-0000-0000AD060000}"/>
    <cellStyle name="6_0.TMDT_khu K1_dieu chinh 22.12.2011_sua theo kq tham dinh 15.2.2012" xfId="1709" xr:uid="{00000000-0005-0000-0000-0000AE060000}"/>
    <cellStyle name="6_0.TMDT_khu K1_dieu chinh 22.12.2011_sua theo kq tham dinh 15.2.2012_00. THDT_HOANG MAI" xfId="1710" xr:uid="{00000000-0005-0000-0000-0000AF060000}"/>
    <cellStyle name="6_00. THDT_HOANG MAI" xfId="1711" xr:uid="{00000000-0005-0000-0000-0000B0060000}"/>
    <cellStyle name="6_Book1" xfId="1712" xr:uid="{00000000-0005-0000-0000-0000B1060000}"/>
    <cellStyle name="6_Book1_00. THDT_HOANG MAI" xfId="1713" xr:uid="{00000000-0005-0000-0000-0000B2060000}"/>
    <cellStyle name="6_GiaM 062005" xfId="1714" xr:uid="{00000000-0005-0000-0000-0000B3060000}"/>
    <cellStyle name="6_Phu yen ban46" xfId="1715" xr:uid="{00000000-0005-0000-0000-0000B4060000}"/>
    <cellStyle name="6_tra he so" xfId="1716" xr:uid="{00000000-0005-0000-0000-0000B5060000}"/>
    <cellStyle name="6_tra he so_00. THDT_HOANG MAI" xfId="1717" xr:uid="{00000000-0005-0000-0000-0000B6060000}"/>
    <cellStyle name="60% - Accent1 2" xfId="1718" xr:uid="{00000000-0005-0000-0000-0000B7060000}"/>
    <cellStyle name="60% - Accent2 2" xfId="1719" xr:uid="{00000000-0005-0000-0000-0000B8060000}"/>
    <cellStyle name="60% - Accent3 2" xfId="1720" xr:uid="{00000000-0005-0000-0000-0000B9060000}"/>
    <cellStyle name="60% - Accent4 2" xfId="1721" xr:uid="{00000000-0005-0000-0000-0000BA060000}"/>
    <cellStyle name="60% - Accent5 2" xfId="1722" xr:uid="{00000000-0005-0000-0000-0000BB060000}"/>
    <cellStyle name="60% - Accent6 2" xfId="1723" xr:uid="{00000000-0005-0000-0000-0000BC060000}"/>
    <cellStyle name="6W50" xfId="1724" xr:uid="{00000000-0005-0000-0000-0000BD060000}"/>
    <cellStyle name="8ormal_SPTQ2W24" xfId="1725" xr:uid="{00000000-0005-0000-0000-0000BE060000}"/>
    <cellStyle name="a" xfId="1726" xr:uid="{00000000-0005-0000-0000-0000BF060000}"/>
    <cellStyle name="Ä?¸¶ [0]_      " xfId="1727" xr:uid="{00000000-0005-0000-0000-0000C0060000}"/>
    <cellStyle name="A?¸¶ [0]_INQUIRY ¿?¾÷AßAø " xfId="1728" xr:uid="{00000000-0005-0000-0000-0000C1060000}"/>
    <cellStyle name="Ä?¸¶ [0]_L601CPT" xfId="1729" xr:uid="{00000000-0005-0000-0000-0000C2060000}"/>
    <cellStyle name="Ä?¸¶_      " xfId="1730" xr:uid="{00000000-0005-0000-0000-0000C3060000}"/>
    <cellStyle name="A?¸¶_INQUIRY ¿?¾÷AßAø " xfId="1731" xr:uid="{00000000-0005-0000-0000-0000C4060000}"/>
    <cellStyle name="Ä?¸¶_L601CPT" xfId="1732" xr:uid="{00000000-0005-0000-0000-0000C5060000}"/>
    <cellStyle name="_x0001_Å»_x001e_´ " xfId="1733" xr:uid="{00000000-0005-0000-0000-0000C6060000}"/>
    <cellStyle name="_x0001_Å»_x001e_´_" xfId="1734" xr:uid="{00000000-0005-0000-0000-0000C7060000}"/>
    <cellStyle name="Accent1 - 20%" xfId="1735" xr:uid="{00000000-0005-0000-0000-0000C8060000}"/>
    <cellStyle name="Accent1 - 40%" xfId="1736" xr:uid="{00000000-0005-0000-0000-0000C9060000}"/>
    <cellStyle name="Accent1 - 60%" xfId="1737" xr:uid="{00000000-0005-0000-0000-0000CA060000}"/>
    <cellStyle name="Accent1 2" xfId="1738" xr:uid="{00000000-0005-0000-0000-0000CB060000}"/>
    <cellStyle name="Accent2 - 20%" xfId="1739" xr:uid="{00000000-0005-0000-0000-0000CC060000}"/>
    <cellStyle name="Accent2 - 40%" xfId="1740" xr:uid="{00000000-0005-0000-0000-0000CD060000}"/>
    <cellStyle name="Accent2 - 60%" xfId="1741" xr:uid="{00000000-0005-0000-0000-0000CE060000}"/>
    <cellStyle name="Accent2 2" xfId="1742" xr:uid="{00000000-0005-0000-0000-0000CF060000}"/>
    <cellStyle name="Accent3 - 20%" xfId="1743" xr:uid="{00000000-0005-0000-0000-0000D0060000}"/>
    <cellStyle name="Accent3 - 40%" xfId="1744" xr:uid="{00000000-0005-0000-0000-0000D1060000}"/>
    <cellStyle name="Accent3 - 60%" xfId="1745" xr:uid="{00000000-0005-0000-0000-0000D2060000}"/>
    <cellStyle name="Accent3 2" xfId="1746" xr:uid="{00000000-0005-0000-0000-0000D3060000}"/>
    <cellStyle name="Accent4 - 20%" xfId="1747" xr:uid="{00000000-0005-0000-0000-0000D4060000}"/>
    <cellStyle name="Accent4 - 40%" xfId="1748" xr:uid="{00000000-0005-0000-0000-0000D5060000}"/>
    <cellStyle name="Accent4 - 60%" xfId="1749" xr:uid="{00000000-0005-0000-0000-0000D6060000}"/>
    <cellStyle name="Accent4 2" xfId="1750" xr:uid="{00000000-0005-0000-0000-0000D7060000}"/>
    <cellStyle name="Accent5 - 20%" xfId="1751" xr:uid="{00000000-0005-0000-0000-0000D8060000}"/>
    <cellStyle name="Accent5 - 40%" xfId="1752" xr:uid="{00000000-0005-0000-0000-0000D9060000}"/>
    <cellStyle name="Accent5 - 60%" xfId="1753" xr:uid="{00000000-0005-0000-0000-0000DA060000}"/>
    <cellStyle name="Accent5 2" xfId="1754" xr:uid="{00000000-0005-0000-0000-0000DB060000}"/>
    <cellStyle name="Accent6 - 20%" xfId="1755" xr:uid="{00000000-0005-0000-0000-0000DC060000}"/>
    <cellStyle name="Accent6 - 40%" xfId="1756" xr:uid="{00000000-0005-0000-0000-0000DD060000}"/>
    <cellStyle name="Accent6 - 60%" xfId="1757" xr:uid="{00000000-0005-0000-0000-0000DE060000}"/>
    <cellStyle name="Accent6 2" xfId="1758" xr:uid="{00000000-0005-0000-0000-0000DF060000}"/>
    <cellStyle name="ÅëÈ­ [0]_      " xfId="1759" xr:uid="{00000000-0005-0000-0000-0000E0060000}"/>
    <cellStyle name="AeE­ [0]_INQUIRY ¿?¾÷AßAø " xfId="1760" xr:uid="{00000000-0005-0000-0000-0000E1060000}"/>
    <cellStyle name="ÅëÈ­ [0]_L601CPT" xfId="1761" xr:uid="{00000000-0005-0000-0000-0000E2060000}"/>
    <cellStyle name="ÅëÈ­_      " xfId="1762" xr:uid="{00000000-0005-0000-0000-0000E3060000}"/>
    <cellStyle name="AeE­_INQUIRY ¿?¾÷AßAø " xfId="1763" xr:uid="{00000000-0005-0000-0000-0000E4060000}"/>
    <cellStyle name="ÅëÈ­_L601CPT" xfId="1764" xr:uid="{00000000-0005-0000-0000-0000E5060000}"/>
    <cellStyle name="al_Sheet1_FY96" xfId="1765" xr:uid="{00000000-0005-0000-0000-0000E6060000}"/>
    <cellStyle name="a_x0012_Normal_Sheet1_P_x0015_Normal_Sheet1_Reserve" xfId="1766" xr:uid="{00000000-0005-0000-0000-0000E7060000}"/>
    <cellStyle name="aormaormaormaormaormaormaormaormaorma肨Pmal_TH" xfId="1767" xr:uid="{00000000-0005-0000-0000-0000E8060000}"/>
    <cellStyle name="aormaormaormaormaormaormaormaorma肨 maormaormaormaormaormaormaormaormaorma肨Pmal_TH" xfId="1768" xr:uid="{00000000-0005-0000-0000-0000E9060000}"/>
    <cellStyle name="APPEAR" xfId="1769" xr:uid="{00000000-0005-0000-0000-0000EA060000}"/>
    <cellStyle name="args.style" xfId="1770" xr:uid="{00000000-0005-0000-0000-0000EB060000}"/>
    <cellStyle name="at" xfId="1771" xr:uid="{00000000-0005-0000-0000-0000EC060000}"/>
    <cellStyle name="ÄÞ¸¶ [0]_      " xfId="1772" xr:uid="{00000000-0005-0000-0000-0000ED060000}"/>
    <cellStyle name="AÞ¸¶ [0]_INQUIRY ¿?¾÷AßAø " xfId="1773" xr:uid="{00000000-0005-0000-0000-0000EE060000}"/>
    <cellStyle name="ÄÞ¸¶ [0]_L601CPT" xfId="1774" xr:uid="{00000000-0005-0000-0000-0000EF060000}"/>
    <cellStyle name="ÄÞ¸¶_      " xfId="1775" xr:uid="{00000000-0005-0000-0000-0000F0060000}"/>
    <cellStyle name="AÞ¸¶_INQUIRY ¿?¾÷AßAø " xfId="1776" xr:uid="{00000000-0005-0000-0000-0000F1060000}"/>
    <cellStyle name="ÄÞ¸¶_L601CPT" xfId="1777" xr:uid="{00000000-0005-0000-0000-0000F2060000}"/>
    <cellStyle name="AutoFormat Options" xfId="1778" xr:uid="{00000000-0005-0000-0000-0000F3060000}"/>
    <cellStyle name="a肨Pmal_TH" xfId="1779" xr:uid="{00000000-0005-0000-0000-0000F4060000}"/>
    <cellStyle name="Bad 2" xfId="1780" xr:uid="{00000000-0005-0000-0000-0000F5060000}"/>
    <cellStyle name="bang coìa" xfId="1781" xr:uid="{00000000-0005-0000-0000-0000F6060000}"/>
    <cellStyle name="Bangchu" xfId="1782" xr:uid="{00000000-0005-0000-0000-0000F7060000}"/>
    <cellStyle name="Bình thường 2" xfId="2680" xr:uid="{00000000-0005-0000-0000-0000F8060000}"/>
    <cellStyle name="Bình thường 2 3" xfId="2652" xr:uid="{00000000-0005-0000-0000-0000F9060000}"/>
    <cellStyle name="Bình thường 2 3 2" xfId="2656" xr:uid="{00000000-0005-0000-0000-0000FA060000}"/>
    <cellStyle name="Bình thường 2 3 2 2" xfId="2672" xr:uid="{00000000-0005-0000-0000-0000FB060000}"/>
    <cellStyle name="Bình thường 2 3 3" xfId="2668" xr:uid="{00000000-0005-0000-0000-0000FC060000}"/>
    <cellStyle name="Body" xfId="1783" xr:uid="{00000000-0005-0000-0000-0000FD060000}"/>
    <cellStyle name="Border" xfId="1784" xr:uid="{00000000-0005-0000-0000-0000FE060000}"/>
    <cellStyle name="C?AØ_?c¾÷ºIº° AN°e " xfId="1785" xr:uid="{00000000-0005-0000-0000-0000FF060000}"/>
    <cellStyle name="C?rrency_Sheet1_PRODUCT?" xfId="1786" xr:uid="{00000000-0005-0000-0000-000000070000}"/>
    <cellStyle name="Ç¥ÁØ_      " xfId="1787" xr:uid="{00000000-0005-0000-0000-000001070000}"/>
    <cellStyle name="C￥AØ_¿μ¾÷CoE² " xfId="1788" xr:uid="{00000000-0005-0000-0000-000002070000}"/>
    <cellStyle name="Ç¥ÁØ_±¸¹Ì´ëÃ¥" xfId="1789" xr:uid="{00000000-0005-0000-0000-000003070000}"/>
    <cellStyle name="C￥AØ_≫c¾÷ºIº° AN°e " xfId="1790" xr:uid="{00000000-0005-0000-0000-000004070000}"/>
    <cellStyle name="Ç¥ÁØ_MARSHALL TEST" xfId="1791" xr:uid="{00000000-0005-0000-0000-000005070000}"/>
    <cellStyle name="C￥AØ_Sheet1_¿μ¾÷CoE² " xfId="1792" xr:uid="{00000000-0005-0000-0000-000006070000}"/>
    <cellStyle name="Ç¥ÁØ_ÿÿÿÿÿÿ_4_ÃÑÇÕ°è " xfId="1793" xr:uid="{00000000-0005-0000-0000-000007070000}"/>
    <cellStyle name="Calc Currency (0)" xfId="1794" xr:uid="{00000000-0005-0000-0000-000008070000}"/>
    <cellStyle name="Calc Currency (0) 2" xfId="1795" xr:uid="{00000000-0005-0000-0000-000009070000}"/>
    <cellStyle name="Calc Currency (2)" xfId="1796" xr:uid="{00000000-0005-0000-0000-00000A070000}"/>
    <cellStyle name="Calc Percent (0)" xfId="1797" xr:uid="{00000000-0005-0000-0000-00000B070000}"/>
    <cellStyle name="Calc Percent (1)" xfId="1798" xr:uid="{00000000-0005-0000-0000-00000C070000}"/>
    <cellStyle name="Calc Percent (2)" xfId="1799" xr:uid="{00000000-0005-0000-0000-00000D070000}"/>
    <cellStyle name="Calc Units (0)" xfId="1800" xr:uid="{00000000-0005-0000-0000-00000E070000}"/>
    <cellStyle name="Calc Units (1)" xfId="1801" xr:uid="{00000000-0005-0000-0000-00000F070000}"/>
    <cellStyle name="Calc Units (2)" xfId="1802" xr:uid="{00000000-0005-0000-0000-000010070000}"/>
    <cellStyle name="Calculation 2" xfId="1803" xr:uid="{00000000-0005-0000-0000-000011070000}"/>
    <cellStyle name="category" xfId="1804" xr:uid="{00000000-0005-0000-0000-000012070000}"/>
    <cellStyle name="CC1" xfId="1805" xr:uid="{00000000-0005-0000-0000-000013070000}"/>
    <cellStyle name="CC2" xfId="1806" xr:uid="{00000000-0005-0000-0000-000014070000}"/>
    <cellStyle name="Cerrency_Sheet2_XANGDAU" xfId="1807" xr:uid="{00000000-0005-0000-0000-000015070000}"/>
    <cellStyle name="Comma  - Style1" xfId="1808" xr:uid="{00000000-0005-0000-0000-00001C070000}"/>
    <cellStyle name="Comma  - Style2" xfId="1809" xr:uid="{00000000-0005-0000-0000-00001D070000}"/>
    <cellStyle name="Comma  - Style3" xfId="1810" xr:uid="{00000000-0005-0000-0000-00001E070000}"/>
    <cellStyle name="Comma  - Style4" xfId="1811" xr:uid="{00000000-0005-0000-0000-00001F070000}"/>
    <cellStyle name="Comma  - Style5" xfId="1812" xr:uid="{00000000-0005-0000-0000-000020070000}"/>
    <cellStyle name="Comma  - Style6" xfId="1813" xr:uid="{00000000-0005-0000-0000-000021070000}"/>
    <cellStyle name="Comma  - Style7" xfId="1814" xr:uid="{00000000-0005-0000-0000-000022070000}"/>
    <cellStyle name="Comma  - Style8" xfId="1815" xr:uid="{00000000-0005-0000-0000-000023070000}"/>
    <cellStyle name="Comma [0] 2" xfId="1816" xr:uid="{00000000-0005-0000-0000-000024070000}"/>
    <cellStyle name="Comma [00]" xfId="1817" xr:uid="{00000000-0005-0000-0000-000025070000}"/>
    <cellStyle name="Comma 10" xfId="1818" xr:uid="{00000000-0005-0000-0000-000026070000}"/>
    <cellStyle name="Comma 11" xfId="1819" xr:uid="{00000000-0005-0000-0000-000027070000}"/>
    <cellStyle name="Comma 12" xfId="1820" xr:uid="{00000000-0005-0000-0000-000028070000}"/>
    <cellStyle name="Comma 13" xfId="2677" xr:uid="{00000000-0005-0000-0000-000029070000}"/>
    <cellStyle name="Comma 13 2" xfId="2679" xr:uid="{00000000-0005-0000-0000-00002A070000}"/>
    <cellStyle name="Comma 2" xfId="1821" xr:uid="{00000000-0005-0000-0000-00002B070000}"/>
    <cellStyle name="Comma 2 2" xfId="1822" xr:uid="{00000000-0005-0000-0000-00002C070000}"/>
    <cellStyle name="Comma 2 2 2" xfId="1823" xr:uid="{00000000-0005-0000-0000-00002D070000}"/>
    <cellStyle name="Comma 2 2 3" xfId="1824" xr:uid="{00000000-0005-0000-0000-00002E070000}"/>
    <cellStyle name="Comma 2 3" xfId="1825" xr:uid="{00000000-0005-0000-0000-00002F070000}"/>
    <cellStyle name="Comma 2 3 2" xfId="1826" xr:uid="{00000000-0005-0000-0000-000030070000}"/>
    <cellStyle name="Comma 2 3 2 2" xfId="2661" xr:uid="{00000000-0005-0000-0000-000031070000}"/>
    <cellStyle name="Comma 2 3 3" xfId="2681" xr:uid="{00000000-0005-0000-0000-000032070000}"/>
    <cellStyle name="Comma 2 4" xfId="1827" xr:uid="{00000000-0005-0000-0000-000033070000}"/>
    <cellStyle name="Comma 2 4 2" xfId="2660" xr:uid="{00000000-0005-0000-0000-000034070000}"/>
    <cellStyle name="Comma 2 5" xfId="1828" xr:uid="{00000000-0005-0000-0000-000035070000}"/>
    <cellStyle name="Comma 2 6" xfId="2654" xr:uid="{00000000-0005-0000-0000-000036070000}"/>
    <cellStyle name="Comma 2 6 2" xfId="2670" xr:uid="{00000000-0005-0000-0000-000037070000}"/>
    <cellStyle name="Comma 3" xfId="1829" xr:uid="{00000000-0005-0000-0000-000038070000}"/>
    <cellStyle name="Comma 3 2" xfId="1830" xr:uid="{00000000-0005-0000-0000-000039070000}"/>
    <cellStyle name="Comma 3 3" xfId="1831" xr:uid="{00000000-0005-0000-0000-00003A070000}"/>
    <cellStyle name="Comma 4" xfId="1832" xr:uid="{00000000-0005-0000-0000-00003B070000}"/>
    <cellStyle name="Comma 4 2" xfId="1833" xr:uid="{00000000-0005-0000-0000-00003C070000}"/>
    <cellStyle name="Comma 4 3" xfId="1834" xr:uid="{00000000-0005-0000-0000-00003D070000}"/>
    <cellStyle name="Comma 4 4" xfId="1835" xr:uid="{00000000-0005-0000-0000-00003E070000}"/>
    <cellStyle name="Comma 5" xfId="1836" xr:uid="{00000000-0005-0000-0000-00003F070000}"/>
    <cellStyle name="Comma 5 2" xfId="1837" xr:uid="{00000000-0005-0000-0000-000040070000}"/>
    <cellStyle name="Comma 6" xfId="1838" xr:uid="{00000000-0005-0000-0000-000041070000}"/>
    <cellStyle name="Comma 6 2" xfId="1839" xr:uid="{00000000-0005-0000-0000-000042070000}"/>
    <cellStyle name="Comma 7" xfId="1840" xr:uid="{00000000-0005-0000-0000-000043070000}"/>
    <cellStyle name="Comma 8" xfId="1841" xr:uid="{00000000-0005-0000-0000-000044070000}"/>
    <cellStyle name="Comma 9" xfId="1842" xr:uid="{00000000-0005-0000-0000-000045070000}"/>
    <cellStyle name="comma zerodec" xfId="1843" xr:uid="{00000000-0005-0000-0000-000046070000}"/>
    <cellStyle name="comma zerodec 2" xfId="1844" xr:uid="{00000000-0005-0000-0000-000047070000}"/>
    <cellStyle name="Comma0" xfId="1845" xr:uid="{00000000-0005-0000-0000-000048070000}"/>
    <cellStyle name="Command" xfId="1846" xr:uid="{00000000-0005-0000-0000-000049070000}"/>
    <cellStyle name="Copied" xfId="1847" xr:uid="{00000000-0005-0000-0000-00004A070000}"/>
    <cellStyle name="Cࡵrrency_Sheet1_PRODUCTĠ" xfId="1848" xr:uid="{00000000-0005-0000-0000-00004B070000}"/>
    <cellStyle name="_x0001_CS_x0006_RMO[" xfId="1849" xr:uid="{00000000-0005-0000-0000-00004C070000}"/>
    <cellStyle name="_x0001_CS_x0006_RMO_" xfId="1850" xr:uid="{00000000-0005-0000-0000-00004D070000}"/>
    <cellStyle name="CT1" xfId="1851" xr:uid="{00000000-0005-0000-0000-00004E070000}"/>
    <cellStyle name="CT2" xfId="1852" xr:uid="{00000000-0005-0000-0000-00004F070000}"/>
    <cellStyle name="CT4" xfId="1853" xr:uid="{00000000-0005-0000-0000-000050070000}"/>
    <cellStyle name="CT5" xfId="1854" xr:uid="{00000000-0005-0000-0000-000051070000}"/>
    <cellStyle name="ct7" xfId="1855" xr:uid="{00000000-0005-0000-0000-000052070000}"/>
    <cellStyle name="ct8" xfId="1856" xr:uid="{00000000-0005-0000-0000-000053070000}"/>
    <cellStyle name="cth1" xfId="1857" xr:uid="{00000000-0005-0000-0000-000054070000}"/>
    <cellStyle name="Cthuc" xfId="1858" xr:uid="{00000000-0005-0000-0000-000055070000}"/>
    <cellStyle name="Cthuc1" xfId="1859" xr:uid="{00000000-0005-0000-0000-000056070000}"/>
    <cellStyle name="Currency [00]" xfId="1860" xr:uid="{00000000-0005-0000-0000-000057070000}"/>
    <cellStyle name="Currency0" xfId="1861" xr:uid="{00000000-0005-0000-0000-000058070000}"/>
    <cellStyle name="Currency1" xfId="1862" xr:uid="{00000000-0005-0000-0000-000059070000}"/>
    <cellStyle name="Currency1 2" xfId="1863" xr:uid="{00000000-0005-0000-0000-00005A070000}"/>
    <cellStyle name="chchuyen" xfId="1864" xr:uid="{00000000-0005-0000-0000-000016070000}"/>
    <cellStyle name="Check Cell 2" xfId="1865" xr:uid="{00000000-0005-0000-0000-000017070000}"/>
    <cellStyle name="Chi ph? kh¸c_Book1" xfId="1866" xr:uid="{00000000-0005-0000-0000-000018070000}"/>
    <cellStyle name="Chi phÝ kh¸c_Book1" xfId="1867" xr:uid="{00000000-0005-0000-0000-000019070000}"/>
    <cellStyle name="chu" xfId="1868" xr:uid="{00000000-0005-0000-0000-00001A070000}"/>
    <cellStyle name="CHUONG" xfId="1869" xr:uid="{00000000-0005-0000-0000-00001B070000}"/>
    <cellStyle name="d" xfId="1870" xr:uid="{00000000-0005-0000-0000-00005B070000}"/>
    <cellStyle name="d%" xfId="1871" xr:uid="{00000000-0005-0000-0000-00005C070000}"/>
    <cellStyle name="D1" xfId="1872" xr:uid="{00000000-0005-0000-0000-00005D070000}"/>
    <cellStyle name="d1 2" xfId="1873" xr:uid="{00000000-0005-0000-0000-00005E070000}"/>
    <cellStyle name="Date" xfId="1874" xr:uid="{00000000-0005-0000-0000-00005F070000}"/>
    <cellStyle name="Date 2" xfId="1875" xr:uid="{00000000-0005-0000-0000-000060070000}"/>
    <cellStyle name="Date Short" xfId="1876" xr:uid="{00000000-0005-0000-0000-000061070000}"/>
    <cellStyle name="Date_0.TMDT_khu K1_dieu chinh 22.12.2011_sua theo kq tham dinh 15.2.2012" xfId="1877" xr:uid="{00000000-0005-0000-0000-000062070000}"/>
    <cellStyle name="daude" xfId="1878" xr:uid="{00000000-0005-0000-0000-000063070000}"/>
    <cellStyle name="DELTA" xfId="1879" xr:uid="{00000000-0005-0000-0000-000064070000}"/>
    <cellStyle name="Dezimal [0]_01379-KDF" xfId="1880" xr:uid="{00000000-0005-0000-0000-000065070000}"/>
    <cellStyle name="Dezimal_01379-KDF" xfId="1881" xr:uid="{00000000-0005-0000-0000-000066070000}"/>
    <cellStyle name="_x0001_dÏÈ¹ " xfId="1882" xr:uid="{00000000-0005-0000-0000-000067070000}"/>
    <cellStyle name="_x0001_dÏÈ¹_" xfId="1883" xr:uid="{00000000-0005-0000-0000-000068070000}"/>
    <cellStyle name="Dollar (zero dec)" xfId="1884" xr:uid="{00000000-0005-0000-0000-000069070000}"/>
    <cellStyle name="Dollar (zero dec) 2" xfId="1885" xr:uid="{00000000-0005-0000-0000-00006A070000}"/>
    <cellStyle name="DuToanBXD" xfId="1886" xr:uid="{00000000-0005-0000-0000-00006B070000}"/>
    <cellStyle name="Dziesi?tny [0]_Invoices2001Slovakia" xfId="1887" xr:uid="{00000000-0005-0000-0000-00006C070000}"/>
    <cellStyle name="Dziesi?tny_Invoices2001Slovakia" xfId="1888" xr:uid="{00000000-0005-0000-0000-00006D070000}"/>
    <cellStyle name="Dziesietny [0]_Invoices2001Slovakia" xfId="1889" xr:uid="{00000000-0005-0000-0000-00006E070000}"/>
    <cellStyle name="Dziesiętny [0]_Invoices2001Slovakia" xfId="1890" xr:uid="{00000000-0005-0000-0000-00006F070000}"/>
    <cellStyle name="Dziesietny [0]_Invoices2001Slovakia 2" xfId="1891" xr:uid="{00000000-0005-0000-0000-000070070000}"/>
    <cellStyle name="Dziesiętny [0]_Invoices2001Slovakia 2" xfId="1892" xr:uid="{00000000-0005-0000-0000-000071070000}"/>
    <cellStyle name="Dziesietny [0]_Invoices2001Slovakia 3" xfId="1893" xr:uid="{00000000-0005-0000-0000-000072070000}"/>
    <cellStyle name="Dziesiętny [0]_Invoices2001Slovakia 3" xfId="1894" xr:uid="{00000000-0005-0000-0000-000073070000}"/>
    <cellStyle name="Dziesietny [0]_Invoices2001Slovakia_Book1" xfId="1895" xr:uid="{00000000-0005-0000-0000-000074070000}"/>
    <cellStyle name="Dziesiętny [0]_Invoices2001Slovakia_Book1" xfId="1896" xr:uid="{00000000-0005-0000-0000-000075070000}"/>
    <cellStyle name="Dziesietny [0]_Invoices2001Slovakia_Book1 2" xfId="1897" xr:uid="{00000000-0005-0000-0000-000076070000}"/>
    <cellStyle name="Dziesiętny [0]_Invoices2001Slovakia_Book1 2" xfId="1898" xr:uid="{00000000-0005-0000-0000-000077070000}"/>
    <cellStyle name="Dziesietny [0]_Invoices2001Slovakia_Book1 3" xfId="1899" xr:uid="{00000000-0005-0000-0000-000078070000}"/>
    <cellStyle name="Dziesiętny [0]_Invoices2001Slovakia_Book1 3" xfId="1900" xr:uid="{00000000-0005-0000-0000-000079070000}"/>
    <cellStyle name="Dziesietny [0]_Invoices2001Slovakia_Book1_Tong hop Cac tuyen(9-1-06)" xfId="1901" xr:uid="{00000000-0005-0000-0000-00007A070000}"/>
    <cellStyle name="Dziesiętny [0]_Invoices2001Slovakia_Book1_Tong hop Cac tuyen(9-1-06)" xfId="1902" xr:uid="{00000000-0005-0000-0000-00007B070000}"/>
    <cellStyle name="Dziesietny [0]_Invoices2001Slovakia_Book1_Tong hop Cac tuyen(9-1-06) 2" xfId="1903" xr:uid="{00000000-0005-0000-0000-00007C070000}"/>
    <cellStyle name="Dziesiętny [0]_Invoices2001Slovakia_Book1_Tong hop Cac tuyen(9-1-06) 2" xfId="1904" xr:uid="{00000000-0005-0000-0000-00007D070000}"/>
    <cellStyle name="Dziesietny [0]_Invoices2001Slovakia_Book1_Tong hop Cac tuyen(9-1-06) 3" xfId="1905" xr:uid="{00000000-0005-0000-0000-00007E070000}"/>
    <cellStyle name="Dziesiętny [0]_Invoices2001Slovakia_Book1_Tong hop Cac tuyen(9-1-06) 3" xfId="1906" xr:uid="{00000000-0005-0000-0000-00007F070000}"/>
    <cellStyle name="Dziesietny [0]_Invoices2001Slovakia_DUTOANtuyen E 26.11" xfId="1907" xr:uid="{00000000-0005-0000-0000-000080070000}"/>
    <cellStyle name="Dziesiętny [0]_Invoices2001Slovakia_Nhalamviec VTC(25-1-05)" xfId="1908" xr:uid="{00000000-0005-0000-0000-000081070000}"/>
    <cellStyle name="Dziesietny [0]_Invoices2001Slovakia_TDT KHANH HOA" xfId="1909" xr:uid="{00000000-0005-0000-0000-000082070000}"/>
    <cellStyle name="Dziesiętny [0]_Invoices2001Slovakia_TDT KHANH HOA" xfId="1910" xr:uid="{00000000-0005-0000-0000-000083070000}"/>
    <cellStyle name="Dziesietny [0]_Invoices2001Slovakia_TDT KHANH HOA 2" xfId="1911" xr:uid="{00000000-0005-0000-0000-000084070000}"/>
    <cellStyle name="Dziesiętny [0]_Invoices2001Slovakia_TDT KHANH HOA 2" xfId="1912" xr:uid="{00000000-0005-0000-0000-000085070000}"/>
    <cellStyle name="Dziesietny [0]_Invoices2001Slovakia_TDT KHANH HOA 3" xfId="1913" xr:uid="{00000000-0005-0000-0000-000086070000}"/>
    <cellStyle name="Dziesiętny [0]_Invoices2001Slovakia_TDT KHANH HOA 3" xfId="1914" xr:uid="{00000000-0005-0000-0000-000087070000}"/>
    <cellStyle name="Dziesietny [0]_Invoices2001Slovakia_TDT KHANH HOA_Tong hop Cac tuyen(9-1-06)" xfId="1915" xr:uid="{00000000-0005-0000-0000-000088070000}"/>
    <cellStyle name="Dziesiętny [0]_Invoices2001Slovakia_TDT KHANH HOA_Tong hop Cac tuyen(9-1-06)" xfId="1916" xr:uid="{00000000-0005-0000-0000-000089070000}"/>
    <cellStyle name="Dziesietny [0]_Invoices2001Slovakia_TDT KHANH HOA_Tong hop Cac tuyen(9-1-06) 2" xfId="1917" xr:uid="{00000000-0005-0000-0000-00008A070000}"/>
    <cellStyle name="Dziesiętny [0]_Invoices2001Slovakia_TDT KHANH HOA_Tong hop Cac tuyen(9-1-06) 2" xfId="1918" xr:uid="{00000000-0005-0000-0000-00008B070000}"/>
    <cellStyle name="Dziesietny [0]_Invoices2001Slovakia_TDT KHANH HOA_Tong hop Cac tuyen(9-1-06) 3" xfId="1919" xr:uid="{00000000-0005-0000-0000-00008C070000}"/>
    <cellStyle name="Dziesiętny [0]_Invoices2001Slovakia_TDT KHANH HOA_Tong hop Cac tuyen(9-1-06) 3" xfId="1920" xr:uid="{00000000-0005-0000-0000-00008D070000}"/>
    <cellStyle name="Dziesietny [0]_Invoices2001Slovakia_TDT quangngai" xfId="1921" xr:uid="{00000000-0005-0000-0000-00008E070000}"/>
    <cellStyle name="Dziesiętny [0]_Invoices2001Slovakia_TDT quangngai" xfId="1922" xr:uid="{00000000-0005-0000-0000-00008F070000}"/>
    <cellStyle name="Dziesietny [0]_Invoices2001Slovakia_Tong hop Cac tuyen(9-1-06)" xfId="1923" xr:uid="{00000000-0005-0000-0000-000090070000}"/>
    <cellStyle name="Dziesietny_Invoices2001Slovakia" xfId="1924" xr:uid="{00000000-0005-0000-0000-000091070000}"/>
    <cellStyle name="Dziesiętny_Invoices2001Slovakia" xfId="1925" xr:uid="{00000000-0005-0000-0000-000092070000}"/>
    <cellStyle name="Dziesietny_Invoices2001Slovakia 2" xfId="1926" xr:uid="{00000000-0005-0000-0000-000093070000}"/>
    <cellStyle name="Dziesiętny_Invoices2001Slovakia 2" xfId="1927" xr:uid="{00000000-0005-0000-0000-000094070000}"/>
    <cellStyle name="Dziesietny_Invoices2001Slovakia 3" xfId="1928" xr:uid="{00000000-0005-0000-0000-000095070000}"/>
    <cellStyle name="Dziesiętny_Invoices2001Slovakia 3" xfId="1929" xr:uid="{00000000-0005-0000-0000-000096070000}"/>
    <cellStyle name="Dziesietny_Invoices2001Slovakia_Book1" xfId="1930" xr:uid="{00000000-0005-0000-0000-000097070000}"/>
    <cellStyle name="Dziesiętny_Invoices2001Slovakia_Book1" xfId="1931" xr:uid="{00000000-0005-0000-0000-000098070000}"/>
    <cellStyle name="Dziesietny_Invoices2001Slovakia_Book1 2" xfId="1932" xr:uid="{00000000-0005-0000-0000-000099070000}"/>
    <cellStyle name="Dziesiętny_Invoices2001Slovakia_Book1 2" xfId="1933" xr:uid="{00000000-0005-0000-0000-00009A070000}"/>
    <cellStyle name="Dziesietny_Invoices2001Slovakia_Book1 3" xfId="1934" xr:uid="{00000000-0005-0000-0000-00009B070000}"/>
    <cellStyle name="Dziesiętny_Invoices2001Slovakia_Book1 3" xfId="1935" xr:uid="{00000000-0005-0000-0000-00009C070000}"/>
    <cellStyle name="Dziesietny_Invoices2001Slovakia_Book1_Tong hop Cac tuyen(9-1-06)" xfId="1936" xr:uid="{00000000-0005-0000-0000-00009D070000}"/>
    <cellStyle name="Dziesiętny_Invoices2001Slovakia_Book1_Tong hop Cac tuyen(9-1-06)" xfId="1937" xr:uid="{00000000-0005-0000-0000-00009E070000}"/>
    <cellStyle name="Dziesietny_Invoices2001Slovakia_Book1_Tong hop Cac tuyen(9-1-06) 2" xfId="1938" xr:uid="{00000000-0005-0000-0000-00009F070000}"/>
    <cellStyle name="Dziesiętny_Invoices2001Slovakia_Book1_Tong hop Cac tuyen(9-1-06) 2" xfId="1939" xr:uid="{00000000-0005-0000-0000-0000A0070000}"/>
    <cellStyle name="Dziesietny_Invoices2001Slovakia_Book1_Tong hop Cac tuyen(9-1-06) 3" xfId="1940" xr:uid="{00000000-0005-0000-0000-0000A1070000}"/>
    <cellStyle name="Dziesiętny_Invoices2001Slovakia_Book1_Tong hop Cac tuyen(9-1-06) 3" xfId="1941" xr:uid="{00000000-0005-0000-0000-0000A2070000}"/>
    <cellStyle name="Dziesietny_Invoices2001Slovakia_DUTOANtuyen E 26.11" xfId="1942" xr:uid="{00000000-0005-0000-0000-0000A3070000}"/>
    <cellStyle name="Dziesiętny_Invoices2001Slovakia_Nhalamviec VTC(25-1-05)" xfId="1943" xr:uid="{00000000-0005-0000-0000-0000A4070000}"/>
    <cellStyle name="Dziesietny_Invoices2001Slovakia_TDT KHANH HOA" xfId="1944" xr:uid="{00000000-0005-0000-0000-0000A5070000}"/>
    <cellStyle name="Dziesiętny_Invoices2001Slovakia_TDT KHANH HOA" xfId="1945" xr:uid="{00000000-0005-0000-0000-0000A6070000}"/>
    <cellStyle name="Dziesietny_Invoices2001Slovakia_TDT KHANH HOA 2" xfId="1946" xr:uid="{00000000-0005-0000-0000-0000A7070000}"/>
    <cellStyle name="Dziesiętny_Invoices2001Slovakia_TDT KHANH HOA 2" xfId="1947" xr:uid="{00000000-0005-0000-0000-0000A8070000}"/>
    <cellStyle name="Dziesietny_Invoices2001Slovakia_TDT KHANH HOA 3" xfId="1948" xr:uid="{00000000-0005-0000-0000-0000A9070000}"/>
    <cellStyle name="Dziesiętny_Invoices2001Slovakia_TDT KHANH HOA 3" xfId="1949" xr:uid="{00000000-0005-0000-0000-0000AA070000}"/>
    <cellStyle name="Dziesietny_Invoices2001Slovakia_TDT KHANH HOA_Tong hop Cac tuyen(9-1-06)" xfId="1950" xr:uid="{00000000-0005-0000-0000-0000AB070000}"/>
    <cellStyle name="Dziesiętny_Invoices2001Slovakia_TDT KHANH HOA_Tong hop Cac tuyen(9-1-06)" xfId="1951" xr:uid="{00000000-0005-0000-0000-0000AC070000}"/>
    <cellStyle name="Dziesietny_Invoices2001Slovakia_TDT KHANH HOA_Tong hop Cac tuyen(9-1-06) 2" xfId="1952" xr:uid="{00000000-0005-0000-0000-0000AD070000}"/>
    <cellStyle name="Dziesiętny_Invoices2001Slovakia_TDT KHANH HOA_Tong hop Cac tuyen(9-1-06) 2" xfId="1953" xr:uid="{00000000-0005-0000-0000-0000AE070000}"/>
    <cellStyle name="Dziesietny_Invoices2001Slovakia_TDT KHANH HOA_Tong hop Cac tuyen(9-1-06) 3" xfId="1954" xr:uid="{00000000-0005-0000-0000-0000AF070000}"/>
    <cellStyle name="Dziesiętny_Invoices2001Slovakia_TDT KHANH HOA_Tong hop Cac tuyen(9-1-06) 3" xfId="1955" xr:uid="{00000000-0005-0000-0000-0000B0070000}"/>
    <cellStyle name="Dziesietny_Invoices2001Slovakia_TDT quangngai" xfId="1956" xr:uid="{00000000-0005-0000-0000-0000B1070000}"/>
    <cellStyle name="Dziesiętny_Invoices2001Slovakia_TDT quangngai" xfId="1957" xr:uid="{00000000-0005-0000-0000-0000B2070000}"/>
    <cellStyle name="Dziesietny_Invoices2001Slovakia_Tong hop Cac tuyen(9-1-06)" xfId="1958" xr:uid="{00000000-0005-0000-0000-0000B3070000}"/>
    <cellStyle name="e" xfId="1959" xr:uid="{00000000-0005-0000-0000-0000B4070000}"/>
    <cellStyle name="Emphasis 1" xfId="1960" xr:uid="{00000000-0005-0000-0000-0000B5070000}"/>
    <cellStyle name="Emphasis 2" xfId="1961" xr:uid="{00000000-0005-0000-0000-0000B6070000}"/>
    <cellStyle name="Emphasis 3" xfId="1962" xr:uid="{00000000-0005-0000-0000-0000B7070000}"/>
    <cellStyle name="EN CO.," xfId="1963" xr:uid="{00000000-0005-0000-0000-0000B8070000}"/>
    <cellStyle name="Enter Currency (0)" xfId="1964" xr:uid="{00000000-0005-0000-0000-0000B9070000}"/>
    <cellStyle name="Enter Currency (2)" xfId="1965" xr:uid="{00000000-0005-0000-0000-0000BA070000}"/>
    <cellStyle name="Enter Units (0)" xfId="1966" xr:uid="{00000000-0005-0000-0000-0000BB070000}"/>
    <cellStyle name="Enter Units (1)" xfId="1967" xr:uid="{00000000-0005-0000-0000-0000BC070000}"/>
    <cellStyle name="Enter Units (2)" xfId="1968" xr:uid="{00000000-0005-0000-0000-0000BD070000}"/>
    <cellStyle name="Entered" xfId="1969" xr:uid="{00000000-0005-0000-0000-0000BE070000}"/>
    <cellStyle name="entry" xfId="1970" xr:uid="{00000000-0005-0000-0000-0000BF070000}"/>
    <cellStyle name="et1_THAMD_x0018_Normal_Sheet1_TOTQ196W50" xfId="1971" xr:uid="{00000000-0005-0000-0000-0000C0070000}"/>
    <cellStyle name="Euro" xfId="1972" xr:uid="{00000000-0005-0000-0000-0000C1070000}"/>
    <cellStyle name="Explanatory Text 2" xfId="1973" xr:uid="{00000000-0005-0000-0000-0000C2070000}"/>
    <cellStyle name="f" xfId="1974" xr:uid="{00000000-0005-0000-0000-0000C3070000}"/>
    <cellStyle name="F2" xfId="1975" xr:uid="{00000000-0005-0000-0000-0000C4070000}"/>
    <cellStyle name="F3" xfId="1976" xr:uid="{00000000-0005-0000-0000-0000C5070000}"/>
    <cellStyle name="F4" xfId="1977" xr:uid="{00000000-0005-0000-0000-0000C6070000}"/>
    <cellStyle name="F5" xfId="1978" xr:uid="{00000000-0005-0000-0000-0000C7070000}"/>
    <cellStyle name="F6" xfId="1979" xr:uid="{00000000-0005-0000-0000-0000C8070000}"/>
    <cellStyle name="F7" xfId="1980" xr:uid="{00000000-0005-0000-0000-0000C9070000}"/>
    <cellStyle name="F8" xfId="1981" xr:uid="{00000000-0005-0000-0000-0000CA070000}"/>
    <cellStyle name="Fixed" xfId="1982" xr:uid="{00000000-0005-0000-0000-0000CB070000}"/>
    <cellStyle name="Fixed 2" xfId="1983" xr:uid="{00000000-0005-0000-0000-0000CC070000}"/>
    <cellStyle name="Font Britannic16" xfId="1984" xr:uid="{00000000-0005-0000-0000-0000CD070000}"/>
    <cellStyle name="Font Britannic18" xfId="1985" xr:uid="{00000000-0005-0000-0000-0000CE070000}"/>
    <cellStyle name="Font CenturyCond 18" xfId="1986" xr:uid="{00000000-0005-0000-0000-0000CF070000}"/>
    <cellStyle name="Font Cond20" xfId="1987" xr:uid="{00000000-0005-0000-0000-0000D0070000}"/>
    <cellStyle name="Font LucidaSans16" xfId="1988" xr:uid="{00000000-0005-0000-0000-0000D1070000}"/>
    <cellStyle name="Font NewCenturyCond18" xfId="1989" xr:uid="{00000000-0005-0000-0000-0000D2070000}"/>
    <cellStyle name="Font Ottawa14" xfId="1990" xr:uid="{00000000-0005-0000-0000-0000D3070000}"/>
    <cellStyle name="Font Ottawa16" xfId="1991" xr:uid="{00000000-0005-0000-0000-0000D4070000}"/>
    <cellStyle name="FY96" xfId="1992" xr:uid="{00000000-0005-0000-0000-0000D5070000}"/>
    <cellStyle name="Good 2" xfId="1993" xr:uid="{00000000-0005-0000-0000-0000D7070000}"/>
    <cellStyle name="Grey" xfId="1994" xr:uid="{00000000-0005-0000-0000-0000D8070000}"/>
    <cellStyle name="Grey 2" xfId="1995" xr:uid="{00000000-0005-0000-0000-0000D9070000}"/>
    <cellStyle name="GIA-MOI" xfId="1996" xr:uid="{00000000-0005-0000-0000-0000D6070000}"/>
    <cellStyle name="H" xfId="1997" xr:uid="{00000000-0005-0000-0000-0000DA070000}"/>
    <cellStyle name="H_Book1" xfId="1998" xr:uid="{00000000-0005-0000-0000-0000DB070000}"/>
    <cellStyle name="ha" xfId="1999" xr:uid="{00000000-0005-0000-0000-0000DC070000}"/>
    <cellStyle name="Head 1" xfId="2000" xr:uid="{00000000-0005-0000-0000-0000DD070000}"/>
    <cellStyle name="HEADER" xfId="2001" xr:uid="{00000000-0005-0000-0000-0000DE070000}"/>
    <cellStyle name="Header1" xfId="2002" xr:uid="{00000000-0005-0000-0000-0000DF070000}"/>
    <cellStyle name="Header2" xfId="2003" xr:uid="{00000000-0005-0000-0000-0000E0070000}"/>
    <cellStyle name="Heading 1 2" xfId="2004" xr:uid="{00000000-0005-0000-0000-0000E1070000}"/>
    <cellStyle name="Heading 2 2" xfId="2005" xr:uid="{00000000-0005-0000-0000-0000E2070000}"/>
    <cellStyle name="Heading 3 2" xfId="2006" xr:uid="{00000000-0005-0000-0000-0000E3070000}"/>
    <cellStyle name="Heading1" xfId="2007" xr:uid="{00000000-0005-0000-0000-0000E4070000}"/>
    <cellStyle name="Heading2" xfId="2008" xr:uid="{00000000-0005-0000-0000-0000E5070000}"/>
    <cellStyle name="HEADINGS" xfId="2009" xr:uid="{00000000-0005-0000-0000-0000E6070000}"/>
    <cellStyle name="HEADINGSTOP" xfId="2010" xr:uid="{00000000-0005-0000-0000-0000E7070000}"/>
    <cellStyle name="headoption" xfId="2011" xr:uid="{00000000-0005-0000-0000-0000E8070000}"/>
    <cellStyle name="heet1_Amer Q4" xfId="2012" xr:uid="{00000000-0005-0000-0000-0000E9070000}"/>
    <cellStyle name="HIDE" xfId="2013" xr:uid="{00000000-0005-0000-0000-0000EA070000}"/>
    <cellStyle name="Hoa-Scholl" xfId="2014" xr:uid="{00000000-0005-0000-0000-0000EB070000}"/>
    <cellStyle name="i·0" xfId="2015" xr:uid="{00000000-0005-0000-0000-0000EC070000}"/>
    <cellStyle name="_x0001_í½?" xfId="2016" xr:uid="{00000000-0005-0000-0000-0000ED070000}"/>
    <cellStyle name="_x0001_íå_x001b_ô " xfId="2017" xr:uid="{00000000-0005-0000-0000-0000EE070000}"/>
    <cellStyle name="_x0001_íå_x001b_ô_" xfId="2018" xr:uid="{00000000-0005-0000-0000-0000EF070000}"/>
    <cellStyle name="idge" xfId="2019" xr:uid="{00000000-0005-0000-0000-0000F0070000}"/>
    <cellStyle name="Input [yellow]" xfId="2020" xr:uid="{00000000-0005-0000-0000-0000F1070000}"/>
    <cellStyle name="Input [yellow] 2" xfId="2021" xr:uid="{00000000-0005-0000-0000-0000F2070000}"/>
    <cellStyle name="Input 2" xfId="2022" xr:uid="{00000000-0005-0000-0000-0000F3070000}"/>
    <cellStyle name="k" xfId="2023" xr:uid="{00000000-0005-0000-0000-0000F4070000}"/>
    <cellStyle name="k_Cau Tram Cua - Km4+484.54" xfId="2024" xr:uid="{00000000-0005-0000-0000-0000F5070000}"/>
    <cellStyle name="k_Cau Tram Cua - Km4+484.54_00. THDT_HOANG MAI" xfId="2025" xr:uid="{00000000-0005-0000-0000-0000F6070000}"/>
    <cellStyle name="Kien1" xfId="2026" xr:uid="{00000000-0005-0000-0000-0000FB070000}"/>
    <cellStyle name="KLBXUNG" xfId="2027" xr:uid="{00000000-0005-0000-0000-0000FC070000}"/>
    <cellStyle name="KH ®Ëm" xfId="2028" xr:uid="{00000000-0005-0000-0000-0000F7070000}"/>
    <cellStyle name="KH mê ngang" xfId="2029" xr:uid="{00000000-0005-0000-0000-0000F8070000}"/>
    <cellStyle name="khanh" xfId="2030" xr:uid="{00000000-0005-0000-0000-0000F9070000}"/>
    <cellStyle name="khoa2" xfId="2031" xr:uid="{00000000-0005-0000-0000-0000FA070000}"/>
    <cellStyle name="Ledger 17 x 11 in" xfId="2032" xr:uid="{00000000-0005-0000-0000-0000FD070000}"/>
    <cellStyle name="left" xfId="2033" xr:uid="{00000000-0005-0000-0000-0000FE070000}"/>
    <cellStyle name="Lien hypertexte" xfId="2034" xr:uid="{00000000-0005-0000-0000-0000FF070000}"/>
    <cellStyle name="Line" xfId="2035" xr:uid="{00000000-0005-0000-0000-000000080000}"/>
    <cellStyle name="Link Currency (0)" xfId="2036" xr:uid="{00000000-0005-0000-0000-000001080000}"/>
    <cellStyle name="Link Currency (2)" xfId="2037" xr:uid="{00000000-0005-0000-0000-000002080000}"/>
    <cellStyle name="Link Units (0)" xfId="2038" xr:uid="{00000000-0005-0000-0000-000003080000}"/>
    <cellStyle name="Link Units (1)" xfId="2039" xr:uid="{00000000-0005-0000-0000-000004080000}"/>
    <cellStyle name="Link Units (2)" xfId="2040" xr:uid="{00000000-0005-0000-0000-000005080000}"/>
    <cellStyle name="Linked Cell 2" xfId="2041" xr:uid="{00000000-0005-0000-0000-000006080000}"/>
    <cellStyle name="luc" xfId="2042" xr:uid="{00000000-0005-0000-0000-000007080000}"/>
    <cellStyle name="luc2" xfId="2043" xr:uid="{00000000-0005-0000-0000-000008080000}"/>
    <cellStyle name="MARK" xfId="2044" xr:uid="{00000000-0005-0000-0000-000009080000}"/>
    <cellStyle name="MAU" xfId="2045" xr:uid="{00000000-0005-0000-0000-00000A080000}"/>
    <cellStyle name="MAU 2" xfId="2046" xr:uid="{00000000-0005-0000-0000-00000B080000}"/>
    <cellStyle name="MI07" xfId="2047" xr:uid="{00000000-0005-0000-0000-00000C080000}"/>
    <cellStyle name="Migliaia (0)_CALPREZZ" xfId="2048" xr:uid="{00000000-0005-0000-0000-00000D080000}"/>
    <cellStyle name="Migliaia_ PESO ELETTR." xfId="2049" xr:uid="{00000000-0005-0000-0000-00000E080000}"/>
    <cellStyle name="Millares [0]_Well Timing" xfId="2050" xr:uid="{00000000-0005-0000-0000-00000F080000}"/>
    <cellStyle name="Millares_Well Timing" xfId="2051" xr:uid="{00000000-0005-0000-0000-000010080000}"/>
    <cellStyle name="Milliers [0]_      " xfId="2052" xr:uid="{00000000-0005-0000-0000-000011080000}"/>
    <cellStyle name="Milliers_      " xfId="2053" xr:uid="{00000000-0005-0000-0000-000012080000}"/>
    <cellStyle name="Mix" xfId="2054" xr:uid="{00000000-0005-0000-0000-000013080000}"/>
    <cellStyle name="Model" xfId="2055" xr:uid="{00000000-0005-0000-0000-000015080000}"/>
    <cellStyle name="moi" xfId="2056" xr:uid="{00000000-0005-0000-0000-000016080000}"/>
    <cellStyle name="moi 2" xfId="2057" xr:uid="{00000000-0005-0000-0000-000017080000}"/>
    <cellStyle name="Moneda [0]_Well Timing" xfId="2058" xr:uid="{00000000-0005-0000-0000-000018080000}"/>
    <cellStyle name="Moneda_Well Timing" xfId="2059" xr:uid="{00000000-0005-0000-0000-000019080000}"/>
    <cellStyle name="Monétaire [0]_      " xfId="2060" xr:uid="{00000000-0005-0000-0000-00001A080000}"/>
    <cellStyle name="Monétaire_      " xfId="2061" xr:uid="{00000000-0005-0000-0000-00001B080000}"/>
    <cellStyle name="Môc" xfId="2062" xr:uid="{00000000-0005-0000-0000-000014080000}"/>
    <cellStyle name="MT Dataormal_Q2ormal_Q2_1" xfId="2063" xr:uid="{00000000-0005-0000-0000-00001C080000}"/>
    <cellStyle name="n" xfId="2064" xr:uid="{00000000-0005-0000-0000-00001D080000}"/>
    <cellStyle name="N_bang khái toán" xfId="2065" xr:uid="{00000000-0005-0000-0000-00001E080000}"/>
    <cellStyle name="n_KEM THEO 26-2008-QD-UBND DACLAK-1" xfId="2066" xr:uid="{00000000-0005-0000-0000-00001F080000}"/>
    <cellStyle name="n_KEM THEO 26-2008-QD-UBND DACLAK-1_00. THDT_HOANG MAI" xfId="2067" xr:uid="{00000000-0005-0000-0000-000020080000}"/>
    <cellStyle name="n1" xfId="2068" xr:uid="{00000000-0005-0000-0000-000021080000}"/>
    <cellStyle name="Neutral 2" xfId="2069" xr:uid="{00000000-0005-0000-0000-000022080000}"/>
    <cellStyle name="New" xfId="2070" xr:uid="{00000000-0005-0000-0000-000023080000}"/>
    <cellStyle name="New Times Roman" xfId="2071" xr:uid="{00000000-0005-0000-0000-000024080000}"/>
    <cellStyle name="New_Cong km2+462.29" xfId="2072" xr:uid="{00000000-0005-0000-0000-000025080000}"/>
    <cellStyle name="no dec" xfId="2073" xr:uid="{00000000-0005-0000-0000-000027080000}"/>
    <cellStyle name="ÑONV?" xfId="2074" xr:uid="{00000000-0005-0000-0000-000028080000}"/>
    <cellStyle name="ÑONVÒ" xfId="2075" xr:uid="{00000000-0005-0000-0000-000029080000}"/>
    <cellStyle name="Normal" xfId="0" builtinId="0"/>
    <cellStyle name="Normal - ??1" xfId="2076" xr:uid="{00000000-0005-0000-0000-00002B080000}"/>
    <cellStyle name="Normal - Style1" xfId="2077" xr:uid="{00000000-0005-0000-0000-00002C080000}"/>
    <cellStyle name="Normal - Style1 2" xfId="2078" xr:uid="{00000000-0005-0000-0000-00002D080000}"/>
    <cellStyle name="Normal - 유형1" xfId="2079" xr:uid="{00000000-0005-0000-0000-00002E080000}"/>
    <cellStyle name="Normal 10" xfId="2080" xr:uid="{00000000-0005-0000-0000-00002F080000}"/>
    <cellStyle name="Normal 11" xfId="2081" xr:uid="{00000000-0005-0000-0000-000030080000}"/>
    <cellStyle name="Normal 12" xfId="2082" xr:uid="{00000000-0005-0000-0000-000031080000}"/>
    <cellStyle name="Normal 13" xfId="2083" xr:uid="{00000000-0005-0000-0000-000032080000}"/>
    <cellStyle name="Normal 14" xfId="2651" xr:uid="{00000000-0005-0000-0000-000033080000}"/>
    <cellStyle name="Normal 14 2" xfId="2655" xr:uid="{00000000-0005-0000-0000-000034080000}"/>
    <cellStyle name="Normal 14 2 2" xfId="2671" xr:uid="{00000000-0005-0000-0000-000035080000}"/>
    <cellStyle name="Normal 14 2 2 2" xfId="2682" xr:uid="{402E9168-6951-4C6E-AC76-5A1314812353}"/>
    <cellStyle name="Normal 14 3" xfId="2667" xr:uid="{00000000-0005-0000-0000-000036080000}"/>
    <cellStyle name="Normal 15" xfId="2662" xr:uid="{00000000-0005-0000-0000-000037080000}"/>
    <cellStyle name="Normal 16" xfId="2676" xr:uid="{00000000-0005-0000-0000-000038080000}"/>
    <cellStyle name="Normal 16 2" xfId="2678" xr:uid="{00000000-0005-0000-0000-000039080000}"/>
    <cellStyle name="Normal 2" xfId="2084" xr:uid="{00000000-0005-0000-0000-00003A080000}"/>
    <cellStyle name="Normal 2 2" xfId="2085" xr:uid="{00000000-0005-0000-0000-00003B080000}"/>
    <cellStyle name="Normal 2 2 2" xfId="2086" xr:uid="{00000000-0005-0000-0000-00003C080000}"/>
    <cellStyle name="Normal 2 2 2 2" xfId="2658" xr:uid="{00000000-0005-0000-0000-00003D080000}"/>
    <cellStyle name="Normal 2 2 3" xfId="2087" xr:uid="{00000000-0005-0000-0000-00003E080000}"/>
    <cellStyle name="Normal 2 2 4" xfId="2665" xr:uid="{00000000-0005-0000-0000-00003F080000}"/>
    <cellStyle name="Normal 2 3" xfId="2088" xr:uid="{00000000-0005-0000-0000-000040080000}"/>
    <cellStyle name="Normal 2 3 2" xfId="2089" xr:uid="{00000000-0005-0000-0000-000041080000}"/>
    <cellStyle name="Normal 2 3 3" xfId="2090" xr:uid="{00000000-0005-0000-0000-000042080000}"/>
    <cellStyle name="Normal 2 4" xfId="2091" xr:uid="{00000000-0005-0000-0000-000043080000}"/>
    <cellStyle name="Normal 2 5" xfId="2653" xr:uid="{00000000-0005-0000-0000-000044080000}"/>
    <cellStyle name="Normal 2 5 2" xfId="2659" xr:uid="{00000000-0005-0000-0000-000045080000}"/>
    <cellStyle name="Normal 2 5 3" xfId="2669" xr:uid="{00000000-0005-0000-0000-000046080000}"/>
    <cellStyle name="Normal 2 6" xfId="2674" xr:uid="{00000000-0005-0000-0000-000047080000}"/>
    <cellStyle name="Normal 2 6 2" xfId="2675" xr:uid="{00000000-0005-0000-0000-000048080000}"/>
    <cellStyle name="Normal 22 2" xfId="2092" xr:uid="{00000000-0005-0000-0000-000049080000}"/>
    <cellStyle name="Normal 3" xfId="2093" xr:uid="{00000000-0005-0000-0000-00004A080000}"/>
    <cellStyle name="Normal 3 2" xfId="2094" xr:uid="{00000000-0005-0000-0000-00004B080000}"/>
    <cellStyle name="Normal 3 2 2" xfId="2666" xr:uid="{00000000-0005-0000-0000-00004C080000}"/>
    <cellStyle name="Normal 4" xfId="2095" xr:uid="{00000000-0005-0000-0000-00004D080000}"/>
    <cellStyle name="Normal 4 2" xfId="2096" xr:uid="{00000000-0005-0000-0000-00004E080000}"/>
    <cellStyle name="Normal 4 2 2" xfId="2097" xr:uid="{00000000-0005-0000-0000-00004F080000}"/>
    <cellStyle name="Normal 4 3" xfId="2098" xr:uid="{00000000-0005-0000-0000-000050080000}"/>
    <cellStyle name="Normal 4 3 2" xfId="2099" xr:uid="{00000000-0005-0000-0000-000051080000}"/>
    <cellStyle name="Normal 4 4" xfId="2100" xr:uid="{00000000-0005-0000-0000-000052080000}"/>
    <cellStyle name="Normal 43" xfId="2657" xr:uid="{00000000-0005-0000-0000-000053080000}"/>
    <cellStyle name="Normal 5" xfId="2101" xr:uid="{00000000-0005-0000-0000-000054080000}"/>
    <cellStyle name="Normal 5 2" xfId="2102" xr:uid="{00000000-0005-0000-0000-000055080000}"/>
    <cellStyle name="Normal 5 2 2" xfId="2103" xr:uid="{00000000-0005-0000-0000-000056080000}"/>
    <cellStyle name="Normal 5 3" xfId="2104" xr:uid="{00000000-0005-0000-0000-000057080000}"/>
    <cellStyle name="Normal 5 4" xfId="2105" xr:uid="{00000000-0005-0000-0000-000058080000}"/>
    <cellStyle name="Normal 6" xfId="2106" xr:uid="{00000000-0005-0000-0000-000059080000}"/>
    <cellStyle name="Normal 6 2" xfId="2107" xr:uid="{00000000-0005-0000-0000-00005A080000}"/>
    <cellStyle name="Normal 7" xfId="2108" xr:uid="{00000000-0005-0000-0000-00005B080000}"/>
    <cellStyle name="Normal 7 2" xfId="2109" xr:uid="{00000000-0005-0000-0000-00005C080000}"/>
    <cellStyle name="Normal 8" xfId="2110" xr:uid="{00000000-0005-0000-0000-00005D080000}"/>
    <cellStyle name="Normal 9" xfId="2111" xr:uid="{00000000-0005-0000-0000-00005E080000}"/>
    <cellStyle name="Normal_Du toan 2" xfId="2112" xr:uid="{00000000-0005-0000-0000-00005F080000}"/>
    <cellStyle name="Normal_du toan Thi Vai-Cai Mep GD1 gui cho hue" xfId="2113" xr:uid="{00000000-0005-0000-0000-000060080000}"/>
    <cellStyle name="Normal_Tong hop NKTC" xfId="2114" xr:uid="{00000000-0005-0000-0000-000063080000}"/>
    <cellStyle name="Normal_Tong muc dau tu (mau)" xfId="2650" xr:uid="{00000000-0005-0000-0000-000064080000}"/>
    <cellStyle name="Normal1" xfId="2115" xr:uid="{00000000-0005-0000-0000-000065080000}"/>
    <cellStyle name="Normale_ PESO ELETTR." xfId="2116" xr:uid="{00000000-0005-0000-0000-000066080000}"/>
    <cellStyle name="Normalny_Cennik obowi?zuje od 06-08-2001 r (1)" xfId="2117" xr:uid="{00000000-0005-0000-0000-000067080000}"/>
    <cellStyle name="Note 2" xfId="2118" xr:uid="{00000000-0005-0000-0000-000068080000}"/>
    <cellStyle name="NhomTB" xfId="2119" xr:uid="{00000000-0005-0000-0000-000026080000}"/>
    <cellStyle name="Œ…‹æ_Ø‚è [0.00]_ÆÂ__" xfId="2120" xr:uid="{00000000-0005-0000-0000-000069080000}"/>
    <cellStyle name="Œ…‹æØ‚è [0.00]_laroux" xfId="2121" xr:uid="{00000000-0005-0000-0000-00006A080000}"/>
    <cellStyle name="Œ…‹æØ‚è_laroux" xfId="2122" xr:uid="{00000000-0005-0000-0000-00006B080000}"/>
    <cellStyle name="oft Excel]_x000d__x000a_Comment=open=/f ‚??w’è‚·‚é‚ÆAƒ†[ƒU[’è‹`?Ö”‚??Ö”“\‚è•t‚¯‚?ˆê——‚É“o˜^‚·‚é‚±‚Æ‚ª‚Å‚«‚Ü‚·B_x000d__x000a_Maximized" xfId="2123" xr:uid="{00000000-0005-0000-0000-00006C080000}"/>
    <cellStyle name="oft Excel]_x000d__x000a_Comment=open=/f ‚ðw’è‚·‚é‚ÆAƒ†[ƒU[’è‹`ŠÖ”‚ðŠÖ”“\‚è•t‚¯‚Ìˆê——‚É“o˜^‚·‚é‚±‚Æ‚ª‚Å‚«‚Ü‚·B_x000d__x000a_Maximized" xfId="2124" xr:uid="{00000000-0005-0000-0000-00006D080000}"/>
    <cellStyle name="oft Excel]_x000d__x000a_Comment=The open=/f lines load custom functions into the Paste Function list._x000d__x000a_Maximized=2_x000d__x000a_Basics=1_x000d__x000a_A" xfId="2125" xr:uid="{00000000-0005-0000-0000-00006E080000}"/>
    <cellStyle name="oft Excel]_x000d__x000a_Comment=The open=/f lines load custom functions into the Paste Function list._x000d__x000a_Maximized=3_x000d__x000a_Basics=1_x000d__x000a_A" xfId="2126" xr:uid="{00000000-0005-0000-0000-00006F080000}"/>
    <cellStyle name="omma [0]_Mktg Prog" xfId="2127" xr:uid="{00000000-0005-0000-0000-000070080000}"/>
    <cellStyle name="ormal_Sheet1_1" xfId="2128" xr:uid="{00000000-0005-0000-0000-000071080000}"/>
    <cellStyle name="Output 2" xfId="2129" xr:uid="{00000000-0005-0000-0000-000072080000}"/>
    <cellStyle name="paint" xfId="2130" xr:uid="{00000000-0005-0000-0000-000073080000}"/>
    <cellStyle name="Pattern" xfId="2131" xr:uid="{00000000-0005-0000-0000-000074080000}"/>
    <cellStyle name="per.style" xfId="2132" xr:uid="{00000000-0005-0000-0000-000075080000}"/>
    <cellStyle name="Percent [0]" xfId="2133" xr:uid="{00000000-0005-0000-0000-000076080000}"/>
    <cellStyle name="Percent [00]" xfId="2134" xr:uid="{00000000-0005-0000-0000-000077080000}"/>
    <cellStyle name="Percent [2]" xfId="2135" xr:uid="{00000000-0005-0000-0000-000078080000}"/>
    <cellStyle name="Percent [2] 2" xfId="2136" xr:uid="{00000000-0005-0000-0000-000079080000}"/>
    <cellStyle name="Percent [2] 3" xfId="2137" xr:uid="{00000000-0005-0000-0000-00007A080000}"/>
    <cellStyle name="Percent 2" xfId="2138" xr:uid="{00000000-0005-0000-0000-00007B080000}"/>
    <cellStyle name="Percent 2 2" xfId="2139" xr:uid="{00000000-0005-0000-0000-00007C080000}"/>
    <cellStyle name="Percent 3" xfId="2140" xr:uid="{00000000-0005-0000-0000-00007D080000}"/>
    <cellStyle name="Percent 4" xfId="2141" xr:uid="{00000000-0005-0000-0000-00007E080000}"/>
    <cellStyle name="Percent 4 2" xfId="2142" xr:uid="{00000000-0005-0000-0000-00007F080000}"/>
    <cellStyle name="Percent 5" xfId="2143" xr:uid="{00000000-0005-0000-0000-000080080000}"/>
    <cellStyle name="Percent 6" xfId="2673" xr:uid="{00000000-0005-0000-0000-000081080000}"/>
    <cellStyle name="PERCENTAGE" xfId="2144" xr:uid="{00000000-0005-0000-0000-000082080000}"/>
    <cellStyle name="P_x0015_Normal_Sheet1_Reserve" xfId="2145" xr:uid="{00000000-0005-0000-0000-000083080000}"/>
    <cellStyle name="PrePop Currency (0)" xfId="2146" xr:uid="{00000000-0005-0000-0000-000084080000}"/>
    <cellStyle name="PrePop Currency (2)" xfId="2147" xr:uid="{00000000-0005-0000-0000-000085080000}"/>
    <cellStyle name="PrePop Units (0)" xfId="2148" xr:uid="{00000000-0005-0000-0000-000086080000}"/>
    <cellStyle name="PrePop Units (1)" xfId="2149" xr:uid="{00000000-0005-0000-0000-000087080000}"/>
    <cellStyle name="PrePop Units (2)" xfId="2150" xr:uid="{00000000-0005-0000-0000-000088080000}"/>
    <cellStyle name="price" xfId="2151" xr:uid="{00000000-0005-0000-0000-000089080000}"/>
    <cellStyle name="pricing" xfId="2152" xr:uid="{00000000-0005-0000-0000-00008A080000}"/>
    <cellStyle name="PSChar" xfId="2153" xr:uid="{00000000-0005-0000-0000-00008B080000}"/>
    <cellStyle name="PSHeading" xfId="2154" xr:uid="{00000000-0005-0000-0000-00008C080000}"/>
    <cellStyle name="PTQ2ACT" xfId="2155" xr:uid="{00000000-0005-0000-0000-00008D080000}"/>
    <cellStyle name="PTQ3W18orma蒨ðmaormaormaormaormaormaormaormaormaorma肨 maormaormaormaormaormaormaorma" xfId="2156" xr:uid="{00000000-0005-0000-0000-00008E080000}"/>
    <cellStyle name="regstoresfromspecstores" xfId="2157" xr:uid="{00000000-0005-0000-0000-00008F080000}"/>
    <cellStyle name="Regular" xfId="2158" xr:uid="{00000000-0005-0000-0000-000090080000}"/>
    <cellStyle name="revised" xfId="2159" xr:uid="{00000000-0005-0000-0000-000091080000}"/>
    <cellStyle name="RevList" xfId="2160" xr:uid="{00000000-0005-0000-0000-000092080000}"/>
    <cellStyle name="rmal_Sheet1_Revenue Mix" xfId="2161" xr:uid="{00000000-0005-0000-0000-000093080000}"/>
    <cellStyle name="rmaormaormaormaorma肨Pmal_TH" xfId="2162" xr:uid="{00000000-0005-0000-0000-000094080000}"/>
    <cellStyle name="rmaormaormaorma肨 maormaormaormaormaormaormaormaormaorma肨Pmal_TH" xfId="2163" xr:uid="{00000000-0005-0000-0000-000095080000}"/>
    <cellStyle name="S—_x0008_" xfId="2164" xr:uid="{00000000-0005-0000-0000-000096080000}"/>
    <cellStyle name="s]_x000d__x000a_spooler=yes_x000d__x000a_load=_x000d__x000a_Beep=yes_x000d__x000a_NullPort=None_x000d__x000a_BorderWidth=3_x000d__x000a_CursorBlinkRate=1200_x000d__x000a_DoubleClickSpeed=452_x000d__x000a_Programs=co" xfId="2165" xr:uid="{00000000-0005-0000-0000-000097080000}"/>
    <cellStyle name="S—_x0008__0.TMDT_khu K1_dieu chinh 22.12.2011_sua theo kq tham dinh 15.2.2012" xfId="2166" xr:uid="{00000000-0005-0000-0000-000098080000}"/>
    <cellStyle name="s1" xfId="2167" xr:uid="{00000000-0005-0000-0000-000099080000}"/>
    <cellStyle name="SAPBEXaggData" xfId="2168" xr:uid="{00000000-0005-0000-0000-00009A080000}"/>
    <cellStyle name="SAPBEXaggDataEmph" xfId="2169" xr:uid="{00000000-0005-0000-0000-00009B080000}"/>
    <cellStyle name="SAPBEXaggItem" xfId="2170" xr:uid="{00000000-0005-0000-0000-00009C080000}"/>
    <cellStyle name="SAPBEXchaText" xfId="2171" xr:uid="{00000000-0005-0000-0000-00009D080000}"/>
    <cellStyle name="SAPBEXexcBad7" xfId="2172" xr:uid="{00000000-0005-0000-0000-00009E080000}"/>
    <cellStyle name="SAPBEXexcBad8" xfId="2173" xr:uid="{00000000-0005-0000-0000-00009F080000}"/>
    <cellStyle name="SAPBEXexcBad9" xfId="2174" xr:uid="{00000000-0005-0000-0000-0000A0080000}"/>
    <cellStyle name="SAPBEXexcCritical4" xfId="2175" xr:uid="{00000000-0005-0000-0000-0000A1080000}"/>
    <cellStyle name="SAPBEXexcCritical5" xfId="2176" xr:uid="{00000000-0005-0000-0000-0000A2080000}"/>
    <cellStyle name="SAPBEXexcCritical6" xfId="2177" xr:uid="{00000000-0005-0000-0000-0000A3080000}"/>
    <cellStyle name="SAPBEXexcGood1" xfId="2178" xr:uid="{00000000-0005-0000-0000-0000A4080000}"/>
    <cellStyle name="SAPBEXexcGood2" xfId="2179" xr:uid="{00000000-0005-0000-0000-0000A5080000}"/>
    <cellStyle name="SAPBEXexcGood3" xfId="2180" xr:uid="{00000000-0005-0000-0000-0000A6080000}"/>
    <cellStyle name="SAPBEXfilterDrill" xfId="2181" xr:uid="{00000000-0005-0000-0000-0000A7080000}"/>
    <cellStyle name="SAPBEXfilterItem" xfId="2182" xr:uid="{00000000-0005-0000-0000-0000A8080000}"/>
    <cellStyle name="SAPBEXfilterText" xfId="2183" xr:uid="{00000000-0005-0000-0000-0000A9080000}"/>
    <cellStyle name="SAPBEXformats" xfId="2184" xr:uid="{00000000-0005-0000-0000-0000AA080000}"/>
    <cellStyle name="SAPBEXheaderItem" xfId="2185" xr:uid="{00000000-0005-0000-0000-0000AB080000}"/>
    <cellStyle name="SAPBEXheaderText" xfId="2186" xr:uid="{00000000-0005-0000-0000-0000AC080000}"/>
    <cellStyle name="SAPBEXresData" xfId="2187" xr:uid="{00000000-0005-0000-0000-0000AD080000}"/>
    <cellStyle name="SAPBEXresDataEmph" xfId="2188" xr:uid="{00000000-0005-0000-0000-0000AE080000}"/>
    <cellStyle name="SAPBEXresItem" xfId="2189" xr:uid="{00000000-0005-0000-0000-0000AF080000}"/>
    <cellStyle name="SAPBEXstdData" xfId="2190" xr:uid="{00000000-0005-0000-0000-0000B0080000}"/>
    <cellStyle name="SAPBEXstdDataEmph" xfId="2191" xr:uid="{00000000-0005-0000-0000-0000B1080000}"/>
    <cellStyle name="SAPBEXstdItem" xfId="2192" xr:uid="{00000000-0005-0000-0000-0000B2080000}"/>
    <cellStyle name="SAPBEXtitle" xfId="2193" xr:uid="{00000000-0005-0000-0000-0000B3080000}"/>
    <cellStyle name="SAPBEXundefined" xfId="2194" xr:uid="{00000000-0005-0000-0000-0000B4080000}"/>
    <cellStyle name="_x0001_sç?" xfId="2195" xr:uid="{00000000-0005-0000-0000-0000B5080000}"/>
    <cellStyle name="section" xfId="2196" xr:uid="{00000000-0005-0000-0000-0000B6080000}"/>
    <cellStyle name="serJet 1200 Series PCL 6" xfId="2197" xr:uid="{00000000-0005-0000-0000-0000B7080000}"/>
    <cellStyle name="SHADEDSTORES" xfId="2198" xr:uid="{00000000-0005-0000-0000-0000B8080000}"/>
    <cellStyle name="Sheet Title" xfId="2199" xr:uid="{00000000-0005-0000-0000-0000B9080000}"/>
    <cellStyle name="Siêu nối kết_Bang bieu KH thang 62006" xfId="2200" xr:uid="{00000000-0005-0000-0000-0000BA080000}"/>
    <cellStyle name="so" xfId="2201" xr:uid="{00000000-0005-0000-0000-0000BB080000}"/>
    <cellStyle name="SO%" xfId="2202" xr:uid="{00000000-0005-0000-0000-0000BC080000}"/>
    <cellStyle name="so_00. THDT_HOANG MAI" xfId="2203" xr:uid="{00000000-0005-0000-0000-0000BD080000}"/>
    <cellStyle name="songuyen" xfId="2204" xr:uid="{00000000-0005-0000-0000-0000BE080000}"/>
    <cellStyle name="specstores" xfId="2205" xr:uid="{00000000-0005-0000-0000-0000BF080000}"/>
    <cellStyle name="Standard_Anpassen der Amortisation" xfId="2206" xr:uid="{00000000-0005-0000-0000-0000C0080000}"/>
    <cellStyle name="STT" xfId="2207" xr:uid="{00000000-0005-0000-0000-0000C1080000}"/>
    <cellStyle name="STTDG" xfId="2208" xr:uid="{00000000-0005-0000-0000-0000C2080000}"/>
    <cellStyle name="style" xfId="2209" xr:uid="{00000000-0005-0000-0000-0000C3080000}"/>
    <cellStyle name="Style 1" xfId="2210" xr:uid="{00000000-0005-0000-0000-0000C4080000}"/>
    <cellStyle name="Style 10" xfId="2211" xr:uid="{00000000-0005-0000-0000-0000C5080000}"/>
    <cellStyle name="Style 11" xfId="2212" xr:uid="{00000000-0005-0000-0000-0000C6080000}"/>
    <cellStyle name="Style 12" xfId="2213" xr:uid="{00000000-0005-0000-0000-0000C7080000}"/>
    <cellStyle name="Style 13" xfId="2214" xr:uid="{00000000-0005-0000-0000-0000C8080000}"/>
    <cellStyle name="Style 14" xfId="2215" xr:uid="{00000000-0005-0000-0000-0000C9080000}"/>
    <cellStyle name="Style 15" xfId="2216" xr:uid="{00000000-0005-0000-0000-0000CA080000}"/>
    <cellStyle name="Style 16" xfId="2217" xr:uid="{00000000-0005-0000-0000-0000CB080000}"/>
    <cellStyle name="Style 17" xfId="2218" xr:uid="{00000000-0005-0000-0000-0000CC080000}"/>
    <cellStyle name="Style 18" xfId="2219" xr:uid="{00000000-0005-0000-0000-0000CD080000}"/>
    <cellStyle name="Style 19" xfId="2220" xr:uid="{00000000-0005-0000-0000-0000CE080000}"/>
    <cellStyle name="Style 2" xfId="2221" xr:uid="{00000000-0005-0000-0000-0000CF080000}"/>
    <cellStyle name="Style 2 2" xfId="2222" xr:uid="{00000000-0005-0000-0000-0000D0080000}"/>
    <cellStyle name="Style 20" xfId="2223" xr:uid="{00000000-0005-0000-0000-0000D1080000}"/>
    <cellStyle name="Style 21" xfId="2224" xr:uid="{00000000-0005-0000-0000-0000D2080000}"/>
    <cellStyle name="Style 22" xfId="2225" xr:uid="{00000000-0005-0000-0000-0000D3080000}"/>
    <cellStyle name="Style 23" xfId="2226" xr:uid="{00000000-0005-0000-0000-0000D4080000}"/>
    <cellStyle name="Style 24" xfId="2227" xr:uid="{00000000-0005-0000-0000-0000D5080000}"/>
    <cellStyle name="Style 25" xfId="2228" xr:uid="{00000000-0005-0000-0000-0000D6080000}"/>
    <cellStyle name="Style 26" xfId="2229" xr:uid="{00000000-0005-0000-0000-0000D7080000}"/>
    <cellStyle name="Style 27" xfId="2230" xr:uid="{00000000-0005-0000-0000-0000D8080000}"/>
    <cellStyle name="Style 28" xfId="2231" xr:uid="{00000000-0005-0000-0000-0000D9080000}"/>
    <cellStyle name="Style 29" xfId="2232" xr:uid="{00000000-0005-0000-0000-0000DA080000}"/>
    <cellStyle name="Style 3" xfId="2233" xr:uid="{00000000-0005-0000-0000-0000DB080000}"/>
    <cellStyle name="Style 30" xfId="2234" xr:uid="{00000000-0005-0000-0000-0000DC080000}"/>
    <cellStyle name="Style 31" xfId="2235" xr:uid="{00000000-0005-0000-0000-0000DD080000}"/>
    <cellStyle name="Style 32" xfId="2236" xr:uid="{00000000-0005-0000-0000-0000DE080000}"/>
    <cellStyle name="Style 33" xfId="2237" xr:uid="{00000000-0005-0000-0000-0000DF080000}"/>
    <cellStyle name="Style 34" xfId="2238" xr:uid="{00000000-0005-0000-0000-0000E0080000}"/>
    <cellStyle name="Style 35" xfId="2239" xr:uid="{00000000-0005-0000-0000-0000E1080000}"/>
    <cellStyle name="Style 36" xfId="2240" xr:uid="{00000000-0005-0000-0000-0000E2080000}"/>
    <cellStyle name="Style 37" xfId="2241" xr:uid="{00000000-0005-0000-0000-0000E3080000}"/>
    <cellStyle name="Style 4" xfId="2242" xr:uid="{00000000-0005-0000-0000-0000E4080000}"/>
    <cellStyle name="Style 5" xfId="2243" xr:uid="{00000000-0005-0000-0000-0000E5080000}"/>
    <cellStyle name="Style 6" xfId="2244" xr:uid="{00000000-0005-0000-0000-0000E6080000}"/>
    <cellStyle name="Style 7" xfId="2245" xr:uid="{00000000-0005-0000-0000-0000E7080000}"/>
    <cellStyle name="Style 8" xfId="2246" xr:uid="{00000000-0005-0000-0000-0000E8080000}"/>
    <cellStyle name="Style 9" xfId="2247" xr:uid="{00000000-0005-0000-0000-0000E9080000}"/>
    <cellStyle name="style_00. THDT_HOANG MAI" xfId="2248" xr:uid="{00000000-0005-0000-0000-0000EA080000}"/>
    <cellStyle name="subhead" xfId="2249" xr:uid="{00000000-0005-0000-0000-0000EB080000}"/>
    <cellStyle name="Subtotal" xfId="2250" xr:uid="{00000000-0005-0000-0000-0000EC080000}"/>
    <cellStyle name="symbol" xfId="2251" xr:uid="{00000000-0005-0000-0000-0000ED080000}"/>
    <cellStyle name="T" xfId="2252" xr:uid="{00000000-0005-0000-0000-0000EE080000}"/>
    <cellStyle name="T 2" xfId="2253" xr:uid="{00000000-0005-0000-0000-0000EF080000}"/>
    <cellStyle name="T_BaGianA" xfId="2254" xr:uid="{00000000-0005-0000-0000-0000F0080000}"/>
    <cellStyle name="T_Ban 47 (Ha Tinh)" xfId="2255" xr:uid="{00000000-0005-0000-0000-0000F1080000}"/>
    <cellStyle name="T_Ban 47 (Ha Tinh)_00. THDT_HOANG MAI" xfId="2256" xr:uid="{00000000-0005-0000-0000-0000F2080000}"/>
    <cellStyle name="T_bang khái toán" xfId="2257" xr:uid="{00000000-0005-0000-0000-0000F3080000}"/>
    <cellStyle name="T_bang khái toán_00. THDT_HOANG MAI" xfId="2258" xr:uid="{00000000-0005-0000-0000-0000F4080000}"/>
    <cellStyle name="T_Bang luong cong ty Q3-06" xfId="2259" xr:uid="{00000000-0005-0000-0000-0000F5080000}"/>
    <cellStyle name="T_Bang luong cong ty Q3-06_00. THDT_HOANG MAI" xfId="2260" xr:uid="{00000000-0005-0000-0000-0000F6080000}"/>
    <cellStyle name="T_Bao cao kttb milk yomilkYAO-mien bac" xfId="2261" xr:uid="{00000000-0005-0000-0000-0000F7080000}"/>
    <cellStyle name="T_Bao gia Bang ve sinh" xfId="2262" xr:uid="{00000000-0005-0000-0000-0000F8080000}"/>
    <cellStyle name="T_bc_km_ngay" xfId="2263" xr:uid="{00000000-0005-0000-0000-0000F9080000}"/>
    <cellStyle name="T_BLCongty Q12007" xfId="2264" xr:uid="{00000000-0005-0000-0000-0000FA080000}"/>
    <cellStyle name="T_BLCongty Q12007_00. THDT_HOANG MAI" xfId="2265" xr:uid="{00000000-0005-0000-0000-0000FB080000}"/>
    <cellStyle name="T_Book1" xfId="2266" xr:uid="{00000000-0005-0000-0000-0000FC080000}"/>
    <cellStyle name="T_Book1 2" xfId="2267" xr:uid="{00000000-0005-0000-0000-0000FD080000}"/>
    <cellStyle name="T_Book1_1" xfId="2268" xr:uid="{00000000-0005-0000-0000-0000FE080000}"/>
    <cellStyle name="T_Book1_1 2" xfId="2269" xr:uid="{00000000-0005-0000-0000-0000FF080000}"/>
    <cellStyle name="T_Book1_1_00. THDT_HOANG MAI" xfId="2270" xr:uid="{00000000-0005-0000-0000-000000090000}"/>
    <cellStyle name="T_Book1_1_Book1" xfId="2271" xr:uid="{00000000-0005-0000-0000-000001090000}"/>
    <cellStyle name="T_Book1_1_Book1_1" xfId="2272" xr:uid="{00000000-0005-0000-0000-000002090000}"/>
    <cellStyle name="T_Book1_1_Book1_1_00. THDT_HOANG MAI" xfId="2273" xr:uid="{00000000-0005-0000-0000-000003090000}"/>
    <cellStyle name="T_Book1_1_Book1_2" xfId="2274" xr:uid="{00000000-0005-0000-0000-000004090000}"/>
    <cellStyle name="T_Book1_1_Book1_2_00. THDT_HOANG MAI" xfId="2275" xr:uid="{00000000-0005-0000-0000-000005090000}"/>
    <cellStyle name="T_Book1_1_Book1_Book1" xfId="2276" xr:uid="{00000000-0005-0000-0000-000006090000}"/>
    <cellStyle name="T_Book1_1_Book1_Book1_00. THDT_HOANG MAI" xfId="2277" xr:uid="{00000000-0005-0000-0000-000007090000}"/>
    <cellStyle name="T_Book1_1_Book1_ha" xfId="2278" xr:uid="{00000000-0005-0000-0000-000008090000}"/>
    <cellStyle name="T_Book1_1_Coc moc GPMB-Phu Yen" xfId="2279" xr:uid="{00000000-0005-0000-0000-000009090000}"/>
    <cellStyle name="T_Book1_1_Coc moc GPMB-Phu Yen_00. THDT_HOANG MAI" xfId="2280" xr:uid="{00000000-0005-0000-0000-00000A090000}"/>
    <cellStyle name="T_Book1_1_DADTCauYeu_(1)" xfId="2281" xr:uid="{00000000-0005-0000-0000-00000B090000}"/>
    <cellStyle name="T_Book1_1_DN5" xfId="2282" xr:uid="{00000000-0005-0000-0000-00000C090000}"/>
    <cellStyle name="T_Book1_1_DN5_00. THDT_HOANG MAI" xfId="2283" xr:uid="{00000000-0005-0000-0000-00000D090000}"/>
    <cellStyle name="T_Book1_1_DN8" xfId="2284" xr:uid="{00000000-0005-0000-0000-00000E090000}"/>
    <cellStyle name="T_Book1_1_DN8_00. THDT_HOANG MAI" xfId="2285" xr:uid="{00000000-0005-0000-0000-00000F090000}"/>
    <cellStyle name="T_Book1_1_Du toan" xfId="2286" xr:uid="{00000000-0005-0000-0000-000010090000}"/>
    <cellStyle name="T_Book1_1_Du toan TL702D2" xfId="2287" xr:uid="{00000000-0005-0000-0000-000011090000}"/>
    <cellStyle name="T_Book1_1_Du toan TL702D2_00. THDT_HOANG MAI" xfId="2288" xr:uid="{00000000-0005-0000-0000-000012090000}"/>
    <cellStyle name="T_Book1_1_Du toan TL702D2_Book1" xfId="2289" xr:uid="{00000000-0005-0000-0000-000013090000}"/>
    <cellStyle name="T_Book1_1_ha" xfId="2290" xr:uid="{00000000-0005-0000-0000-000014090000}"/>
    <cellStyle name="T_Book1_1_k475-491- sua theo Tham tra lan 2  " xfId="2291" xr:uid="{00000000-0005-0000-0000-000015090000}"/>
    <cellStyle name="T_Book1_1_k475-491- sua theo Tham tra lan 2  _00. THDT_HOANG MAI" xfId="2292" xr:uid="{00000000-0005-0000-0000-000016090000}"/>
    <cellStyle name="T_Book1_1_khao sat DBGPMB" xfId="2293" xr:uid="{00000000-0005-0000-0000-000017090000}"/>
    <cellStyle name="T_Book1_1_Khoi luong cac hang muc chi tiet-702" xfId="2294" xr:uid="{00000000-0005-0000-0000-000018090000}"/>
    <cellStyle name="T_Book1_1_Khoi luong cac hang muc chi tiet-702_00. THDT_HOANG MAI" xfId="2295" xr:uid="{00000000-0005-0000-0000-000019090000}"/>
    <cellStyle name="T_Book1_1_Khoi luong cac hang muc chi tiet-702_Book1" xfId="2296" xr:uid="{00000000-0005-0000-0000-00001A090000}"/>
    <cellStyle name="T_Book1_1_mau KL vach son" xfId="2297" xr:uid="{00000000-0005-0000-0000-00001B090000}"/>
    <cellStyle name="T_Book1_1_mau KL vach son_00. THDT_HOANG MAI" xfId="2298" xr:uid="{00000000-0005-0000-0000-00001C090000}"/>
    <cellStyle name="T_Book1_1_Nhan su" xfId="2299" xr:uid="{00000000-0005-0000-0000-00001D090000}"/>
    <cellStyle name="T_Book1_1_Phu yen ban46" xfId="2300" xr:uid="{00000000-0005-0000-0000-00001E090000}"/>
    <cellStyle name="T_Book1_1_Tong du toan" xfId="2301" xr:uid="{00000000-0005-0000-0000-000020090000}"/>
    <cellStyle name="T_Book1_1_Tong du toan_00. THDT_HOANG MAI" xfId="2302" xr:uid="{00000000-0005-0000-0000-000021090000}"/>
    <cellStyle name="T_Book1_1_Thong ke cong" xfId="2303" xr:uid="{00000000-0005-0000-0000-00001F090000}"/>
    <cellStyle name="T_Book1_2" xfId="2304" xr:uid="{00000000-0005-0000-0000-000022090000}"/>
    <cellStyle name="T_Book1_2 2" xfId="2305" xr:uid="{00000000-0005-0000-0000-000023090000}"/>
    <cellStyle name="T_Book1_2_Book1" xfId="2306" xr:uid="{00000000-0005-0000-0000-000024090000}"/>
    <cellStyle name="T_Book1_2_Book1_1" xfId="2307" xr:uid="{00000000-0005-0000-0000-000025090000}"/>
    <cellStyle name="T_Book1_2_Book1_ha" xfId="2308" xr:uid="{00000000-0005-0000-0000-000026090000}"/>
    <cellStyle name="T_Book1_2_Book1_ha_00. THDT_HOANG MAI" xfId="2309" xr:uid="{00000000-0005-0000-0000-000027090000}"/>
    <cellStyle name="T_Book1_2_Coc moc GPMB-Phu Yen" xfId="2310" xr:uid="{00000000-0005-0000-0000-000028090000}"/>
    <cellStyle name="T_Book1_2_DN5" xfId="2311" xr:uid="{00000000-0005-0000-0000-000029090000}"/>
    <cellStyle name="T_Book1_2_DN8" xfId="2312" xr:uid="{00000000-0005-0000-0000-00002A090000}"/>
    <cellStyle name="T_Book1_2_Du toan" xfId="2313" xr:uid="{00000000-0005-0000-0000-00002B090000}"/>
    <cellStyle name="T_Book1_2_Du toan_00. THDT_HOANG MAI" xfId="2314" xr:uid="{00000000-0005-0000-0000-00002C090000}"/>
    <cellStyle name="T_Book1_2_ha" xfId="2315" xr:uid="{00000000-0005-0000-0000-00002D090000}"/>
    <cellStyle name="T_Book1_2_k475-491- sua theo Tham tra lan 2  " xfId="2316" xr:uid="{00000000-0005-0000-0000-00002E090000}"/>
    <cellStyle name="T_Book1_2_k475-491- sua theo Tham tra lan 2  _00. THDT_HOANG MAI" xfId="2317" xr:uid="{00000000-0005-0000-0000-00002F090000}"/>
    <cellStyle name="T_Book1_2_khao sat DBGPMB" xfId="2318" xr:uid="{00000000-0005-0000-0000-000030090000}"/>
    <cellStyle name="T_Book1_2_khao sat DBGPMB_00. THDT_HOANG MAI" xfId="2319" xr:uid="{00000000-0005-0000-0000-000031090000}"/>
    <cellStyle name="T_Book1_2_Phu yen ban46" xfId="2320" xr:uid="{00000000-0005-0000-0000-000032090000}"/>
    <cellStyle name="T_Book1_2_Phu yen ban46_00. THDT_HOANG MAI" xfId="2321" xr:uid="{00000000-0005-0000-0000-000033090000}"/>
    <cellStyle name="T_Book1_2_Tong du toan" xfId="2322" xr:uid="{00000000-0005-0000-0000-000034090000}"/>
    <cellStyle name="T_Book1_3" xfId="2323" xr:uid="{00000000-0005-0000-0000-000035090000}"/>
    <cellStyle name="T_Book1_4" xfId="2324" xr:uid="{00000000-0005-0000-0000-000036090000}"/>
    <cellStyle name="T_Book1_BLCongty Q12007" xfId="2325" xr:uid="{00000000-0005-0000-0000-000037090000}"/>
    <cellStyle name="T_Book1_BLCongty Q12007_00. THDT_HOANG MAI" xfId="2326" xr:uid="{00000000-0005-0000-0000-000038090000}"/>
    <cellStyle name="T_Book1_Book1" xfId="2327" xr:uid="{00000000-0005-0000-0000-000039090000}"/>
    <cellStyle name="T_Book1_Book1 2" xfId="2328" xr:uid="{00000000-0005-0000-0000-00003A090000}"/>
    <cellStyle name="T_Book1_Book1_00. THDT_HOANG MAI" xfId="2329" xr:uid="{00000000-0005-0000-0000-00003B090000}"/>
    <cellStyle name="T_Book1_Book1_1" xfId="2330" xr:uid="{00000000-0005-0000-0000-00003C090000}"/>
    <cellStyle name="T_Book1_Book1_1_00. THDT_HOANG MAI" xfId="2331" xr:uid="{00000000-0005-0000-0000-00003D090000}"/>
    <cellStyle name="T_Book1_Book1_1_Coc moc GPMB-Phu Yen" xfId="2332" xr:uid="{00000000-0005-0000-0000-00003E090000}"/>
    <cellStyle name="T_Book1_Book1_1_Du an sua 6-6" xfId="2333" xr:uid="{00000000-0005-0000-0000-00003F090000}"/>
    <cellStyle name="T_Book1_Book1_1_Phu yen ban46" xfId="2334" xr:uid="{00000000-0005-0000-0000-000040090000}"/>
    <cellStyle name="T_Book1_Book1_1_Phu yen ban46_00. THDT_HOANG MAI" xfId="2335" xr:uid="{00000000-0005-0000-0000-000041090000}"/>
    <cellStyle name="T_Book1_Book1_2" xfId="2336" xr:uid="{00000000-0005-0000-0000-000042090000}"/>
    <cellStyle name="T_Book1_Book1_Book1" xfId="2337" xr:uid="{00000000-0005-0000-0000-000043090000}"/>
    <cellStyle name="T_Book1_Book1_Book1_ha" xfId="2338" xr:uid="{00000000-0005-0000-0000-000044090000}"/>
    <cellStyle name="T_Book1_Book1_ha" xfId="2339" xr:uid="{00000000-0005-0000-0000-000045090000}"/>
    <cellStyle name="T_Book1_Book1_Nhan su" xfId="2340" xr:uid="{00000000-0005-0000-0000-000046090000}"/>
    <cellStyle name="T_Book1_Book1_Phu yen ban46" xfId="2341" xr:uid="{00000000-0005-0000-0000-000047090000}"/>
    <cellStyle name="T_Book1_Book1_Phu yen ban46_00. THDT_HOANG MAI" xfId="2342" xr:uid="{00000000-0005-0000-0000-000048090000}"/>
    <cellStyle name="T_Book1_cau" xfId="2343" xr:uid="{00000000-0005-0000-0000-000049090000}"/>
    <cellStyle name="T_Book1_Cau ChoBien-TKBVTC" xfId="2344" xr:uid="{00000000-0005-0000-0000-00004A090000}"/>
    <cellStyle name="T_Book1_Cau ChoBien-TKBVTC_00. THDT_HOANG MAI" xfId="2345" xr:uid="{00000000-0005-0000-0000-00004B090000}"/>
    <cellStyle name="T_Book1_Cau Tram Cua - Km4+484.54" xfId="2346" xr:uid="{00000000-0005-0000-0000-00004C090000}"/>
    <cellStyle name="T_Book1_Cau Tram Cua - Km4+484.54_00. THDT_HOANG MAI" xfId="2347" xr:uid="{00000000-0005-0000-0000-00004D090000}"/>
    <cellStyle name="T_Book1_cau_00. THDT_HOANG MAI" xfId="2348" xr:uid="{00000000-0005-0000-0000-00004E090000}"/>
    <cellStyle name="T_Book1_Coc moc GPMB-Phu Yen" xfId="2349" xr:uid="{00000000-0005-0000-0000-00004F090000}"/>
    <cellStyle name="T_Book1_DADTCauYeu_(1)" xfId="2350" xr:uid="{00000000-0005-0000-0000-000050090000}"/>
    <cellStyle name="T_Book1_DADTCauYeu_(1)_00. THDT_HOANG MAI" xfId="2351" xr:uid="{00000000-0005-0000-0000-000051090000}"/>
    <cellStyle name="T_Book1_DN5" xfId="2352" xr:uid="{00000000-0005-0000-0000-000052090000}"/>
    <cellStyle name="T_Book1_DN8" xfId="2353" xr:uid="{00000000-0005-0000-0000-000053090000}"/>
    <cellStyle name="T_Book1_Du an sua 6-6" xfId="2354" xr:uid="{00000000-0005-0000-0000-000054090000}"/>
    <cellStyle name="T_Book1_Du an sua 6-6_00. THDT_HOANG MAI" xfId="2355" xr:uid="{00000000-0005-0000-0000-000055090000}"/>
    <cellStyle name="T_Book1_Du toan" xfId="2356" xr:uid="{00000000-0005-0000-0000-000056090000}"/>
    <cellStyle name="T_Book1_Du toan_00. THDT_HOANG MAI" xfId="2357" xr:uid="{00000000-0005-0000-0000-000057090000}"/>
    <cellStyle name="T_Book1_GOI DUNG-Luong T1-T4-2007" xfId="2358" xr:uid="{00000000-0005-0000-0000-000058090000}"/>
    <cellStyle name="T_Book1_GOI DUNG-Luong T1-T4-2007_00. THDT_HOANG MAI" xfId="2359" xr:uid="{00000000-0005-0000-0000-000059090000}"/>
    <cellStyle name="T_Book1_gui mai" xfId="2360" xr:uid="{00000000-0005-0000-0000-00005A090000}"/>
    <cellStyle name="T_Book1_gui mai_00. THDT_HOANG MAI" xfId="2361" xr:uid="{00000000-0005-0000-0000-00005B090000}"/>
    <cellStyle name="T_Book1_He thong nuoc sach N 102" xfId="2362" xr:uid="{00000000-0005-0000-0000-00005C090000}"/>
    <cellStyle name="T_Book1_He thong nuoc sach N 102_00. THDT_HOANG MAI" xfId="2363" xr:uid="{00000000-0005-0000-0000-00005D090000}"/>
    <cellStyle name="T_Book1_He thong nuoc sach N 107" xfId="2364" xr:uid="{00000000-0005-0000-0000-00005E090000}"/>
    <cellStyle name="T_Book1_He thong nuoc sach N 107_00. THDT_HOANG MAI" xfId="2365" xr:uid="{00000000-0005-0000-0000-00005F090000}"/>
    <cellStyle name="T_Book1_k475-491- sua theo Tham tra lan 2  " xfId="2366" xr:uid="{00000000-0005-0000-0000-000060090000}"/>
    <cellStyle name="T_Book1_k475-491- sua theo Tham tra lan 2  _00. THDT_HOANG MAI" xfId="2367" xr:uid="{00000000-0005-0000-0000-000061090000}"/>
    <cellStyle name="T_Book1_khao sat DBGPMB" xfId="2368" xr:uid="{00000000-0005-0000-0000-000062090000}"/>
    <cellStyle name="T_Book1_khao sat DBGPMB_00. THDT_HOANG MAI" xfId="2369" xr:uid="{00000000-0005-0000-0000-000063090000}"/>
    <cellStyle name="T_Book1_Khoi luong cac hang muc chi tiet-702" xfId="2370" xr:uid="{00000000-0005-0000-0000-000064090000}"/>
    <cellStyle name="T_Book1_Khoi luong cac hang muc chi tiet-702_00. THDT_HOANG MAI" xfId="2371" xr:uid="{00000000-0005-0000-0000-000065090000}"/>
    <cellStyle name="T_Book1_Khoi luong cac hang muc chi tiet-702_Book1" xfId="2372" xr:uid="{00000000-0005-0000-0000-000066090000}"/>
    <cellStyle name="T_Book1_mau KL vach son" xfId="2373" xr:uid="{00000000-0005-0000-0000-000067090000}"/>
    <cellStyle name="T_Book1_mau KL vach son_00. THDT_HOANG MAI" xfId="2374" xr:uid="{00000000-0005-0000-0000-000068090000}"/>
    <cellStyle name="T_Book1_Nhan su" xfId="2375" xr:uid="{00000000-0005-0000-0000-000069090000}"/>
    <cellStyle name="T_Book1_Nhan su_00. THDT_HOANG MAI" xfId="2376" xr:uid="{00000000-0005-0000-0000-00006A090000}"/>
    <cellStyle name="T_Book1_QT gia = H.D, k.lg = TT_BC-CC_Z113_13_27.10.07_Tuyen" xfId="2377" xr:uid="{00000000-0005-0000-0000-00006B090000}"/>
    <cellStyle name="T_Book1_QT_HT DCT_Z113-13_30-10-2007_Tuyen" xfId="2378" xr:uid="{00000000-0005-0000-0000-00006C090000}"/>
    <cellStyle name="T_Book1_Tong du toan" xfId="2379" xr:uid="{00000000-0005-0000-0000-000072090000}"/>
    <cellStyle name="T_Book1_THKLTL702" xfId="2380" xr:uid="{00000000-0005-0000-0000-00006D090000}"/>
    <cellStyle name="T_Book1_THKLTL702_00. THDT_HOANG MAI" xfId="2381" xr:uid="{00000000-0005-0000-0000-00006E090000}"/>
    <cellStyle name="T_Book1_THKLTL702_Book1" xfId="2382" xr:uid="{00000000-0005-0000-0000-00006F090000}"/>
    <cellStyle name="T_Book1_Thong ke cong" xfId="2383" xr:uid="{00000000-0005-0000-0000-000070090000}"/>
    <cellStyle name="T_Book1_Thong ke cong_00. THDT_HOANG MAI" xfId="2384" xr:uid="{00000000-0005-0000-0000-000071090000}"/>
    <cellStyle name="T_Book1_Xay dung du toan" xfId="2385" xr:uid="{00000000-0005-0000-0000-000073090000}"/>
    <cellStyle name="T_Book1_Xay dung du toan_00. THDT_HOANG MAI" xfId="2386" xr:uid="{00000000-0005-0000-0000-000074090000}"/>
    <cellStyle name="T_Cac bao cao TB  Milk-Yomilk-co Ke- CK 1-Vinh Thang" xfId="2387" xr:uid="{00000000-0005-0000-0000-000075090000}"/>
    <cellStyle name="T_cau" xfId="2388" xr:uid="{00000000-0005-0000-0000-000076090000}"/>
    <cellStyle name="T_Cau Phu Phuong" xfId="2389" xr:uid="{00000000-0005-0000-0000-000077090000}"/>
    <cellStyle name="T_Cau Phu Phuong_00. THDT_HOANG MAI" xfId="2390" xr:uid="{00000000-0005-0000-0000-000078090000}"/>
    <cellStyle name="T_Cau Phu Phuong_Phu yen ban46" xfId="2391" xr:uid="{00000000-0005-0000-0000-000079090000}"/>
    <cellStyle name="T_Cau Phu Phuong_Phu yen ban46_00. THDT_HOANG MAI" xfId="2392" xr:uid="{00000000-0005-0000-0000-00007A090000}"/>
    <cellStyle name="T_Cau Tram Cua - Km4+484.54" xfId="2393" xr:uid="{00000000-0005-0000-0000-00007B090000}"/>
    <cellStyle name="T_Cau Tram Cua - Km4+484.54_00. THDT_HOANG MAI" xfId="2394" xr:uid="{00000000-0005-0000-0000-00007C090000}"/>
    <cellStyle name="T_cau_00. THDT_HOANG MAI" xfId="2395" xr:uid="{00000000-0005-0000-0000-00007D090000}"/>
    <cellStyle name="T_Cau1520+237" xfId="2396" xr:uid="{00000000-0005-0000-0000-00007E090000}"/>
    <cellStyle name="T_Cau1539+955-Thuong 29-11" xfId="2397" xr:uid="{00000000-0005-0000-0000-00007F090000}"/>
    <cellStyle name="T_Cau43+041(Ham1Cong)xong" xfId="2398" xr:uid="{00000000-0005-0000-0000-000080090000}"/>
    <cellStyle name="T_CauvuotCoThanhKm44+501.94(m)" xfId="2399" xr:uid="{00000000-0005-0000-0000-000081090000}"/>
    <cellStyle name="T_CDKT" xfId="2400" xr:uid="{00000000-0005-0000-0000-000082090000}"/>
    <cellStyle name="T_CDKT_00. THDT_HOANG MAI" xfId="2401" xr:uid="{00000000-0005-0000-0000-000083090000}"/>
    <cellStyle name="T_CDKT_Book1" xfId="2402" xr:uid="{00000000-0005-0000-0000-000084090000}"/>
    <cellStyle name="T_Cong D100 (km1+961.50)" xfId="2403" xr:uid="{00000000-0005-0000-0000-000088090000}"/>
    <cellStyle name="T_Copy of KS Du an dau tu" xfId="2404" xr:uid="{00000000-0005-0000-0000-000089090000}"/>
    <cellStyle name="T_Copy of KS Du an dau tu_00. THDT_HOANG MAI" xfId="2405" xr:uid="{00000000-0005-0000-0000-00008A090000}"/>
    <cellStyle name="T_Copy of QL_27(TV8)-chinh" xfId="2406" xr:uid="{00000000-0005-0000-0000-00008B090000}"/>
    <cellStyle name="T_cham diem Milk chu ky2-ANH MINH" xfId="2407" xr:uid="{00000000-0005-0000-0000-000085090000}"/>
    <cellStyle name="T_cham trung bay ck 1 m.Bac milk co ke 2" xfId="2408" xr:uid="{00000000-0005-0000-0000-000086090000}"/>
    <cellStyle name="T_cham trung bay yao smart milk ck 2 mien Bac" xfId="2409" xr:uid="{00000000-0005-0000-0000-000087090000}"/>
    <cellStyle name="T_danatol-huong" xfId="2410" xr:uid="{00000000-0005-0000-0000-00008C090000}"/>
    <cellStyle name="T_danatol-huong_00. THDT_HOANG MAI" xfId="2411" xr:uid="{00000000-0005-0000-0000-00008D090000}"/>
    <cellStyle name="T_danh sach chua nop bcao trung bay sua chua  tinh den 1-3-06" xfId="2412" xr:uid="{00000000-0005-0000-0000-00008E090000}"/>
    <cellStyle name="T_Danh sach KH TB MilkYomilk Yao  Smart chu ky 2-Vinh Thang" xfId="2413" xr:uid="{00000000-0005-0000-0000-00008F090000}"/>
    <cellStyle name="T_Danh sach KH trung bay MilkYomilk co ke chu ky 2-Vinh Thang" xfId="2414" xr:uid="{00000000-0005-0000-0000-000090090000}"/>
    <cellStyle name="T_denbu" xfId="2415" xr:uid="{00000000-0005-0000-0000-000091090000}"/>
    <cellStyle name="T_denbu_00. THDT_HOANG MAI" xfId="2416" xr:uid="{00000000-0005-0000-0000-000092090000}"/>
    <cellStyle name="T_denbu_Phu yen ban46" xfId="2417" xr:uid="{00000000-0005-0000-0000-000093090000}"/>
    <cellStyle name="T_DG Cat Ne_XB1" xfId="2418" xr:uid="{00000000-0005-0000-0000-000094090000}"/>
    <cellStyle name="T_DON GIA DIEP" xfId="2419" xr:uid="{00000000-0005-0000-0000-000095090000}"/>
    <cellStyle name="T_DON GIA DIEP_00. THDT_HOANG MAI" xfId="2420" xr:uid="{00000000-0005-0000-0000-000096090000}"/>
    <cellStyle name="T_DSACH MILK YO MILK CK 2 M.BAC" xfId="2421" xr:uid="{00000000-0005-0000-0000-000097090000}"/>
    <cellStyle name="T_DSKH Tbay Milk , Yomilk CK 2 Vu Thi Hanh" xfId="2422" xr:uid="{00000000-0005-0000-0000-000098090000}"/>
    <cellStyle name="T_DT" xfId="2423" xr:uid="{00000000-0005-0000-0000-000099090000}"/>
    <cellStyle name="T_DT Khaosat DH (bo sung CSHK)." xfId="2424" xr:uid="{00000000-0005-0000-0000-00009A090000}"/>
    <cellStyle name="T_DT_00. THDT_HOANG MAI" xfId="2425" xr:uid="{00000000-0005-0000-0000-00009B090000}"/>
    <cellStyle name="T_dtTL598G1." xfId="2426" xr:uid="{00000000-0005-0000-0000-00009C090000}"/>
    <cellStyle name="T_dtTL598G1._00. THDT_HOANG MAI" xfId="2427" xr:uid="{00000000-0005-0000-0000-00009D090000}"/>
    <cellStyle name="T_dtTL598G1._Book1" xfId="2428" xr:uid="{00000000-0005-0000-0000-00009E090000}"/>
    <cellStyle name="T_Du toan QL 27 (da tham tra 10-5-2007)" xfId="2429" xr:uid="{00000000-0005-0000-0000-00009F090000}"/>
    <cellStyle name="T_Du toan QL 27 (da tham tra 10-5-2007)_00. THDT_HOANG MAI" xfId="2430" xr:uid="{00000000-0005-0000-0000-0000A0090000}"/>
    <cellStyle name="T_dutoan Ben Giang" xfId="2431" xr:uid="{00000000-0005-0000-0000-0000A1090000}"/>
    <cellStyle name="T_dutoan Ben Giang_00. THDT_HOANG MAI" xfId="2432" xr:uid="{00000000-0005-0000-0000-0000A2090000}"/>
    <cellStyle name="T_DUTOAN1" xfId="2433" xr:uid="{00000000-0005-0000-0000-0000A3090000}"/>
    <cellStyle name="T_DUTOAN1_00. THDT_HOANG MAI" xfId="2434" xr:uid="{00000000-0005-0000-0000-0000A4090000}"/>
    <cellStyle name="T_DUTOANDUONG" xfId="2435" xr:uid="{00000000-0005-0000-0000-0000A5090000}"/>
    <cellStyle name="T_DUTOANDUONG_00. THDT_HOANG MAI" xfId="2436" xr:uid="{00000000-0005-0000-0000-0000A6090000}"/>
    <cellStyle name="T_DUTOANtuyen E 26.11" xfId="2437" xr:uid="{00000000-0005-0000-0000-0000A7090000}"/>
    <cellStyle name="T_DUTOANtuyen E 26.11_00. THDT_HOANG MAI" xfId="2438" xr:uid="{00000000-0005-0000-0000-0000A8090000}"/>
    <cellStyle name="T_form ton kho CK 2 tuan 8" xfId="2439" xr:uid="{00000000-0005-0000-0000-0000A9090000}"/>
    <cellStyle name="T_GOI DUNG-Luong T1-T4-2007" xfId="2440" xr:uid="{00000000-0005-0000-0000-0000AA090000}"/>
    <cellStyle name="T_GOI DUNG-Luong T1-T4-2007_00. THDT_HOANG MAI" xfId="2441" xr:uid="{00000000-0005-0000-0000-0000AB090000}"/>
    <cellStyle name="T_goiso9.sua" xfId="2442" xr:uid="{00000000-0005-0000-0000-0000AC090000}"/>
    <cellStyle name="T_goiso9.sua_00. THDT_HOANG MAI" xfId="2443" xr:uid="{00000000-0005-0000-0000-0000AD090000}"/>
    <cellStyle name="T_GTXD G3 tuyen Btham dung va cat trung" xfId="2444" xr:uid="{00000000-0005-0000-0000-0000AE090000}"/>
    <cellStyle name="T_GTXD G3 tuyen Btham dung va cat trung_00. THDT_HOANG MAI" xfId="2445" xr:uid="{00000000-0005-0000-0000-0000AF090000}"/>
    <cellStyle name="T_ha" xfId="2446" xr:uid="{00000000-0005-0000-0000-0000B0090000}"/>
    <cellStyle name="T_He thong nuoc sach N 102" xfId="2447" xr:uid="{00000000-0005-0000-0000-0000B1090000}"/>
    <cellStyle name="T_He thong nuoc sach N 102_00. THDT_HOANG MAI" xfId="2448" xr:uid="{00000000-0005-0000-0000-0000B2090000}"/>
    <cellStyle name="T_He thong nuoc sach N 107" xfId="2449" xr:uid="{00000000-0005-0000-0000-0000B3090000}"/>
    <cellStyle name="T_He thong nuoc sach N 107_00. THDT_HOANG MAI" xfId="2450" xr:uid="{00000000-0005-0000-0000-0000B4090000}"/>
    <cellStyle name="T_K l.Duong" xfId="2451" xr:uid="{00000000-0005-0000-0000-0000B5090000}"/>
    <cellStyle name="T_K l.Duong_00. THDT_HOANG MAI" xfId="2452" xr:uid="{00000000-0005-0000-0000-0000B6090000}"/>
    <cellStyle name="T_k475-491- sua theo Tham tra lan 2  " xfId="2453" xr:uid="{00000000-0005-0000-0000-0000B7090000}"/>
    <cellStyle name="T_k475-491- sua theo Tham tra lan 2  _00. THDT_HOANG MAI" xfId="2454" xr:uid="{00000000-0005-0000-0000-0000B8090000}"/>
    <cellStyle name="T_Kl VL ranh" xfId="2455" xr:uid="{00000000-0005-0000-0000-0000C3090000}"/>
    <cellStyle name="T_Kl VL ranh_00. THDT_HOANG MAI" xfId="2456" xr:uid="{00000000-0005-0000-0000-0000C4090000}"/>
    <cellStyle name="T_Kl VL ranh_Book1" xfId="2457" xr:uid="{00000000-0005-0000-0000-0000C5090000}"/>
    <cellStyle name="T_KL39-40s" xfId="2458" xr:uid="{00000000-0005-0000-0000-0000C6090000}"/>
    <cellStyle name="T_KL39-40s_00. THDT_HOANG MAI" xfId="2459" xr:uid="{00000000-0005-0000-0000-0000C7090000}"/>
    <cellStyle name="T_KLNMD1" xfId="2460" xr:uid="{00000000-0005-0000-0000-0000C8090000}"/>
    <cellStyle name="T_KLNMD1_Book1" xfId="2461" xr:uid="{00000000-0005-0000-0000-0000C9090000}"/>
    <cellStyle name="T_KLNMD1_Book1_00. THDT_HOANG MAI" xfId="2462" xr:uid="{00000000-0005-0000-0000-0000CA090000}"/>
    <cellStyle name="T_Km 458-475 -2-4" xfId="2463" xr:uid="{00000000-0005-0000-0000-0000CB090000}"/>
    <cellStyle name="T_KSTK cau Cho Bien" xfId="2464" xr:uid="{00000000-0005-0000-0000-0000CC090000}"/>
    <cellStyle name="T_KSTK cau Cho Bien_00. THDT_HOANG MAI" xfId="2465" xr:uid="{00000000-0005-0000-0000-0000CD090000}"/>
    <cellStyle name="T_KSTK Du an nut giao PY(29-6-2007)" xfId="2466" xr:uid="{00000000-0005-0000-0000-0000CE090000}"/>
    <cellStyle name="T_KSTK Du an nut giao PY(29-6-2007)_00. THDT_HOANG MAI" xfId="2467" xr:uid="{00000000-0005-0000-0000-0000CF090000}"/>
    <cellStyle name="T_KT duong Lien Trach ( moi )" xfId="2468" xr:uid="{00000000-0005-0000-0000-0000D0090000}"/>
    <cellStyle name="T_KT duong Lien Trach ( moi )_00. THDT_HOANG MAI" xfId="2469" xr:uid="{00000000-0005-0000-0000-0000D1090000}"/>
    <cellStyle name="T_Khao satD1" xfId="2470" xr:uid="{00000000-0005-0000-0000-0000B9090000}"/>
    <cellStyle name="T_Khao satD1_Book1" xfId="2471" xr:uid="{00000000-0005-0000-0000-0000BA090000}"/>
    <cellStyle name="T_Khao satD1_Book1_00. THDT_HOANG MAI" xfId="2472" xr:uid="{00000000-0005-0000-0000-0000BB090000}"/>
    <cellStyle name="T_Khao satD1_ha" xfId="2473" xr:uid="{00000000-0005-0000-0000-0000BC090000}"/>
    <cellStyle name="T_Khao satD1_k475-491- sua theo Tham tra lan 2  " xfId="2474" xr:uid="{00000000-0005-0000-0000-0000BD090000}"/>
    <cellStyle name="T_Khao satD1_k475-491- sua theo Tham tra lan 2  _00. THDT_HOANG MAI" xfId="2475" xr:uid="{00000000-0005-0000-0000-0000BE090000}"/>
    <cellStyle name="T_Khao satD1_Phu yen ban46" xfId="2476" xr:uid="{00000000-0005-0000-0000-0000BF090000}"/>
    <cellStyle name="T_Khoi luong cac hang muc chi tiet-702" xfId="2477" xr:uid="{00000000-0005-0000-0000-0000C0090000}"/>
    <cellStyle name="T_Khoi luong cac hang muc chi tiet-702_00. THDT_HOANG MAI" xfId="2478" xr:uid="{00000000-0005-0000-0000-0000C1090000}"/>
    <cellStyle name="T_Khoi luong cac hang muc chi tiet-702_Book1" xfId="2479" xr:uid="{00000000-0005-0000-0000-0000C2090000}"/>
    <cellStyle name="T_Luong Qui4-06 TK2" xfId="2480" xr:uid="{00000000-0005-0000-0000-0000D2090000}"/>
    <cellStyle name="T_Luong Qui4-06 TK2_00. THDT_HOANG MAI" xfId="2481" xr:uid="{00000000-0005-0000-0000-0000D3090000}"/>
    <cellStyle name="T_mau KL vach son" xfId="2482" xr:uid="{00000000-0005-0000-0000-0000D4090000}"/>
    <cellStyle name="T_mau KL vach son_00. THDT_HOANG MAI" xfId="2483" xr:uid="{00000000-0005-0000-0000-0000D5090000}"/>
    <cellStyle name="T_N2.G9.TUYEN" xfId="2484" xr:uid="{00000000-0005-0000-0000-0000D6090000}"/>
    <cellStyle name="T_N2.G9.TUYEN_00. THDT_HOANG MAI" xfId="2485" xr:uid="{00000000-0005-0000-0000-0000D7090000}"/>
    <cellStyle name="T_N2-goi 6-theo DG Long An- Phan cau-sua theo PMU" xfId="2486" xr:uid="{00000000-0005-0000-0000-0000D8090000}"/>
    <cellStyle name="T_Ninh binh Flyover (1)" xfId="2487" xr:uid="{00000000-0005-0000-0000-0000DB090000}"/>
    <cellStyle name="T_Ninh binh Flyover (1)_00. THDT_HOANG MAI" xfId="2488" xr:uid="{00000000-0005-0000-0000-0000DC090000}"/>
    <cellStyle name="T_NPP Khanh Vinh Thai Nguyen - BC KTTB_CTrinh_TB__20_loc__Milk_Yomilk_CK1" xfId="2489" xr:uid="{00000000-0005-0000-0000-0000DD090000}"/>
    <cellStyle name="T_Nhan su" xfId="2490" xr:uid="{00000000-0005-0000-0000-0000D9090000}"/>
    <cellStyle name="T_Nhan su_00. THDT_HOANG MAI" xfId="2491" xr:uid="{00000000-0005-0000-0000-0000DA090000}"/>
    <cellStyle name="T_PTDG" xfId="2492" xr:uid="{00000000-0005-0000-0000-0000E0090000}"/>
    <cellStyle name="T_Phu yen ban46" xfId="2493" xr:uid="{00000000-0005-0000-0000-0000DE090000}"/>
    <cellStyle name="T_Phu yen ban46_00. THDT_HOANG MAI" xfId="2494" xr:uid="{00000000-0005-0000-0000-0000DF090000}"/>
    <cellStyle name="T_Q4-2006 TK3" xfId="2495" xr:uid="{00000000-0005-0000-0000-0000E1090000}"/>
    <cellStyle name="T_Q4-2006 TK3_00. THDT_HOANG MAI" xfId="2496" xr:uid="{00000000-0005-0000-0000-0000E2090000}"/>
    <cellStyle name="T_QT_HT DCT_Z113-13_25-10-2007_Tuyen" xfId="2497" xr:uid="{00000000-0005-0000-0000-0000E3090000}"/>
    <cellStyle name="T_QT_HT DCT_Z113-13_25-10-2007_Tuyen_00. THDT_HOANG MAI" xfId="2498" xr:uid="{00000000-0005-0000-0000-0000E4090000}"/>
    <cellStyle name="T_QT_HT DCT_Z113-13_30-10-2007_Tuyen" xfId="2499" xr:uid="{00000000-0005-0000-0000-0000E5090000}"/>
    <cellStyle name="T_QT_HT DCT_Z113-13_30-10-2007_Tuyen_00. THDT_HOANG MAI" xfId="2500" xr:uid="{00000000-0005-0000-0000-0000E6090000}"/>
    <cellStyle name="T_QUY3- 2006 TK1" xfId="2501" xr:uid="{00000000-0005-0000-0000-0000E7090000}"/>
    <cellStyle name="T_QUY3- 2006 TK1_00. THDT_HOANG MAI" xfId="2502" xr:uid="{00000000-0005-0000-0000-0000E8090000}"/>
    <cellStyle name="T_Sheet1" xfId="2503" xr:uid="{00000000-0005-0000-0000-0000E9090000}"/>
    <cellStyle name="T_sua chua cham trung bay  mien Bac" xfId="2504" xr:uid="{00000000-0005-0000-0000-0000EA090000}"/>
    <cellStyle name="T_SuoiTon" xfId="2505" xr:uid="{00000000-0005-0000-0000-0000EB090000}"/>
    <cellStyle name="T_SuoiTon_00. THDT_HOANG MAI" xfId="2506" xr:uid="{00000000-0005-0000-0000-0000EC090000}"/>
    <cellStyle name="T_tien2004" xfId="2507" xr:uid="{00000000-0005-0000-0000-0000FC090000}"/>
    <cellStyle name="T_tien2004_Book1" xfId="2508" xr:uid="{00000000-0005-0000-0000-0000FD090000}"/>
    <cellStyle name="T_tien2004_Book1_00. THDT_HOANG MAI" xfId="2509" xr:uid="{00000000-0005-0000-0000-0000FE090000}"/>
    <cellStyle name="T_Tong muc dau tu" xfId="2510" xr:uid="{00000000-0005-0000-0000-0000FF090000}"/>
    <cellStyle name="T_Tong muc dau tu_00. THDT_HOANG MAI" xfId="2511" xr:uid="{00000000-0005-0000-0000-0000000A0000}"/>
    <cellStyle name="T_Tham_san duong, cay xanh" xfId="2512" xr:uid="{00000000-0005-0000-0000-0000ED090000}"/>
    <cellStyle name="T_Tham_san duong, cay xanh_00. THDT_HOANG MAI" xfId="2513" xr:uid="{00000000-0005-0000-0000-0000EE090000}"/>
    <cellStyle name="T_THKL" xfId="2514" xr:uid="{00000000-0005-0000-0000-0000EF090000}"/>
    <cellStyle name="T_THKL 1303" xfId="2515" xr:uid="{00000000-0005-0000-0000-0000F0090000}"/>
    <cellStyle name="T_THKL_Book1" xfId="2516" xr:uid="{00000000-0005-0000-0000-0000F1090000}"/>
    <cellStyle name="T_THKL_Book1_00. THDT_HOANG MAI" xfId="2517" xr:uid="{00000000-0005-0000-0000-0000F2090000}"/>
    <cellStyle name="T_THKLTL702" xfId="2518" xr:uid="{00000000-0005-0000-0000-0000F3090000}"/>
    <cellStyle name="T_THKLTL702_00. THDT_HOANG MAI" xfId="2519" xr:uid="{00000000-0005-0000-0000-0000F4090000}"/>
    <cellStyle name="T_THKLTL702_Book1" xfId="2520" xr:uid="{00000000-0005-0000-0000-0000F5090000}"/>
    <cellStyle name="T_Thong ke" xfId="2521" xr:uid="{00000000-0005-0000-0000-0000F6090000}"/>
    <cellStyle name="T_Thong ke cong" xfId="2522" xr:uid="{00000000-0005-0000-0000-0000F7090000}"/>
    <cellStyle name="T_Thong ke cong_00. THDT_HOANG MAI" xfId="2523" xr:uid="{00000000-0005-0000-0000-0000F8090000}"/>
    <cellStyle name="T_thong ke giao dan sinh" xfId="2524" xr:uid="{00000000-0005-0000-0000-0000F9090000}"/>
    <cellStyle name="T_thong ke giao dan sinh_00. THDT_HOANG MAI" xfId="2525" xr:uid="{00000000-0005-0000-0000-0000FA090000}"/>
    <cellStyle name="T_Thong ke_00. THDT_HOANG MAI" xfId="2526" xr:uid="{00000000-0005-0000-0000-0000FB090000}"/>
    <cellStyle name="T_Trung 1" xfId="2527" xr:uid="{00000000-0005-0000-0000-0000010A0000}"/>
    <cellStyle name="T_VCVL goi 6" xfId="2528" xr:uid="{00000000-0005-0000-0000-0000020A0000}"/>
    <cellStyle name="T_VCVL goi 6_00. THDT_HOANG MAI" xfId="2529" xr:uid="{00000000-0005-0000-0000-0000030A0000}"/>
    <cellStyle name="T_Worksheet in D: ... Hoan thien 5goi theo KL cu 28-06 4.Cong 5goi Coc 33-Km1+490.13 Cong coc 33-km1+490.13" xfId="2530" xr:uid="{00000000-0005-0000-0000-0000040A0000}"/>
    <cellStyle name="T_Worksheet in D: ... Hoan thien 5goi theo KL cu 28-06 4.Cong 5goi Coc 33-Km1+490.13 Cong coc 33-km1+490.13_00. THDT_HOANG MAI" xfId="2531" xr:uid="{00000000-0005-0000-0000-0000050A0000}"/>
    <cellStyle name="T_Worksheet in D: ... Hoan thien 5goi theo KL cu 28-06 4.Cong 5goi Coc 33-Km1+490.13 Cong coc 33-km1+490.13_Book1" xfId="2532" xr:uid="{00000000-0005-0000-0000-0000060A0000}"/>
    <cellStyle name="T_Xay dung du toan" xfId="2533" xr:uid="{00000000-0005-0000-0000-0000070A0000}"/>
    <cellStyle name="T_Xay dung du toan_00. THDT_HOANG MAI" xfId="2534" xr:uid="{00000000-0005-0000-0000-0000080A0000}"/>
    <cellStyle name="Tan" xfId="2535" xr:uid="{00000000-0005-0000-0000-0000090A0000}"/>
    <cellStyle name="td" xfId="2536" xr:uid="{00000000-0005-0000-0000-00000A0A0000}"/>
    <cellStyle name="tde" xfId="2537" xr:uid="{00000000-0005-0000-0000-00000B0A0000}"/>
    <cellStyle name="Text Indent A" xfId="2538" xr:uid="{00000000-0005-0000-0000-00000C0A0000}"/>
    <cellStyle name="Text Indent B" xfId="2539" xr:uid="{00000000-0005-0000-0000-00000D0A0000}"/>
    <cellStyle name="Text Indent C" xfId="2540" xr:uid="{00000000-0005-0000-0000-00000E0A0000}"/>
    <cellStyle name="Tiªu ®Ì" xfId="2541" xr:uid="{00000000-0005-0000-0000-00001B0A0000}"/>
    <cellStyle name="Tieu_de_1" xfId="2542" xr:uid="{00000000-0005-0000-0000-00001C0A0000}"/>
    <cellStyle name="Times New Roman" xfId="2543" xr:uid="{00000000-0005-0000-0000-00001D0A0000}"/>
    <cellStyle name="TiÓu môc" xfId="2544" xr:uid="{00000000-0005-0000-0000-00001E0A0000}"/>
    <cellStyle name="tit1" xfId="2545" xr:uid="{00000000-0005-0000-0000-00001F0A0000}"/>
    <cellStyle name="tit2" xfId="2546" xr:uid="{00000000-0005-0000-0000-0000200A0000}"/>
    <cellStyle name="tit3" xfId="2547" xr:uid="{00000000-0005-0000-0000-0000210A0000}"/>
    <cellStyle name="tit4" xfId="2548" xr:uid="{00000000-0005-0000-0000-0000220A0000}"/>
    <cellStyle name="Title 2" xfId="2549" xr:uid="{00000000-0005-0000-0000-0000230A0000}"/>
    <cellStyle name="Tongcong" xfId="2550" xr:uid="{00000000-0005-0000-0000-0000240A0000}"/>
    <cellStyle name="Total 2" xfId="2551" xr:uid="{00000000-0005-0000-0000-0000250A0000}"/>
    <cellStyle name="TS" xfId="2552" xr:uid="{00000000-0005-0000-0000-0000260A0000}"/>
    <cellStyle name="Tusental (0)_pldt" xfId="2553" xr:uid="{00000000-0005-0000-0000-0000270A0000}"/>
    <cellStyle name="Tusental_pldt" xfId="2554" xr:uid="{00000000-0005-0000-0000-0000280A0000}"/>
    <cellStyle name="th" xfId="2555" xr:uid="{00000000-0005-0000-0000-00000F0A0000}"/>
    <cellStyle name="th 2" xfId="2556" xr:uid="{00000000-0005-0000-0000-0000100A0000}"/>
    <cellStyle name="Thanh" xfId="2557" xr:uid="{00000000-0005-0000-0000-0000110A0000}"/>
    <cellStyle name="þ_x001d_ð¤_x000c_¯þ_x0014__x000d_¨þU_x0001_À_x0004_ _x0015__x000f__x0001__x0001_" xfId="2558" xr:uid="{00000000-0005-0000-0000-0000120A0000}"/>
    <cellStyle name="þ_x001d_ð¤_x000c_¯þ_x0014__x000d_¨þU_x0001_À_x0004_ _x0015__x000f__x0001__x0001_ 2" xfId="2559" xr:uid="{00000000-0005-0000-0000-0000130A0000}"/>
    <cellStyle name="þ_x001d_ð·_x000c_æþ'_x000d_ßþU_x0001_Ø_x0005_ü_x0014__x0007__x0001__x0001_" xfId="2560" xr:uid="{00000000-0005-0000-0000-0000140A0000}"/>
    <cellStyle name="þ_x001d_ðÇ%Uý—&amp;Hý9_x0008_Ÿ_x0009_s_x000a__x0007__x0001__x0001_" xfId="2561" xr:uid="{00000000-0005-0000-0000-0000150A0000}"/>
    <cellStyle name="þ_x001d_ðÇ%Uý—&amp;Hý9_x0008_Ÿ_x0009_s_x000a__x0007__x0001__x0001_ 2" xfId="2562" xr:uid="{00000000-0005-0000-0000-0000160A0000}"/>
    <cellStyle name="þ_x001d_ðK_x000c_Fý_x001b__x000d_9ýU_x0001_Ð_x0008_¦)_x0007__x0001__x0001_" xfId="2563" xr:uid="{00000000-0005-0000-0000-0000170A0000}"/>
    <cellStyle name="thuong-10" xfId="2564" xr:uid="{00000000-0005-0000-0000-0000180A0000}"/>
    <cellStyle name="thuong-11" xfId="2565" xr:uid="{00000000-0005-0000-0000-0000190A0000}"/>
    <cellStyle name="Thuyet minh" xfId="2566" xr:uid="{00000000-0005-0000-0000-00001A0A0000}"/>
    <cellStyle name="u" xfId="2567" xr:uid="{00000000-0005-0000-0000-0000290A0000}"/>
    <cellStyle name="Uormal_Q2-Q3 SG&amp;A Bridge" xfId="2568" xr:uid="{00000000-0005-0000-0000-00002A0A0000}"/>
    <cellStyle name="Valuta (0)_CALPREZZ" xfId="2569" xr:uid="{00000000-0005-0000-0000-00002B0A0000}"/>
    <cellStyle name="Valuta_ PESO ELETTR." xfId="2570" xr:uid="{00000000-0005-0000-0000-00002C0A0000}"/>
    <cellStyle name="VANG1" xfId="2571" xr:uid="{00000000-0005-0000-0000-00002D0A0000}"/>
    <cellStyle name="Vidu1" xfId="2572" xr:uid="{00000000-0005-0000-0000-00002E0A0000}"/>
    <cellStyle name="viet" xfId="2573" xr:uid="{00000000-0005-0000-0000-00002F0A0000}"/>
    <cellStyle name="viet 2" xfId="2574" xr:uid="{00000000-0005-0000-0000-0000300A0000}"/>
    <cellStyle name="viet2" xfId="2575" xr:uid="{00000000-0005-0000-0000-0000310A0000}"/>
    <cellStyle name="viet2 2" xfId="2576" xr:uid="{00000000-0005-0000-0000-0000320A0000}"/>
    <cellStyle name="VLB-GTKÕ" xfId="2577" xr:uid="{00000000-0005-0000-0000-0000330A0000}"/>
    <cellStyle name="VN new romanNormal" xfId="2578" xr:uid="{00000000-0005-0000-0000-0000340A0000}"/>
    <cellStyle name="vn time 10" xfId="2579" xr:uid="{00000000-0005-0000-0000-0000350A0000}"/>
    <cellStyle name="Vn Time 13" xfId="2580" xr:uid="{00000000-0005-0000-0000-0000360A0000}"/>
    <cellStyle name="Vn Time 14" xfId="2581" xr:uid="{00000000-0005-0000-0000-0000370A0000}"/>
    <cellStyle name="VN time new roman" xfId="2582" xr:uid="{00000000-0005-0000-0000-0000380A0000}"/>
    <cellStyle name="vn_time" xfId="2583" xr:uid="{00000000-0005-0000-0000-0000390A0000}"/>
    <cellStyle name="vnbo" xfId="2584" xr:uid="{00000000-0005-0000-0000-00003A0A0000}"/>
    <cellStyle name="vntxt1" xfId="2585" xr:uid="{00000000-0005-0000-0000-0000400A0000}"/>
    <cellStyle name="vntxt1 2" xfId="2586" xr:uid="{00000000-0005-0000-0000-0000410A0000}"/>
    <cellStyle name="vntxt2" xfId="2587" xr:uid="{00000000-0005-0000-0000-0000420A0000}"/>
    <cellStyle name="vnhead1" xfId="2588" xr:uid="{00000000-0005-0000-0000-00003B0A0000}"/>
    <cellStyle name="vnhead2" xfId="2589" xr:uid="{00000000-0005-0000-0000-00003C0A0000}"/>
    <cellStyle name="vnhead3" xfId="2590" xr:uid="{00000000-0005-0000-0000-00003D0A0000}"/>
    <cellStyle name="vnhead3 2" xfId="2591" xr:uid="{00000000-0005-0000-0000-00003E0A0000}"/>
    <cellStyle name="vnhead4" xfId="2592" xr:uid="{00000000-0005-0000-0000-00003F0A0000}"/>
    <cellStyle name="W?hrung [0]_35ERI8T2gbIEMixb4v26icuOo" xfId="2593" xr:uid="{00000000-0005-0000-0000-0000430A0000}"/>
    <cellStyle name="W?hrung_35ERI8T2gbIEMixb4v26icuOo" xfId="2594" xr:uid="{00000000-0005-0000-0000-0000440A0000}"/>
    <cellStyle name="W18orma蒨ðma5" xfId="2595" xr:uid="{00000000-0005-0000-0000-0000450A0000}"/>
    <cellStyle name="Währung [0]_01379-KDF" xfId="2596" xr:uid="{00000000-0005-0000-0000-0000460A0000}"/>
    <cellStyle name="Währung_01379-KDF" xfId="2597" xr:uid="{00000000-0005-0000-0000-0000470A0000}"/>
    <cellStyle name="Walutowy [0]_Invoices2001Slovakia" xfId="2598" xr:uid="{00000000-0005-0000-0000-0000480A0000}"/>
    <cellStyle name="Walutowy_Invoices2001Slovakia" xfId="2599" xr:uid="{00000000-0005-0000-0000-0000490A0000}"/>
    <cellStyle name="Warning Text 2" xfId="2600" xr:uid="{00000000-0005-0000-0000-00004A0A0000}"/>
    <cellStyle name="wrap" xfId="2601" xr:uid="{00000000-0005-0000-0000-00004B0A0000}"/>
    <cellStyle name="Wไhrung [0]_35ERI8T2gbIEMixb4v26icuOo" xfId="2602" xr:uid="{00000000-0005-0000-0000-00004C0A0000}"/>
    <cellStyle name="Wไhrung_35ERI8T2gbIEMixb4v26icuOo" xfId="2603" xr:uid="{00000000-0005-0000-0000-00004D0A0000}"/>
    <cellStyle name="x" xfId="2604" xr:uid="{00000000-0005-0000-0000-00004E0A0000}"/>
    <cellStyle name="X_ha" xfId="2605" xr:uid="{00000000-0005-0000-0000-00004F0A0000}"/>
    <cellStyle name="xan1" xfId="2606" xr:uid="{00000000-0005-0000-0000-0000500A0000}"/>
    <cellStyle name="xuan" xfId="2607" xr:uid="{00000000-0005-0000-0000-0000510A0000}"/>
    <cellStyle name="เครื่องหมายสกุลเงิน [0]_FTC_OFFER" xfId="2608" xr:uid="{00000000-0005-0000-0000-0000520A0000}"/>
    <cellStyle name="เครื่องหมายสกุลเงิน_FTC_OFFER" xfId="2609" xr:uid="{00000000-0005-0000-0000-0000530A0000}"/>
    <cellStyle name="ปกติ_FTC_OFFER" xfId="2610" xr:uid="{00000000-0005-0000-0000-0000540A0000}"/>
    <cellStyle name=" [0.00]_ Att. 1- Cover" xfId="2611" xr:uid="{00000000-0005-0000-0000-0000550A0000}"/>
    <cellStyle name="_ Att. 1- Cover" xfId="2612" xr:uid="{00000000-0005-0000-0000-0000560A0000}"/>
    <cellStyle name="?_ Att. 1- Cover" xfId="2613" xr:uid="{00000000-0005-0000-0000-0000570A0000}"/>
    <cellStyle name="똿뗦먛귟 [0.00]_PRODUCT DETAIL Q1" xfId="2614" xr:uid="{00000000-0005-0000-0000-0000580A0000}"/>
    <cellStyle name="똿뗦먛귟_PRODUCT DETAIL Q1" xfId="2615" xr:uid="{00000000-0005-0000-0000-0000590A0000}"/>
    <cellStyle name="믅됞 [0.00]_PRODUCT DETAIL Q1" xfId="2616" xr:uid="{00000000-0005-0000-0000-00005A0A0000}"/>
    <cellStyle name="믅됞_PRODUCT DETAIL Q1" xfId="2617" xr:uid="{00000000-0005-0000-0000-00005B0A0000}"/>
    <cellStyle name="백분율_††††† " xfId="2618" xr:uid="{00000000-0005-0000-0000-00005C0A0000}"/>
    <cellStyle name="뷭?[BOOKSHIP" xfId="2619" xr:uid="{00000000-0005-0000-0000-00005D0A0000}"/>
    <cellStyle name="뷭?_BOOKSHIP" xfId="2620" xr:uid="{00000000-0005-0000-0000-00005E0A0000}"/>
    <cellStyle name="안건회계법인" xfId="2621" xr:uid="{00000000-0005-0000-0000-00005F0A0000}"/>
    <cellStyle name="콤맀_Sheet1_총괄표 (수출입) (2)" xfId="2622" xr:uid="{00000000-0005-0000-0000-0000600A0000}"/>
    <cellStyle name="콤마 [ - 유형1" xfId="2623" xr:uid="{00000000-0005-0000-0000-0000610A0000}"/>
    <cellStyle name="콤마 [ - 유형2" xfId="2624" xr:uid="{00000000-0005-0000-0000-0000620A0000}"/>
    <cellStyle name="콤마 [ - 유형3" xfId="2625" xr:uid="{00000000-0005-0000-0000-0000630A0000}"/>
    <cellStyle name="콤마 [ - 유형4" xfId="2626" xr:uid="{00000000-0005-0000-0000-0000640A0000}"/>
    <cellStyle name="콤마 [ - 유형5" xfId="2627" xr:uid="{00000000-0005-0000-0000-0000650A0000}"/>
    <cellStyle name="콤마 [ - 유형6" xfId="2628" xr:uid="{00000000-0005-0000-0000-0000660A0000}"/>
    <cellStyle name="콤마 [ - 유형7" xfId="2629" xr:uid="{00000000-0005-0000-0000-0000670A0000}"/>
    <cellStyle name="콤마 [ - 유형8" xfId="2630" xr:uid="{00000000-0005-0000-0000-0000680A0000}"/>
    <cellStyle name="콤마 [0]_ 비목별 월별기술 " xfId="2631" xr:uid="{00000000-0005-0000-0000-0000690A0000}"/>
    <cellStyle name="콤마_ 비목별 월별기술 " xfId="2632" xr:uid="{00000000-0005-0000-0000-00006A0A0000}"/>
    <cellStyle name="통화 [0]_††††† " xfId="2633" xr:uid="{00000000-0005-0000-0000-00006B0A0000}"/>
    <cellStyle name="통화_††††† " xfId="2634" xr:uid="{00000000-0005-0000-0000-00006C0A0000}"/>
    <cellStyle name="표섀_변경(최종)" xfId="2635" xr:uid="{00000000-0005-0000-0000-00006D0A0000}"/>
    <cellStyle name="표준_ 97년 경영분석(안)" xfId="2636" xr:uid="{00000000-0005-0000-0000-00006E0A0000}"/>
    <cellStyle name="一般_00Q3902REV.1" xfId="2637" xr:uid="{00000000-0005-0000-0000-00006F0A0000}"/>
    <cellStyle name="下点線" xfId="2638" xr:uid="{00000000-0005-0000-0000-0000700A0000}"/>
    <cellStyle name="千分位[0]_00Q3902REV.1" xfId="2639" xr:uid="{00000000-0005-0000-0000-0000710A0000}"/>
    <cellStyle name="千分位_00Q3902REV.1" xfId="2640" xr:uid="{00000000-0005-0000-0000-0000720A0000}"/>
    <cellStyle name="桁区切り [0.00]_１１月価格表" xfId="2641" xr:uid="{00000000-0005-0000-0000-0000730A0000}"/>
    <cellStyle name="桁区切り_08-00 NET Summary" xfId="2642" xr:uid="{00000000-0005-0000-0000-0000740A0000}"/>
    <cellStyle name="標準_(A1)BOQ " xfId="2643" xr:uid="{00000000-0005-0000-0000-0000750A0000}"/>
    <cellStyle name="貨幣 [0]_00Q3902REV.1" xfId="2644" xr:uid="{00000000-0005-0000-0000-0000760A0000}"/>
    <cellStyle name="貨幣[0]_BRE" xfId="2645" xr:uid="{00000000-0005-0000-0000-0000770A0000}"/>
    <cellStyle name="貨幣_00Q3902REV.1" xfId="2646" xr:uid="{00000000-0005-0000-0000-0000780A0000}"/>
    <cellStyle name="通貨 [0.00]_１１月価格表" xfId="2647" xr:uid="{00000000-0005-0000-0000-0000790A0000}"/>
    <cellStyle name="通貨_１１月価格表" xfId="2648" xr:uid="{00000000-0005-0000-0000-00007A0A0000}"/>
    <cellStyle name="非表示" xfId="2649" xr:uid="{00000000-0005-0000-0000-00007B0A0000}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4" dropStyle="combo" dx="26" fmlaLink="$G$10" fmlaRange="$H$8:$H$11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505097</xdr:colOff>
      <xdr:row>0</xdr:row>
      <xdr:rowOff>0</xdr:rowOff>
    </xdr:from>
    <xdr:to>
      <xdr:col>7</xdr:col>
      <xdr:colOff>472347</xdr:colOff>
      <xdr:row>19</xdr:row>
      <xdr:rowOff>125280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B571B4-A4BA-E9A7-F292-A1859B8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6777" y="0"/>
          <a:ext cx="2649490" cy="3765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328581</xdr:colOff>
      <xdr:row>0</xdr:row>
      <xdr:rowOff>0</xdr:rowOff>
    </xdr:from>
    <xdr:to>
      <xdr:col>11</xdr:col>
      <xdr:colOff>199291</xdr:colOff>
      <xdr:row>19</xdr:row>
      <xdr:rowOff>125280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E490E4-D810-D73F-3650-36D347CC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2501" y="0"/>
          <a:ext cx="2552950" cy="3765463"/>
        </a:xfrm>
        <a:prstGeom prst="rect">
          <a:avLst/>
        </a:prstGeom>
      </xdr:spPr>
    </xdr:pic>
    <xdr:clientData/>
  </xdr:twoCellAnchor>
  <xdr:twoCellAnchor>
    <xdr:from>
      <xdr:col>4</xdr:col>
      <xdr:colOff>58616</xdr:colOff>
      <xdr:row>13</xdr:row>
      <xdr:rowOff>134983</xdr:rowOff>
    </xdr:from>
    <xdr:to>
      <xdr:col>7</xdr:col>
      <xdr:colOff>330926</xdr:colOff>
      <xdr:row>14</xdr:row>
      <xdr:rowOff>171098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2F166F5-3E66-48D3-9EC9-4AED2080D57C}"/>
            </a:ext>
          </a:extLst>
        </xdr:cNvPr>
        <xdr:cNvSpPr/>
      </xdr:nvSpPr>
      <xdr:spPr>
        <a:xfrm>
          <a:off x="2740856" y="2625634"/>
          <a:ext cx="2283990" cy="227704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503357</xdr:colOff>
      <xdr:row>18</xdr:row>
      <xdr:rowOff>141183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4982197-A5AA-82C3-86BA-B395A5FB4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1061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183753</xdr:colOff>
      <xdr:row>13</xdr:row>
      <xdr:rowOff>161612</xdr:rowOff>
    </xdr:from>
    <xdr:to>
      <xdr:col>3</xdr:col>
      <xdr:colOff>456063</xdr:colOff>
      <xdr:row>17</xdr:row>
      <xdr:rowOff>3718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C0B553D-8B81-49C2-A123-9550D36039EA}"/>
            </a:ext>
          </a:extLst>
        </xdr:cNvPr>
        <xdr:cNvSpPr/>
      </xdr:nvSpPr>
      <xdr:spPr>
        <a:xfrm>
          <a:off x="183753" y="2626032"/>
          <a:ext cx="2279530" cy="600388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235226</xdr:colOff>
      <xdr:row>0</xdr:row>
      <xdr:rowOff>139148</xdr:rowOff>
    </xdr:from>
    <xdr:to>
      <xdr:col>16</xdr:col>
      <xdr:colOff>36337</xdr:colOff>
      <xdr:row>15</xdr:row>
      <xdr:rowOff>80017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ABAD93A-A3D7-A85F-5CB6-CB6C0197A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96809" y="139148"/>
          <a:ext cx="3147285" cy="282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487680</xdr:colOff>
          <xdr:row>9</xdr:row>
          <xdr:rowOff>60960</xdr:rowOff>
        </xdr:from>
        <xdr:to>
          <xdr:col>11</xdr:col>
          <xdr:colOff>213360</xdr:colOff>
          <xdr:row>10</xdr:row>
          <xdr:rowOff>60960</xdr:rowOff>
        </xdr:to>
        <xdr:sp macro="" textlink="">
          <xdr:nvSpPr>
            <xdr:cNvPr id="109569" name="Drop Dow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m 2" connectionId="1" xr16:uid="{B42637C4-79F5-413D-A12E-01CA35CA47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AF839550-72CB-4064-A9B4-03EFD22937C5}">
  <we:reference id="wa200005271" version="2.0.0.0" store="vi-VN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533C8D2-189F-4B9B-92FB-5457E02F6100}">
  <we:reference id="wa104381504" version="1.0.0.0" store="vi-VN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1E7B155-1260-4A7E-9264-7B9857E84693}">
  <we:reference id="wa200005502" version="1.0.0.7" store="vi-VN" storeType="OMEX"/>
  <we:alternateReferences>
    <we:reference id="wa200005502" version="1.0.0.7" store="wa200005502" storeType="OMEX"/>
  </we:alternateReferences>
  <we:properties>
    <we:property name="docId" value="&quot;6825b86d-ba40-41bb-b249-a27d84494a5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9574-5AB9-475A-BE3B-9B40F36E1551}">
  <sheetPr codeName="Sheet1">
    <tabColor rgb="FFFF0000"/>
  </sheetPr>
  <dimension ref="A1:AE47"/>
  <sheetViews>
    <sheetView view="pageBreakPreview" topLeftCell="C1" zoomScale="70" zoomScaleNormal="102" zoomScaleSheetLayoutView="70" workbookViewId="0">
      <pane ySplit="8" topLeftCell="A9" activePane="bottomLeft" state="frozen"/>
      <selection pane="bottomLeft" activeCell="C2" sqref="C2:Q2"/>
    </sheetView>
  </sheetViews>
  <sheetFormatPr defaultColWidth="8.19921875" defaultRowHeight="13.8"/>
  <cols>
    <col min="1" max="2" width="0" style="709" hidden="1" customWidth="1"/>
    <col min="3" max="3" width="4.3984375" style="723" bestFit="1" customWidth="1"/>
    <col min="4" max="4" width="8.09765625" style="723" customWidth="1"/>
    <col min="5" max="5" width="12.69921875" style="709" customWidth="1"/>
    <col min="6" max="6" width="7.296875" style="724" customWidth="1"/>
    <col min="7" max="7" width="7.8984375" style="709" customWidth="1"/>
    <col min="8" max="8" width="7.8984375" style="720" customWidth="1"/>
    <col min="9" max="9" width="9.19921875" style="720" customWidth="1"/>
    <col min="10" max="11" width="7.8984375" style="720" customWidth="1"/>
    <col min="12" max="12" width="9.5" style="720" customWidth="1"/>
    <col min="13" max="14" width="13.09765625" style="709" bestFit="1" customWidth="1"/>
    <col min="15" max="15" width="14.296875" style="709" bestFit="1" customWidth="1"/>
    <col min="16" max="16" width="13.5" style="709" bestFit="1" customWidth="1"/>
    <col min="17" max="19" width="7.796875" style="720" customWidth="1"/>
    <col min="20" max="20" width="10.5" style="709" bestFit="1" customWidth="1"/>
    <col min="21" max="23" width="8.19921875" style="709"/>
    <col min="24" max="24" width="14.8984375" style="709" customWidth="1"/>
    <col min="25" max="25" width="9.59765625" style="709" customWidth="1"/>
    <col min="26" max="261" width="8.19921875" style="709"/>
    <col min="262" max="262" width="8.09765625" style="709" customWidth="1"/>
    <col min="263" max="263" width="12.69921875" style="709" customWidth="1"/>
    <col min="264" max="264" width="7.296875" style="709" customWidth="1"/>
    <col min="265" max="265" width="9.296875" style="709" customWidth="1"/>
    <col min="266" max="267" width="9" style="709" customWidth="1"/>
    <col min="268" max="268" width="8" style="709" bestFit="1" customWidth="1"/>
    <col min="269" max="269" width="8.3984375" style="709" bestFit="1" customWidth="1"/>
    <col min="270" max="270" width="8.3984375" style="709" customWidth="1"/>
    <col min="271" max="271" width="14.59765625" style="709" customWidth="1"/>
    <col min="272" max="272" width="14" style="709" customWidth="1"/>
    <col min="273" max="275" width="7.796875" style="709" customWidth="1"/>
    <col min="276" max="276" width="10.5" style="709" bestFit="1" customWidth="1"/>
    <col min="277" max="279" width="8.19921875" style="709"/>
    <col min="280" max="280" width="14.8984375" style="709" customWidth="1"/>
    <col min="281" max="281" width="9.59765625" style="709" customWidth="1"/>
    <col min="282" max="517" width="8.19921875" style="709"/>
    <col min="518" max="518" width="8.09765625" style="709" customWidth="1"/>
    <col min="519" max="519" width="12.69921875" style="709" customWidth="1"/>
    <col min="520" max="520" width="7.296875" style="709" customWidth="1"/>
    <col min="521" max="521" width="9.296875" style="709" customWidth="1"/>
    <col min="522" max="523" width="9" style="709" customWidth="1"/>
    <col min="524" max="524" width="8" style="709" bestFit="1" customWidth="1"/>
    <col min="525" max="525" width="8.3984375" style="709" bestFit="1" customWidth="1"/>
    <col min="526" max="526" width="8.3984375" style="709" customWidth="1"/>
    <col min="527" max="527" width="14.59765625" style="709" customWidth="1"/>
    <col min="528" max="528" width="14" style="709" customWidth="1"/>
    <col min="529" max="531" width="7.796875" style="709" customWidth="1"/>
    <col min="532" max="532" width="10.5" style="709" bestFit="1" customWidth="1"/>
    <col min="533" max="535" width="8.19921875" style="709"/>
    <col min="536" max="536" width="14.8984375" style="709" customWidth="1"/>
    <col min="537" max="537" width="9.59765625" style="709" customWidth="1"/>
    <col min="538" max="773" width="8.19921875" style="709"/>
    <col min="774" max="774" width="8.09765625" style="709" customWidth="1"/>
    <col min="775" max="775" width="12.69921875" style="709" customWidth="1"/>
    <col min="776" max="776" width="7.296875" style="709" customWidth="1"/>
    <col min="777" max="777" width="9.296875" style="709" customWidth="1"/>
    <col min="778" max="779" width="9" style="709" customWidth="1"/>
    <col min="780" max="780" width="8" style="709" bestFit="1" customWidth="1"/>
    <col min="781" max="781" width="8.3984375" style="709" bestFit="1" customWidth="1"/>
    <col min="782" max="782" width="8.3984375" style="709" customWidth="1"/>
    <col min="783" max="783" width="14.59765625" style="709" customWidth="1"/>
    <col min="784" max="784" width="14" style="709" customWidth="1"/>
    <col min="785" max="787" width="7.796875" style="709" customWidth="1"/>
    <col min="788" max="788" width="10.5" style="709" bestFit="1" customWidth="1"/>
    <col min="789" max="791" width="8.19921875" style="709"/>
    <col min="792" max="792" width="14.8984375" style="709" customWidth="1"/>
    <col min="793" max="793" width="9.59765625" style="709" customWidth="1"/>
    <col min="794" max="1029" width="8.19921875" style="709"/>
    <col min="1030" max="1030" width="8.09765625" style="709" customWidth="1"/>
    <col min="1031" max="1031" width="12.69921875" style="709" customWidth="1"/>
    <col min="1032" max="1032" width="7.296875" style="709" customWidth="1"/>
    <col min="1033" max="1033" width="9.296875" style="709" customWidth="1"/>
    <col min="1034" max="1035" width="9" style="709" customWidth="1"/>
    <col min="1036" max="1036" width="8" style="709" bestFit="1" customWidth="1"/>
    <col min="1037" max="1037" width="8.3984375" style="709" bestFit="1" customWidth="1"/>
    <col min="1038" max="1038" width="8.3984375" style="709" customWidth="1"/>
    <col min="1039" max="1039" width="14.59765625" style="709" customWidth="1"/>
    <col min="1040" max="1040" width="14" style="709" customWidth="1"/>
    <col min="1041" max="1043" width="7.796875" style="709" customWidth="1"/>
    <col min="1044" max="1044" width="10.5" style="709" bestFit="1" customWidth="1"/>
    <col min="1045" max="1047" width="8.19921875" style="709"/>
    <col min="1048" max="1048" width="14.8984375" style="709" customWidth="1"/>
    <col min="1049" max="1049" width="9.59765625" style="709" customWidth="1"/>
    <col min="1050" max="1285" width="8.19921875" style="709"/>
    <col min="1286" max="1286" width="8.09765625" style="709" customWidth="1"/>
    <col min="1287" max="1287" width="12.69921875" style="709" customWidth="1"/>
    <col min="1288" max="1288" width="7.296875" style="709" customWidth="1"/>
    <col min="1289" max="1289" width="9.296875" style="709" customWidth="1"/>
    <col min="1290" max="1291" width="9" style="709" customWidth="1"/>
    <col min="1292" max="1292" width="8" style="709" bestFit="1" customWidth="1"/>
    <col min="1293" max="1293" width="8.3984375" style="709" bestFit="1" customWidth="1"/>
    <col min="1294" max="1294" width="8.3984375" style="709" customWidth="1"/>
    <col min="1295" max="1295" width="14.59765625" style="709" customWidth="1"/>
    <col min="1296" max="1296" width="14" style="709" customWidth="1"/>
    <col min="1297" max="1299" width="7.796875" style="709" customWidth="1"/>
    <col min="1300" max="1300" width="10.5" style="709" bestFit="1" customWidth="1"/>
    <col min="1301" max="1303" width="8.19921875" style="709"/>
    <col min="1304" max="1304" width="14.8984375" style="709" customWidth="1"/>
    <col min="1305" max="1305" width="9.59765625" style="709" customWidth="1"/>
    <col min="1306" max="1541" width="8.19921875" style="709"/>
    <col min="1542" max="1542" width="8.09765625" style="709" customWidth="1"/>
    <col min="1543" max="1543" width="12.69921875" style="709" customWidth="1"/>
    <col min="1544" max="1544" width="7.296875" style="709" customWidth="1"/>
    <col min="1545" max="1545" width="9.296875" style="709" customWidth="1"/>
    <col min="1546" max="1547" width="9" style="709" customWidth="1"/>
    <col min="1548" max="1548" width="8" style="709" bestFit="1" customWidth="1"/>
    <col min="1549" max="1549" width="8.3984375" style="709" bestFit="1" customWidth="1"/>
    <col min="1550" max="1550" width="8.3984375" style="709" customWidth="1"/>
    <col min="1551" max="1551" width="14.59765625" style="709" customWidth="1"/>
    <col min="1552" max="1552" width="14" style="709" customWidth="1"/>
    <col min="1553" max="1555" width="7.796875" style="709" customWidth="1"/>
    <col min="1556" max="1556" width="10.5" style="709" bestFit="1" customWidth="1"/>
    <col min="1557" max="1559" width="8.19921875" style="709"/>
    <col min="1560" max="1560" width="14.8984375" style="709" customWidth="1"/>
    <col min="1561" max="1561" width="9.59765625" style="709" customWidth="1"/>
    <col min="1562" max="1797" width="8.19921875" style="709"/>
    <col min="1798" max="1798" width="8.09765625" style="709" customWidth="1"/>
    <col min="1799" max="1799" width="12.69921875" style="709" customWidth="1"/>
    <col min="1800" max="1800" width="7.296875" style="709" customWidth="1"/>
    <col min="1801" max="1801" width="9.296875" style="709" customWidth="1"/>
    <col min="1802" max="1803" width="9" style="709" customWidth="1"/>
    <col min="1804" max="1804" width="8" style="709" bestFit="1" customWidth="1"/>
    <col min="1805" max="1805" width="8.3984375" style="709" bestFit="1" customWidth="1"/>
    <col min="1806" max="1806" width="8.3984375" style="709" customWidth="1"/>
    <col min="1807" max="1807" width="14.59765625" style="709" customWidth="1"/>
    <col min="1808" max="1808" width="14" style="709" customWidth="1"/>
    <col min="1809" max="1811" width="7.796875" style="709" customWidth="1"/>
    <col min="1812" max="1812" width="10.5" style="709" bestFit="1" customWidth="1"/>
    <col min="1813" max="1815" width="8.19921875" style="709"/>
    <col min="1816" max="1816" width="14.8984375" style="709" customWidth="1"/>
    <col min="1817" max="1817" width="9.59765625" style="709" customWidth="1"/>
    <col min="1818" max="2053" width="8.19921875" style="709"/>
    <col min="2054" max="2054" width="8.09765625" style="709" customWidth="1"/>
    <col min="2055" max="2055" width="12.69921875" style="709" customWidth="1"/>
    <col min="2056" max="2056" width="7.296875" style="709" customWidth="1"/>
    <col min="2057" max="2057" width="9.296875" style="709" customWidth="1"/>
    <col min="2058" max="2059" width="9" style="709" customWidth="1"/>
    <col min="2060" max="2060" width="8" style="709" bestFit="1" customWidth="1"/>
    <col min="2061" max="2061" width="8.3984375" style="709" bestFit="1" customWidth="1"/>
    <col min="2062" max="2062" width="8.3984375" style="709" customWidth="1"/>
    <col min="2063" max="2063" width="14.59765625" style="709" customWidth="1"/>
    <col min="2064" max="2064" width="14" style="709" customWidth="1"/>
    <col min="2065" max="2067" width="7.796875" style="709" customWidth="1"/>
    <col min="2068" max="2068" width="10.5" style="709" bestFit="1" customWidth="1"/>
    <col min="2069" max="2071" width="8.19921875" style="709"/>
    <col min="2072" max="2072" width="14.8984375" style="709" customWidth="1"/>
    <col min="2073" max="2073" width="9.59765625" style="709" customWidth="1"/>
    <col min="2074" max="2309" width="8.19921875" style="709"/>
    <col min="2310" max="2310" width="8.09765625" style="709" customWidth="1"/>
    <col min="2311" max="2311" width="12.69921875" style="709" customWidth="1"/>
    <col min="2312" max="2312" width="7.296875" style="709" customWidth="1"/>
    <col min="2313" max="2313" width="9.296875" style="709" customWidth="1"/>
    <col min="2314" max="2315" width="9" style="709" customWidth="1"/>
    <col min="2316" max="2316" width="8" style="709" bestFit="1" customWidth="1"/>
    <col min="2317" max="2317" width="8.3984375" style="709" bestFit="1" customWidth="1"/>
    <col min="2318" max="2318" width="8.3984375" style="709" customWidth="1"/>
    <col min="2319" max="2319" width="14.59765625" style="709" customWidth="1"/>
    <col min="2320" max="2320" width="14" style="709" customWidth="1"/>
    <col min="2321" max="2323" width="7.796875" style="709" customWidth="1"/>
    <col min="2324" max="2324" width="10.5" style="709" bestFit="1" customWidth="1"/>
    <col min="2325" max="2327" width="8.19921875" style="709"/>
    <col min="2328" max="2328" width="14.8984375" style="709" customWidth="1"/>
    <col min="2329" max="2329" width="9.59765625" style="709" customWidth="1"/>
    <col min="2330" max="2565" width="8.19921875" style="709"/>
    <col min="2566" max="2566" width="8.09765625" style="709" customWidth="1"/>
    <col min="2567" max="2567" width="12.69921875" style="709" customWidth="1"/>
    <col min="2568" max="2568" width="7.296875" style="709" customWidth="1"/>
    <col min="2569" max="2569" width="9.296875" style="709" customWidth="1"/>
    <col min="2570" max="2571" width="9" style="709" customWidth="1"/>
    <col min="2572" max="2572" width="8" style="709" bestFit="1" customWidth="1"/>
    <col min="2573" max="2573" width="8.3984375" style="709" bestFit="1" customWidth="1"/>
    <col min="2574" max="2574" width="8.3984375" style="709" customWidth="1"/>
    <col min="2575" max="2575" width="14.59765625" style="709" customWidth="1"/>
    <col min="2576" max="2576" width="14" style="709" customWidth="1"/>
    <col min="2577" max="2579" width="7.796875" style="709" customWidth="1"/>
    <col min="2580" max="2580" width="10.5" style="709" bestFit="1" customWidth="1"/>
    <col min="2581" max="2583" width="8.19921875" style="709"/>
    <col min="2584" max="2584" width="14.8984375" style="709" customWidth="1"/>
    <col min="2585" max="2585" width="9.59765625" style="709" customWidth="1"/>
    <col min="2586" max="2821" width="8.19921875" style="709"/>
    <col min="2822" max="2822" width="8.09765625" style="709" customWidth="1"/>
    <col min="2823" max="2823" width="12.69921875" style="709" customWidth="1"/>
    <col min="2824" max="2824" width="7.296875" style="709" customWidth="1"/>
    <col min="2825" max="2825" width="9.296875" style="709" customWidth="1"/>
    <col min="2826" max="2827" width="9" style="709" customWidth="1"/>
    <col min="2828" max="2828" width="8" style="709" bestFit="1" customWidth="1"/>
    <col min="2829" max="2829" width="8.3984375" style="709" bestFit="1" customWidth="1"/>
    <col min="2830" max="2830" width="8.3984375" style="709" customWidth="1"/>
    <col min="2831" max="2831" width="14.59765625" style="709" customWidth="1"/>
    <col min="2832" max="2832" width="14" style="709" customWidth="1"/>
    <col min="2833" max="2835" width="7.796875" style="709" customWidth="1"/>
    <col min="2836" max="2836" width="10.5" style="709" bestFit="1" customWidth="1"/>
    <col min="2837" max="2839" width="8.19921875" style="709"/>
    <col min="2840" max="2840" width="14.8984375" style="709" customWidth="1"/>
    <col min="2841" max="2841" width="9.59765625" style="709" customWidth="1"/>
    <col min="2842" max="3077" width="8.19921875" style="709"/>
    <col min="3078" max="3078" width="8.09765625" style="709" customWidth="1"/>
    <col min="3079" max="3079" width="12.69921875" style="709" customWidth="1"/>
    <col min="3080" max="3080" width="7.296875" style="709" customWidth="1"/>
    <col min="3081" max="3081" width="9.296875" style="709" customWidth="1"/>
    <col min="3082" max="3083" width="9" style="709" customWidth="1"/>
    <col min="3084" max="3084" width="8" style="709" bestFit="1" customWidth="1"/>
    <col min="3085" max="3085" width="8.3984375" style="709" bestFit="1" customWidth="1"/>
    <col min="3086" max="3086" width="8.3984375" style="709" customWidth="1"/>
    <col min="3087" max="3087" width="14.59765625" style="709" customWidth="1"/>
    <col min="3088" max="3088" width="14" style="709" customWidth="1"/>
    <col min="3089" max="3091" width="7.796875" style="709" customWidth="1"/>
    <col min="3092" max="3092" width="10.5" style="709" bestFit="1" customWidth="1"/>
    <col min="3093" max="3095" width="8.19921875" style="709"/>
    <col min="3096" max="3096" width="14.8984375" style="709" customWidth="1"/>
    <col min="3097" max="3097" width="9.59765625" style="709" customWidth="1"/>
    <col min="3098" max="3333" width="8.19921875" style="709"/>
    <col min="3334" max="3334" width="8.09765625" style="709" customWidth="1"/>
    <col min="3335" max="3335" width="12.69921875" style="709" customWidth="1"/>
    <col min="3336" max="3336" width="7.296875" style="709" customWidth="1"/>
    <col min="3337" max="3337" width="9.296875" style="709" customWidth="1"/>
    <col min="3338" max="3339" width="9" style="709" customWidth="1"/>
    <col min="3340" max="3340" width="8" style="709" bestFit="1" customWidth="1"/>
    <col min="3341" max="3341" width="8.3984375" style="709" bestFit="1" customWidth="1"/>
    <col min="3342" max="3342" width="8.3984375" style="709" customWidth="1"/>
    <col min="3343" max="3343" width="14.59765625" style="709" customWidth="1"/>
    <col min="3344" max="3344" width="14" style="709" customWidth="1"/>
    <col min="3345" max="3347" width="7.796875" style="709" customWidth="1"/>
    <col min="3348" max="3348" width="10.5" style="709" bestFit="1" customWidth="1"/>
    <col min="3349" max="3351" width="8.19921875" style="709"/>
    <col min="3352" max="3352" width="14.8984375" style="709" customWidth="1"/>
    <col min="3353" max="3353" width="9.59765625" style="709" customWidth="1"/>
    <col min="3354" max="3589" width="8.19921875" style="709"/>
    <col min="3590" max="3590" width="8.09765625" style="709" customWidth="1"/>
    <col min="3591" max="3591" width="12.69921875" style="709" customWidth="1"/>
    <col min="3592" max="3592" width="7.296875" style="709" customWidth="1"/>
    <col min="3593" max="3593" width="9.296875" style="709" customWidth="1"/>
    <col min="3594" max="3595" width="9" style="709" customWidth="1"/>
    <col min="3596" max="3596" width="8" style="709" bestFit="1" customWidth="1"/>
    <col min="3597" max="3597" width="8.3984375" style="709" bestFit="1" customWidth="1"/>
    <col min="3598" max="3598" width="8.3984375" style="709" customWidth="1"/>
    <col min="3599" max="3599" width="14.59765625" style="709" customWidth="1"/>
    <col min="3600" max="3600" width="14" style="709" customWidth="1"/>
    <col min="3601" max="3603" width="7.796875" style="709" customWidth="1"/>
    <col min="3604" max="3604" width="10.5" style="709" bestFit="1" customWidth="1"/>
    <col min="3605" max="3607" width="8.19921875" style="709"/>
    <col min="3608" max="3608" width="14.8984375" style="709" customWidth="1"/>
    <col min="3609" max="3609" width="9.59765625" style="709" customWidth="1"/>
    <col min="3610" max="3845" width="8.19921875" style="709"/>
    <col min="3846" max="3846" width="8.09765625" style="709" customWidth="1"/>
    <col min="3847" max="3847" width="12.69921875" style="709" customWidth="1"/>
    <col min="3848" max="3848" width="7.296875" style="709" customWidth="1"/>
    <col min="3849" max="3849" width="9.296875" style="709" customWidth="1"/>
    <col min="3850" max="3851" width="9" style="709" customWidth="1"/>
    <col min="3852" max="3852" width="8" style="709" bestFit="1" customWidth="1"/>
    <col min="3853" max="3853" width="8.3984375" style="709" bestFit="1" customWidth="1"/>
    <col min="3854" max="3854" width="8.3984375" style="709" customWidth="1"/>
    <col min="3855" max="3855" width="14.59765625" style="709" customWidth="1"/>
    <col min="3856" max="3856" width="14" style="709" customWidth="1"/>
    <col min="3857" max="3859" width="7.796875" style="709" customWidth="1"/>
    <col min="3860" max="3860" width="10.5" style="709" bestFit="1" customWidth="1"/>
    <col min="3861" max="3863" width="8.19921875" style="709"/>
    <col min="3864" max="3864" width="14.8984375" style="709" customWidth="1"/>
    <col min="3865" max="3865" width="9.59765625" style="709" customWidth="1"/>
    <col min="3866" max="4101" width="8.19921875" style="709"/>
    <col min="4102" max="4102" width="8.09765625" style="709" customWidth="1"/>
    <col min="4103" max="4103" width="12.69921875" style="709" customWidth="1"/>
    <col min="4104" max="4104" width="7.296875" style="709" customWidth="1"/>
    <col min="4105" max="4105" width="9.296875" style="709" customWidth="1"/>
    <col min="4106" max="4107" width="9" style="709" customWidth="1"/>
    <col min="4108" max="4108" width="8" style="709" bestFit="1" customWidth="1"/>
    <col min="4109" max="4109" width="8.3984375" style="709" bestFit="1" customWidth="1"/>
    <col min="4110" max="4110" width="8.3984375" style="709" customWidth="1"/>
    <col min="4111" max="4111" width="14.59765625" style="709" customWidth="1"/>
    <col min="4112" max="4112" width="14" style="709" customWidth="1"/>
    <col min="4113" max="4115" width="7.796875" style="709" customWidth="1"/>
    <col min="4116" max="4116" width="10.5" style="709" bestFit="1" customWidth="1"/>
    <col min="4117" max="4119" width="8.19921875" style="709"/>
    <col min="4120" max="4120" width="14.8984375" style="709" customWidth="1"/>
    <col min="4121" max="4121" width="9.59765625" style="709" customWidth="1"/>
    <col min="4122" max="4357" width="8.19921875" style="709"/>
    <col min="4358" max="4358" width="8.09765625" style="709" customWidth="1"/>
    <col min="4359" max="4359" width="12.69921875" style="709" customWidth="1"/>
    <col min="4360" max="4360" width="7.296875" style="709" customWidth="1"/>
    <col min="4361" max="4361" width="9.296875" style="709" customWidth="1"/>
    <col min="4362" max="4363" width="9" style="709" customWidth="1"/>
    <col min="4364" max="4364" width="8" style="709" bestFit="1" customWidth="1"/>
    <col min="4365" max="4365" width="8.3984375" style="709" bestFit="1" customWidth="1"/>
    <col min="4366" max="4366" width="8.3984375" style="709" customWidth="1"/>
    <col min="4367" max="4367" width="14.59765625" style="709" customWidth="1"/>
    <col min="4368" max="4368" width="14" style="709" customWidth="1"/>
    <col min="4369" max="4371" width="7.796875" style="709" customWidth="1"/>
    <col min="4372" max="4372" width="10.5" style="709" bestFit="1" customWidth="1"/>
    <col min="4373" max="4375" width="8.19921875" style="709"/>
    <col min="4376" max="4376" width="14.8984375" style="709" customWidth="1"/>
    <col min="4377" max="4377" width="9.59765625" style="709" customWidth="1"/>
    <col min="4378" max="4613" width="8.19921875" style="709"/>
    <col min="4614" max="4614" width="8.09765625" style="709" customWidth="1"/>
    <col min="4615" max="4615" width="12.69921875" style="709" customWidth="1"/>
    <col min="4616" max="4616" width="7.296875" style="709" customWidth="1"/>
    <col min="4617" max="4617" width="9.296875" style="709" customWidth="1"/>
    <col min="4618" max="4619" width="9" style="709" customWidth="1"/>
    <col min="4620" max="4620" width="8" style="709" bestFit="1" customWidth="1"/>
    <col min="4621" max="4621" width="8.3984375" style="709" bestFit="1" customWidth="1"/>
    <col min="4622" max="4622" width="8.3984375" style="709" customWidth="1"/>
    <col min="4623" max="4623" width="14.59765625" style="709" customWidth="1"/>
    <col min="4624" max="4624" width="14" style="709" customWidth="1"/>
    <col min="4625" max="4627" width="7.796875" style="709" customWidth="1"/>
    <col min="4628" max="4628" width="10.5" style="709" bestFit="1" customWidth="1"/>
    <col min="4629" max="4631" width="8.19921875" style="709"/>
    <col min="4632" max="4632" width="14.8984375" style="709" customWidth="1"/>
    <col min="4633" max="4633" width="9.59765625" style="709" customWidth="1"/>
    <col min="4634" max="4869" width="8.19921875" style="709"/>
    <col min="4870" max="4870" width="8.09765625" style="709" customWidth="1"/>
    <col min="4871" max="4871" width="12.69921875" style="709" customWidth="1"/>
    <col min="4872" max="4872" width="7.296875" style="709" customWidth="1"/>
    <col min="4873" max="4873" width="9.296875" style="709" customWidth="1"/>
    <col min="4874" max="4875" width="9" style="709" customWidth="1"/>
    <col min="4876" max="4876" width="8" style="709" bestFit="1" customWidth="1"/>
    <col min="4877" max="4877" width="8.3984375" style="709" bestFit="1" customWidth="1"/>
    <col min="4878" max="4878" width="8.3984375" style="709" customWidth="1"/>
    <col min="4879" max="4879" width="14.59765625" style="709" customWidth="1"/>
    <col min="4880" max="4880" width="14" style="709" customWidth="1"/>
    <col min="4881" max="4883" width="7.796875" style="709" customWidth="1"/>
    <col min="4884" max="4884" width="10.5" style="709" bestFit="1" customWidth="1"/>
    <col min="4885" max="4887" width="8.19921875" style="709"/>
    <col min="4888" max="4888" width="14.8984375" style="709" customWidth="1"/>
    <col min="4889" max="4889" width="9.59765625" style="709" customWidth="1"/>
    <col min="4890" max="5125" width="8.19921875" style="709"/>
    <col min="5126" max="5126" width="8.09765625" style="709" customWidth="1"/>
    <col min="5127" max="5127" width="12.69921875" style="709" customWidth="1"/>
    <col min="5128" max="5128" width="7.296875" style="709" customWidth="1"/>
    <col min="5129" max="5129" width="9.296875" style="709" customWidth="1"/>
    <col min="5130" max="5131" width="9" style="709" customWidth="1"/>
    <col min="5132" max="5132" width="8" style="709" bestFit="1" customWidth="1"/>
    <col min="5133" max="5133" width="8.3984375" style="709" bestFit="1" customWidth="1"/>
    <col min="5134" max="5134" width="8.3984375" style="709" customWidth="1"/>
    <col min="5135" max="5135" width="14.59765625" style="709" customWidth="1"/>
    <col min="5136" max="5136" width="14" style="709" customWidth="1"/>
    <col min="5137" max="5139" width="7.796875" style="709" customWidth="1"/>
    <col min="5140" max="5140" width="10.5" style="709" bestFit="1" customWidth="1"/>
    <col min="5141" max="5143" width="8.19921875" style="709"/>
    <col min="5144" max="5144" width="14.8984375" style="709" customWidth="1"/>
    <col min="5145" max="5145" width="9.59765625" style="709" customWidth="1"/>
    <col min="5146" max="5381" width="8.19921875" style="709"/>
    <col min="5382" max="5382" width="8.09765625" style="709" customWidth="1"/>
    <col min="5383" max="5383" width="12.69921875" style="709" customWidth="1"/>
    <col min="5384" max="5384" width="7.296875" style="709" customWidth="1"/>
    <col min="5385" max="5385" width="9.296875" style="709" customWidth="1"/>
    <col min="5386" max="5387" width="9" style="709" customWidth="1"/>
    <col min="5388" max="5388" width="8" style="709" bestFit="1" customWidth="1"/>
    <col min="5389" max="5389" width="8.3984375" style="709" bestFit="1" customWidth="1"/>
    <col min="5390" max="5390" width="8.3984375" style="709" customWidth="1"/>
    <col min="5391" max="5391" width="14.59765625" style="709" customWidth="1"/>
    <col min="5392" max="5392" width="14" style="709" customWidth="1"/>
    <col min="5393" max="5395" width="7.796875" style="709" customWidth="1"/>
    <col min="5396" max="5396" width="10.5" style="709" bestFit="1" customWidth="1"/>
    <col min="5397" max="5399" width="8.19921875" style="709"/>
    <col min="5400" max="5400" width="14.8984375" style="709" customWidth="1"/>
    <col min="5401" max="5401" width="9.59765625" style="709" customWidth="1"/>
    <col min="5402" max="5637" width="8.19921875" style="709"/>
    <col min="5638" max="5638" width="8.09765625" style="709" customWidth="1"/>
    <col min="5639" max="5639" width="12.69921875" style="709" customWidth="1"/>
    <col min="5640" max="5640" width="7.296875" style="709" customWidth="1"/>
    <col min="5641" max="5641" width="9.296875" style="709" customWidth="1"/>
    <col min="5642" max="5643" width="9" style="709" customWidth="1"/>
    <col min="5644" max="5644" width="8" style="709" bestFit="1" customWidth="1"/>
    <col min="5645" max="5645" width="8.3984375" style="709" bestFit="1" customWidth="1"/>
    <col min="5646" max="5646" width="8.3984375" style="709" customWidth="1"/>
    <col min="5647" max="5647" width="14.59765625" style="709" customWidth="1"/>
    <col min="5648" max="5648" width="14" style="709" customWidth="1"/>
    <col min="5649" max="5651" width="7.796875" style="709" customWidth="1"/>
    <col min="5652" max="5652" width="10.5" style="709" bestFit="1" customWidth="1"/>
    <col min="5653" max="5655" width="8.19921875" style="709"/>
    <col min="5656" max="5656" width="14.8984375" style="709" customWidth="1"/>
    <col min="5657" max="5657" width="9.59765625" style="709" customWidth="1"/>
    <col min="5658" max="5893" width="8.19921875" style="709"/>
    <col min="5894" max="5894" width="8.09765625" style="709" customWidth="1"/>
    <col min="5895" max="5895" width="12.69921875" style="709" customWidth="1"/>
    <col min="5896" max="5896" width="7.296875" style="709" customWidth="1"/>
    <col min="5897" max="5897" width="9.296875" style="709" customWidth="1"/>
    <col min="5898" max="5899" width="9" style="709" customWidth="1"/>
    <col min="5900" max="5900" width="8" style="709" bestFit="1" customWidth="1"/>
    <col min="5901" max="5901" width="8.3984375" style="709" bestFit="1" customWidth="1"/>
    <col min="5902" max="5902" width="8.3984375" style="709" customWidth="1"/>
    <col min="5903" max="5903" width="14.59765625" style="709" customWidth="1"/>
    <col min="5904" max="5904" width="14" style="709" customWidth="1"/>
    <col min="5905" max="5907" width="7.796875" style="709" customWidth="1"/>
    <col min="5908" max="5908" width="10.5" style="709" bestFit="1" customWidth="1"/>
    <col min="5909" max="5911" width="8.19921875" style="709"/>
    <col min="5912" max="5912" width="14.8984375" style="709" customWidth="1"/>
    <col min="5913" max="5913" width="9.59765625" style="709" customWidth="1"/>
    <col min="5914" max="6149" width="8.19921875" style="709"/>
    <col min="6150" max="6150" width="8.09765625" style="709" customWidth="1"/>
    <col min="6151" max="6151" width="12.69921875" style="709" customWidth="1"/>
    <col min="6152" max="6152" width="7.296875" style="709" customWidth="1"/>
    <col min="6153" max="6153" width="9.296875" style="709" customWidth="1"/>
    <col min="6154" max="6155" width="9" style="709" customWidth="1"/>
    <col min="6156" max="6156" width="8" style="709" bestFit="1" customWidth="1"/>
    <col min="6157" max="6157" width="8.3984375" style="709" bestFit="1" customWidth="1"/>
    <col min="6158" max="6158" width="8.3984375" style="709" customWidth="1"/>
    <col min="6159" max="6159" width="14.59765625" style="709" customWidth="1"/>
    <col min="6160" max="6160" width="14" style="709" customWidth="1"/>
    <col min="6161" max="6163" width="7.796875" style="709" customWidth="1"/>
    <col min="6164" max="6164" width="10.5" style="709" bestFit="1" customWidth="1"/>
    <col min="6165" max="6167" width="8.19921875" style="709"/>
    <col min="6168" max="6168" width="14.8984375" style="709" customWidth="1"/>
    <col min="6169" max="6169" width="9.59765625" style="709" customWidth="1"/>
    <col min="6170" max="6405" width="8.19921875" style="709"/>
    <col min="6406" max="6406" width="8.09765625" style="709" customWidth="1"/>
    <col min="6407" max="6407" width="12.69921875" style="709" customWidth="1"/>
    <col min="6408" max="6408" width="7.296875" style="709" customWidth="1"/>
    <col min="6409" max="6409" width="9.296875" style="709" customWidth="1"/>
    <col min="6410" max="6411" width="9" style="709" customWidth="1"/>
    <col min="6412" max="6412" width="8" style="709" bestFit="1" customWidth="1"/>
    <col min="6413" max="6413" width="8.3984375" style="709" bestFit="1" customWidth="1"/>
    <col min="6414" max="6414" width="8.3984375" style="709" customWidth="1"/>
    <col min="6415" max="6415" width="14.59765625" style="709" customWidth="1"/>
    <col min="6416" max="6416" width="14" style="709" customWidth="1"/>
    <col min="6417" max="6419" width="7.796875" style="709" customWidth="1"/>
    <col min="6420" max="6420" width="10.5" style="709" bestFit="1" customWidth="1"/>
    <col min="6421" max="6423" width="8.19921875" style="709"/>
    <col min="6424" max="6424" width="14.8984375" style="709" customWidth="1"/>
    <col min="6425" max="6425" width="9.59765625" style="709" customWidth="1"/>
    <col min="6426" max="6661" width="8.19921875" style="709"/>
    <col min="6662" max="6662" width="8.09765625" style="709" customWidth="1"/>
    <col min="6663" max="6663" width="12.69921875" style="709" customWidth="1"/>
    <col min="6664" max="6664" width="7.296875" style="709" customWidth="1"/>
    <col min="6665" max="6665" width="9.296875" style="709" customWidth="1"/>
    <col min="6666" max="6667" width="9" style="709" customWidth="1"/>
    <col min="6668" max="6668" width="8" style="709" bestFit="1" customWidth="1"/>
    <col min="6669" max="6669" width="8.3984375" style="709" bestFit="1" customWidth="1"/>
    <col min="6670" max="6670" width="8.3984375" style="709" customWidth="1"/>
    <col min="6671" max="6671" width="14.59765625" style="709" customWidth="1"/>
    <col min="6672" max="6672" width="14" style="709" customWidth="1"/>
    <col min="6673" max="6675" width="7.796875" style="709" customWidth="1"/>
    <col min="6676" max="6676" width="10.5" style="709" bestFit="1" customWidth="1"/>
    <col min="6677" max="6679" width="8.19921875" style="709"/>
    <col min="6680" max="6680" width="14.8984375" style="709" customWidth="1"/>
    <col min="6681" max="6681" width="9.59765625" style="709" customWidth="1"/>
    <col min="6682" max="6917" width="8.19921875" style="709"/>
    <col min="6918" max="6918" width="8.09765625" style="709" customWidth="1"/>
    <col min="6919" max="6919" width="12.69921875" style="709" customWidth="1"/>
    <col min="6920" max="6920" width="7.296875" style="709" customWidth="1"/>
    <col min="6921" max="6921" width="9.296875" style="709" customWidth="1"/>
    <col min="6922" max="6923" width="9" style="709" customWidth="1"/>
    <col min="6924" max="6924" width="8" style="709" bestFit="1" customWidth="1"/>
    <col min="6925" max="6925" width="8.3984375" style="709" bestFit="1" customWidth="1"/>
    <col min="6926" max="6926" width="8.3984375" style="709" customWidth="1"/>
    <col min="6927" max="6927" width="14.59765625" style="709" customWidth="1"/>
    <col min="6928" max="6928" width="14" style="709" customWidth="1"/>
    <col min="6929" max="6931" width="7.796875" style="709" customWidth="1"/>
    <col min="6932" max="6932" width="10.5" style="709" bestFit="1" customWidth="1"/>
    <col min="6933" max="6935" width="8.19921875" style="709"/>
    <col min="6936" max="6936" width="14.8984375" style="709" customWidth="1"/>
    <col min="6937" max="6937" width="9.59765625" style="709" customWidth="1"/>
    <col min="6938" max="7173" width="8.19921875" style="709"/>
    <col min="7174" max="7174" width="8.09765625" style="709" customWidth="1"/>
    <col min="7175" max="7175" width="12.69921875" style="709" customWidth="1"/>
    <col min="7176" max="7176" width="7.296875" style="709" customWidth="1"/>
    <col min="7177" max="7177" width="9.296875" style="709" customWidth="1"/>
    <col min="7178" max="7179" width="9" style="709" customWidth="1"/>
    <col min="7180" max="7180" width="8" style="709" bestFit="1" customWidth="1"/>
    <col min="7181" max="7181" width="8.3984375" style="709" bestFit="1" customWidth="1"/>
    <col min="7182" max="7182" width="8.3984375" style="709" customWidth="1"/>
    <col min="7183" max="7183" width="14.59765625" style="709" customWidth="1"/>
    <col min="7184" max="7184" width="14" style="709" customWidth="1"/>
    <col min="7185" max="7187" width="7.796875" style="709" customWidth="1"/>
    <col min="7188" max="7188" width="10.5" style="709" bestFit="1" customWidth="1"/>
    <col min="7189" max="7191" width="8.19921875" style="709"/>
    <col min="7192" max="7192" width="14.8984375" style="709" customWidth="1"/>
    <col min="7193" max="7193" width="9.59765625" style="709" customWidth="1"/>
    <col min="7194" max="7429" width="8.19921875" style="709"/>
    <col min="7430" max="7430" width="8.09765625" style="709" customWidth="1"/>
    <col min="7431" max="7431" width="12.69921875" style="709" customWidth="1"/>
    <col min="7432" max="7432" width="7.296875" style="709" customWidth="1"/>
    <col min="7433" max="7433" width="9.296875" style="709" customWidth="1"/>
    <col min="7434" max="7435" width="9" style="709" customWidth="1"/>
    <col min="7436" max="7436" width="8" style="709" bestFit="1" customWidth="1"/>
    <col min="7437" max="7437" width="8.3984375" style="709" bestFit="1" customWidth="1"/>
    <col min="7438" max="7438" width="8.3984375" style="709" customWidth="1"/>
    <col min="7439" max="7439" width="14.59765625" style="709" customWidth="1"/>
    <col min="7440" max="7440" width="14" style="709" customWidth="1"/>
    <col min="7441" max="7443" width="7.796875" style="709" customWidth="1"/>
    <col min="7444" max="7444" width="10.5" style="709" bestFit="1" customWidth="1"/>
    <col min="7445" max="7447" width="8.19921875" style="709"/>
    <col min="7448" max="7448" width="14.8984375" style="709" customWidth="1"/>
    <col min="7449" max="7449" width="9.59765625" style="709" customWidth="1"/>
    <col min="7450" max="7685" width="8.19921875" style="709"/>
    <col min="7686" max="7686" width="8.09765625" style="709" customWidth="1"/>
    <col min="7687" max="7687" width="12.69921875" style="709" customWidth="1"/>
    <col min="7688" max="7688" width="7.296875" style="709" customWidth="1"/>
    <col min="7689" max="7689" width="9.296875" style="709" customWidth="1"/>
    <col min="7690" max="7691" width="9" style="709" customWidth="1"/>
    <col min="7692" max="7692" width="8" style="709" bestFit="1" customWidth="1"/>
    <col min="7693" max="7693" width="8.3984375" style="709" bestFit="1" customWidth="1"/>
    <col min="7694" max="7694" width="8.3984375" style="709" customWidth="1"/>
    <col min="7695" max="7695" width="14.59765625" style="709" customWidth="1"/>
    <col min="7696" max="7696" width="14" style="709" customWidth="1"/>
    <col min="7697" max="7699" width="7.796875" style="709" customWidth="1"/>
    <col min="7700" max="7700" width="10.5" style="709" bestFit="1" customWidth="1"/>
    <col min="7701" max="7703" width="8.19921875" style="709"/>
    <col min="7704" max="7704" width="14.8984375" style="709" customWidth="1"/>
    <col min="7705" max="7705" width="9.59765625" style="709" customWidth="1"/>
    <col min="7706" max="7941" width="8.19921875" style="709"/>
    <col min="7942" max="7942" width="8.09765625" style="709" customWidth="1"/>
    <col min="7943" max="7943" width="12.69921875" style="709" customWidth="1"/>
    <col min="7944" max="7944" width="7.296875" style="709" customWidth="1"/>
    <col min="7945" max="7945" width="9.296875" style="709" customWidth="1"/>
    <col min="7946" max="7947" width="9" style="709" customWidth="1"/>
    <col min="7948" max="7948" width="8" style="709" bestFit="1" customWidth="1"/>
    <col min="7949" max="7949" width="8.3984375" style="709" bestFit="1" customWidth="1"/>
    <col min="7950" max="7950" width="8.3984375" style="709" customWidth="1"/>
    <col min="7951" max="7951" width="14.59765625" style="709" customWidth="1"/>
    <col min="7952" max="7952" width="14" style="709" customWidth="1"/>
    <col min="7953" max="7955" width="7.796875" style="709" customWidth="1"/>
    <col min="7956" max="7956" width="10.5" style="709" bestFit="1" customWidth="1"/>
    <col min="7957" max="7959" width="8.19921875" style="709"/>
    <col min="7960" max="7960" width="14.8984375" style="709" customWidth="1"/>
    <col min="7961" max="7961" width="9.59765625" style="709" customWidth="1"/>
    <col min="7962" max="8197" width="8.19921875" style="709"/>
    <col min="8198" max="8198" width="8.09765625" style="709" customWidth="1"/>
    <col min="8199" max="8199" width="12.69921875" style="709" customWidth="1"/>
    <col min="8200" max="8200" width="7.296875" style="709" customWidth="1"/>
    <col min="8201" max="8201" width="9.296875" style="709" customWidth="1"/>
    <col min="8202" max="8203" width="9" style="709" customWidth="1"/>
    <col min="8204" max="8204" width="8" style="709" bestFit="1" customWidth="1"/>
    <col min="8205" max="8205" width="8.3984375" style="709" bestFit="1" customWidth="1"/>
    <col min="8206" max="8206" width="8.3984375" style="709" customWidth="1"/>
    <col min="8207" max="8207" width="14.59765625" style="709" customWidth="1"/>
    <col min="8208" max="8208" width="14" style="709" customWidth="1"/>
    <col min="8209" max="8211" width="7.796875" style="709" customWidth="1"/>
    <col min="8212" max="8212" width="10.5" style="709" bestFit="1" customWidth="1"/>
    <col min="8213" max="8215" width="8.19921875" style="709"/>
    <col min="8216" max="8216" width="14.8984375" style="709" customWidth="1"/>
    <col min="8217" max="8217" width="9.59765625" style="709" customWidth="1"/>
    <col min="8218" max="8453" width="8.19921875" style="709"/>
    <col min="8454" max="8454" width="8.09765625" style="709" customWidth="1"/>
    <col min="8455" max="8455" width="12.69921875" style="709" customWidth="1"/>
    <col min="8456" max="8456" width="7.296875" style="709" customWidth="1"/>
    <col min="8457" max="8457" width="9.296875" style="709" customWidth="1"/>
    <col min="8458" max="8459" width="9" style="709" customWidth="1"/>
    <col min="8460" max="8460" width="8" style="709" bestFit="1" customWidth="1"/>
    <col min="8461" max="8461" width="8.3984375" style="709" bestFit="1" customWidth="1"/>
    <col min="8462" max="8462" width="8.3984375" style="709" customWidth="1"/>
    <col min="8463" max="8463" width="14.59765625" style="709" customWidth="1"/>
    <col min="8464" max="8464" width="14" style="709" customWidth="1"/>
    <col min="8465" max="8467" width="7.796875" style="709" customWidth="1"/>
    <col min="8468" max="8468" width="10.5" style="709" bestFit="1" customWidth="1"/>
    <col min="8469" max="8471" width="8.19921875" style="709"/>
    <col min="8472" max="8472" width="14.8984375" style="709" customWidth="1"/>
    <col min="8473" max="8473" width="9.59765625" style="709" customWidth="1"/>
    <col min="8474" max="8709" width="8.19921875" style="709"/>
    <col min="8710" max="8710" width="8.09765625" style="709" customWidth="1"/>
    <col min="8711" max="8711" width="12.69921875" style="709" customWidth="1"/>
    <col min="8712" max="8712" width="7.296875" style="709" customWidth="1"/>
    <col min="8713" max="8713" width="9.296875" style="709" customWidth="1"/>
    <col min="8714" max="8715" width="9" style="709" customWidth="1"/>
    <col min="8716" max="8716" width="8" style="709" bestFit="1" customWidth="1"/>
    <col min="8717" max="8717" width="8.3984375" style="709" bestFit="1" customWidth="1"/>
    <col min="8718" max="8718" width="8.3984375" style="709" customWidth="1"/>
    <col min="8719" max="8719" width="14.59765625" style="709" customWidth="1"/>
    <col min="8720" max="8720" width="14" style="709" customWidth="1"/>
    <col min="8721" max="8723" width="7.796875" style="709" customWidth="1"/>
    <col min="8724" max="8724" width="10.5" style="709" bestFit="1" customWidth="1"/>
    <col min="8725" max="8727" width="8.19921875" style="709"/>
    <col min="8728" max="8728" width="14.8984375" style="709" customWidth="1"/>
    <col min="8729" max="8729" width="9.59765625" style="709" customWidth="1"/>
    <col min="8730" max="8965" width="8.19921875" style="709"/>
    <col min="8966" max="8966" width="8.09765625" style="709" customWidth="1"/>
    <col min="8967" max="8967" width="12.69921875" style="709" customWidth="1"/>
    <col min="8968" max="8968" width="7.296875" style="709" customWidth="1"/>
    <col min="8969" max="8969" width="9.296875" style="709" customWidth="1"/>
    <col min="8970" max="8971" width="9" style="709" customWidth="1"/>
    <col min="8972" max="8972" width="8" style="709" bestFit="1" customWidth="1"/>
    <col min="8973" max="8973" width="8.3984375" style="709" bestFit="1" customWidth="1"/>
    <col min="8974" max="8974" width="8.3984375" style="709" customWidth="1"/>
    <col min="8975" max="8975" width="14.59765625" style="709" customWidth="1"/>
    <col min="8976" max="8976" width="14" style="709" customWidth="1"/>
    <col min="8977" max="8979" width="7.796875" style="709" customWidth="1"/>
    <col min="8980" max="8980" width="10.5" style="709" bestFit="1" customWidth="1"/>
    <col min="8981" max="8983" width="8.19921875" style="709"/>
    <col min="8984" max="8984" width="14.8984375" style="709" customWidth="1"/>
    <col min="8985" max="8985" width="9.59765625" style="709" customWidth="1"/>
    <col min="8986" max="9221" width="8.19921875" style="709"/>
    <col min="9222" max="9222" width="8.09765625" style="709" customWidth="1"/>
    <col min="9223" max="9223" width="12.69921875" style="709" customWidth="1"/>
    <col min="9224" max="9224" width="7.296875" style="709" customWidth="1"/>
    <col min="9225" max="9225" width="9.296875" style="709" customWidth="1"/>
    <col min="9226" max="9227" width="9" style="709" customWidth="1"/>
    <col min="9228" max="9228" width="8" style="709" bestFit="1" customWidth="1"/>
    <col min="9229" max="9229" width="8.3984375" style="709" bestFit="1" customWidth="1"/>
    <col min="9230" max="9230" width="8.3984375" style="709" customWidth="1"/>
    <col min="9231" max="9231" width="14.59765625" style="709" customWidth="1"/>
    <col min="9232" max="9232" width="14" style="709" customWidth="1"/>
    <col min="9233" max="9235" width="7.796875" style="709" customWidth="1"/>
    <col min="9236" max="9236" width="10.5" style="709" bestFit="1" customWidth="1"/>
    <col min="9237" max="9239" width="8.19921875" style="709"/>
    <col min="9240" max="9240" width="14.8984375" style="709" customWidth="1"/>
    <col min="9241" max="9241" width="9.59765625" style="709" customWidth="1"/>
    <col min="9242" max="9477" width="8.19921875" style="709"/>
    <col min="9478" max="9478" width="8.09765625" style="709" customWidth="1"/>
    <col min="9479" max="9479" width="12.69921875" style="709" customWidth="1"/>
    <col min="9480" max="9480" width="7.296875" style="709" customWidth="1"/>
    <col min="9481" max="9481" width="9.296875" style="709" customWidth="1"/>
    <col min="9482" max="9483" width="9" style="709" customWidth="1"/>
    <col min="9484" max="9484" width="8" style="709" bestFit="1" customWidth="1"/>
    <col min="9485" max="9485" width="8.3984375" style="709" bestFit="1" customWidth="1"/>
    <col min="9486" max="9486" width="8.3984375" style="709" customWidth="1"/>
    <col min="9487" max="9487" width="14.59765625" style="709" customWidth="1"/>
    <col min="9488" max="9488" width="14" style="709" customWidth="1"/>
    <col min="9489" max="9491" width="7.796875" style="709" customWidth="1"/>
    <col min="9492" max="9492" width="10.5" style="709" bestFit="1" customWidth="1"/>
    <col min="9493" max="9495" width="8.19921875" style="709"/>
    <col min="9496" max="9496" width="14.8984375" style="709" customWidth="1"/>
    <col min="9497" max="9497" width="9.59765625" style="709" customWidth="1"/>
    <col min="9498" max="9733" width="8.19921875" style="709"/>
    <col min="9734" max="9734" width="8.09765625" style="709" customWidth="1"/>
    <col min="9735" max="9735" width="12.69921875" style="709" customWidth="1"/>
    <col min="9736" max="9736" width="7.296875" style="709" customWidth="1"/>
    <col min="9737" max="9737" width="9.296875" style="709" customWidth="1"/>
    <col min="9738" max="9739" width="9" style="709" customWidth="1"/>
    <col min="9740" max="9740" width="8" style="709" bestFit="1" customWidth="1"/>
    <col min="9741" max="9741" width="8.3984375" style="709" bestFit="1" customWidth="1"/>
    <col min="9742" max="9742" width="8.3984375" style="709" customWidth="1"/>
    <col min="9743" max="9743" width="14.59765625" style="709" customWidth="1"/>
    <col min="9744" max="9744" width="14" style="709" customWidth="1"/>
    <col min="9745" max="9747" width="7.796875" style="709" customWidth="1"/>
    <col min="9748" max="9748" width="10.5" style="709" bestFit="1" customWidth="1"/>
    <col min="9749" max="9751" width="8.19921875" style="709"/>
    <col min="9752" max="9752" width="14.8984375" style="709" customWidth="1"/>
    <col min="9753" max="9753" width="9.59765625" style="709" customWidth="1"/>
    <col min="9754" max="9989" width="8.19921875" style="709"/>
    <col min="9990" max="9990" width="8.09765625" style="709" customWidth="1"/>
    <col min="9991" max="9991" width="12.69921875" style="709" customWidth="1"/>
    <col min="9992" max="9992" width="7.296875" style="709" customWidth="1"/>
    <col min="9993" max="9993" width="9.296875" style="709" customWidth="1"/>
    <col min="9994" max="9995" width="9" style="709" customWidth="1"/>
    <col min="9996" max="9996" width="8" style="709" bestFit="1" customWidth="1"/>
    <col min="9997" max="9997" width="8.3984375" style="709" bestFit="1" customWidth="1"/>
    <col min="9998" max="9998" width="8.3984375" style="709" customWidth="1"/>
    <col min="9999" max="9999" width="14.59765625" style="709" customWidth="1"/>
    <col min="10000" max="10000" width="14" style="709" customWidth="1"/>
    <col min="10001" max="10003" width="7.796875" style="709" customWidth="1"/>
    <col min="10004" max="10004" width="10.5" style="709" bestFit="1" customWidth="1"/>
    <col min="10005" max="10007" width="8.19921875" style="709"/>
    <col min="10008" max="10008" width="14.8984375" style="709" customWidth="1"/>
    <col min="10009" max="10009" width="9.59765625" style="709" customWidth="1"/>
    <col min="10010" max="10245" width="8.19921875" style="709"/>
    <col min="10246" max="10246" width="8.09765625" style="709" customWidth="1"/>
    <col min="10247" max="10247" width="12.69921875" style="709" customWidth="1"/>
    <col min="10248" max="10248" width="7.296875" style="709" customWidth="1"/>
    <col min="10249" max="10249" width="9.296875" style="709" customWidth="1"/>
    <col min="10250" max="10251" width="9" style="709" customWidth="1"/>
    <col min="10252" max="10252" width="8" style="709" bestFit="1" customWidth="1"/>
    <col min="10253" max="10253" width="8.3984375" style="709" bestFit="1" customWidth="1"/>
    <col min="10254" max="10254" width="8.3984375" style="709" customWidth="1"/>
    <col min="10255" max="10255" width="14.59765625" style="709" customWidth="1"/>
    <col min="10256" max="10256" width="14" style="709" customWidth="1"/>
    <col min="10257" max="10259" width="7.796875" style="709" customWidth="1"/>
    <col min="10260" max="10260" width="10.5" style="709" bestFit="1" customWidth="1"/>
    <col min="10261" max="10263" width="8.19921875" style="709"/>
    <col min="10264" max="10264" width="14.8984375" style="709" customWidth="1"/>
    <col min="10265" max="10265" width="9.59765625" style="709" customWidth="1"/>
    <col min="10266" max="10501" width="8.19921875" style="709"/>
    <col min="10502" max="10502" width="8.09765625" style="709" customWidth="1"/>
    <col min="10503" max="10503" width="12.69921875" style="709" customWidth="1"/>
    <col min="10504" max="10504" width="7.296875" style="709" customWidth="1"/>
    <col min="10505" max="10505" width="9.296875" style="709" customWidth="1"/>
    <col min="10506" max="10507" width="9" style="709" customWidth="1"/>
    <col min="10508" max="10508" width="8" style="709" bestFit="1" customWidth="1"/>
    <col min="10509" max="10509" width="8.3984375" style="709" bestFit="1" customWidth="1"/>
    <col min="10510" max="10510" width="8.3984375" style="709" customWidth="1"/>
    <col min="10511" max="10511" width="14.59765625" style="709" customWidth="1"/>
    <col min="10512" max="10512" width="14" style="709" customWidth="1"/>
    <col min="10513" max="10515" width="7.796875" style="709" customWidth="1"/>
    <col min="10516" max="10516" width="10.5" style="709" bestFit="1" customWidth="1"/>
    <col min="10517" max="10519" width="8.19921875" style="709"/>
    <col min="10520" max="10520" width="14.8984375" style="709" customWidth="1"/>
    <col min="10521" max="10521" width="9.59765625" style="709" customWidth="1"/>
    <col min="10522" max="10757" width="8.19921875" style="709"/>
    <col min="10758" max="10758" width="8.09765625" style="709" customWidth="1"/>
    <col min="10759" max="10759" width="12.69921875" style="709" customWidth="1"/>
    <col min="10760" max="10760" width="7.296875" style="709" customWidth="1"/>
    <col min="10761" max="10761" width="9.296875" style="709" customWidth="1"/>
    <col min="10762" max="10763" width="9" style="709" customWidth="1"/>
    <col min="10764" max="10764" width="8" style="709" bestFit="1" customWidth="1"/>
    <col min="10765" max="10765" width="8.3984375" style="709" bestFit="1" customWidth="1"/>
    <col min="10766" max="10766" width="8.3984375" style="709" customWidth="1"/>
    <col min="10767" max="10767" width="14.59765625" style="709" customWidth="1"/>
    <col min="10768" max="10768" width="14" style="709" customWidth="1"/>
    <col min="10769" max="10771" width="7.796875" style="709" customWidth="1"/>
    <col min="10772" max="10772" width="10.5" style="709" bestFit="1" customWidth="1"/>
    <col min="10773" max="10775" width="8.19921875" style="709"/>
    <col min="10776" max="10776" width="14.8984375" style="709" customWidth="1"/>
    <col min="10777" max="10777" width="9.59765625" style="709" customWidth="1"/>
    <col min="10778" max="11013" width="8.19921875" style="709"/>
    <col min="11014" max="11014" width="8.09765625" style="709" customWidth="1"/>
    <col min="11015" max="11015" width="12.69921875" style="709" customWidth="1"/>
    <col min="11016" max="11016" width="7.296875" style="709" customWidth="1"/>
    <col min="11017" max="11017" width="9.296875" style="709" customWidth="1"/>
    <col min="11018" max="11019" width="9" style="709" customWidth="1"/>
    <col min="11020" max="11020" width="8" style="709" bestFit="1" customWidth="1"/>
    <col min="11021" max="11021" width="8.3984375" style="709" bestFit="1" customWidth="1"/>
    <col min="11022" max="11022" width="8.3984375" style="709" customWidth="1"/>
    <col min="11023" max="11023" width="14.59765625" style="709" customWidth="1"/>
    <col min="11024" max="11024" width="14" style="709" customWidth="1"/>
    <col min="11025" max="11027" width="7.796875" style="709" customWidth="1"/>
    <col min="11028" max="11028" width="10.5" style="709" bestFit="1" customWidth="1"/>
    <col min="11029" max="11031" width="8.19921875" style="709"/>
    <col min="11032" max="11032" width="14.8984375" style="709" customWidth="1"/>
    <col min="11033" max="11033" width="9.59765625" style="709" customWidth="1"/>
    <col min="11034" max="11269" width="8.19921875" style="709"/>
    <col min="11270" max="11270" width="8.09765625" style="709" customWidth="1"/>
    <col min="11271" max="11271" width="12.69921875" style="709" customWidth="1"/>
    <col min="11272" max="11272" width="7.296875" style="709" customWidth="1"/>
    <col min="11273" max="11273" width="9.296875" style="709" customWidth="1"/>
    <col min="11274" max="11275" width="9" style="709" customWidth="1"/>
    <col min="11276" max="11276" width="8" style="709" bestFit="1" customWidth="1"/>
    <col min="11277" max="11277" width="8.3984375" style="709" bestFit="1" customWidth="1"/>
    <col min="11278" max="11278" width="8.3984375" style="709" customWidth="1"/>
    <col min="11279" max="11279" width="14.59765625" style="709" customWidth="1"/>
    <col min="11280" max="11280" width="14" style="709" customWidth="1"/>
    <col min="11281" max="11283" width="7.796875" style="709" customWidth="1"/>
    <col min="11284" max="11284" width="10.5" style="709" bestFit="1" customWidth="1"/>
    <col min="11285" max="11287" width="8.19921875" style="709"/>
    <col min="11288" max="11288" width="14.8984375" style="709" customWidth="1"/>
    <col min="11289" max="11289" width="9.59765625" style="709" customWidth="1"/>
    <col min="11290" max="11525" width="8.19921875" style="709"/>
    <col min="11526" max="11526" width="8.09765625" style="709" customWidth="1"/>
    <col min="11527" max="11527" width="12.69921875" style="709" customWidth="1"/>
    <col min="11528" max="11528" width="7.296875" style="709" customWidth="1"/>
    <col min="11529" max="11529" width="9.296875" style="709" customWidth="1"/>
    <col min="11530" max="11531" width="9" style="709" customWidth="1"/>
    <col min="11532" max="11532" width="8" style="709" bestFit="1" customWidth="1"/>
    <col min="11533" max="11533" width="8.3984375" style="709" bestFit="1" customWidth="1"/>
    <col min="11534" max="11534" width="8.3984375" style="709" customWidth="1"/>
    <col min="11535" max="11535" width="14.59765625" style="709" customWidth="1"/>
    <col min="11536" max="11536" width="14" style="709" customWidth="1"/>
    <col min="11537" max="11539" width="7.796875" style="709" customWidth="1"/>
    <col min="11540" max="11540" width="10.5" style="709" bestFit="1" customWidth="1"/>
    <col min="11541" max="11543" width="8.19921875" style="709"/>
    <col min="11544" max="11544" width="14.8984375" style="709" customWidth="1"/>
    <col min="11545" max="11545" width="9.59765625" style="709" customWidth="1"/>
    <col min="11546" max="11781" width="8.19921875" style="709"/>
    <col min="11782" max="11782" width="8.09765625" style="709" customWidth="1"/>
    <col min="11783" max="11783" width="12.69921875" style="709" customWidth="1"/>
    <col min="11784" max="11784" width="7.296875" style="709" customWidth="1"/>
    <col min="11785" max="11785" width="9.296875" style="709" customWidth="1"/>
    <col min="11786" max="11787" width="9" style="709" customWidth="1"/>
    <col min="11788" max="11788" width="8" style="709" bestFit="1" customWidth="1"/>
    <col min="11789" max="11789" width="8.3984375" style="709" bestFit="1" customWidth="1"/>
    <col min="11790" max="11790" width="8.3984375" style="709" customWidth="1"/>
    <col min="11791" max="11791" width="14.59765625" style="709" customWidth="1"/>
    <col min="11792" max="11792" width="14" style="709" customWidth="1"/>
    <col min="11793" max="11795" width="7.796875" style="709" customWidth="1"/>
    <col min="11796" max="11796" width="10.5" style="709" bestFit="1" customWidth="1"/>
    <col min="11797" max="11799" width="8.19921875" style="709"/>
    <col min="11800" max="11800" width="14.8984375" style="709" customWidth="1"/>
    <col min="11801" max="11801" width="9.59765625" style="709" customWidth="1"/>
    <col min="11802" max="12037" width="8.19921875" style="709"/>
    <col min="12038" max="12038" width="8.09765625" style="709" customWidth="1"/>
    <col min="12039" max="12039" width="12.69921875" style="709" customWidth="1"/>
    <col min="12040" max="12040" width="7.296875" style="709" customWidth="1"/>
    <col min="12041" max="12041" width="9.296875" style="709" customWidth="1"/>
    <col min="12042" max="12043" width="9" style="709" customWidth="1"/>
    <col min="12044" max="12044" width="8" style="709" bestFit="1" customWidth="1"/>
    <col min="12045" max="12045" width="8.3984375" style="709" bestFit="1" customWidth="1"/>
    <col min="12046" max="12046" width="8.3984375" style="709" customWidth="1"/>
    <col min="12047" max="12047" width="14.59765625" style="709" customWidth="1"/>
    <col min="12048" max="12048" width="14" style="709" customWidth="1"/>
    <col min="12049" max="12051" width="7.796875" style="709" customWidth="1"/>
    <col min="12052" max="12052" width="10.5" style="709" bestFit="1" customWidth="1"/>
    <col min="12053" max="12055" width="8.19921875" style="709"/>
    <col min="12056" max="12056" width="14.8984375" style="709" customWidth="1"/>
    <col min="12057" max="12057" width="9.59765625" style="709" customWidth="1"/>
    <col min="12058" max="12293" width="8.19921875" style="709"/>
    <col min="12294" max="12294" width="8.09765625" style="709" customWidth="1"/>
    <col min="12295" max="12295" width="12.69921875" style="709" customWidth="1"/>
    <col min="12296" max="12296" width="7.296875" style="709" customWidth="1"/>
    <col min="12297" max="12297" width="9.296875" style="709" customWidth="1"/>
    <col min="12298" max="12299" width="9" style="709" customWidth="1"/>
    <col min="12300" max="12300" width="8" style="709" bestFit="1" customWidth="1"/>
    <col min="12301" max="12301" width="8.3984375" style="709" bestFit="1" customWidth="1"/>
    <col min="12302" max="12302" width="8.3984375" style="709" customWidth="1"/>
    <col min="12303" max="12303" width="14.59765625" style="709" customWidth="1"/>
    <col min="12304" max="12304" width="14" style="709" customWidth="1"/>
    <col min="12305" max="12307" width="7.796875" style="709" customWidth="1"/>
    <col min="12308" max="12308" width="10.5" style="709" bestFit="1" customWidth="1"/>
    <col min="12309" max="12311" width="8.19921875" style="709"/>
    <col min="12312" max="12312" width="14.8984375" style="709" customWidth="1"/>
    <col min="12313" max="12313" width="9.59765625" style="709" customWidth="1"/>
    <col min="12314" max="12549" width="8.19921875" style="709"/>
    <col min="12550" max="12550" width="8.09765625" style="709" customWidth="1"/>
    <col min="12551" max="12551" width="12.69921875" style="709" customWidth="1"/>
    <col min="12552" max="12552" width="7.296875" style="709" customWidth="1"/>
    <col min="12553" max="12553" width="9.296875" style="709" customWidth="1"/>
    <col min="12554" max="12555" width="9" style="709" customWidth="1"/>
    <col min="12556" max="12556" width="8" style="709" bestFit="1" customWidth="1"/>
    <col min="12557" max="12557" width="8.3984375" style="709" bestFit="1" customWidth="1"/>
    <col min="12558" max="12558" width="8.3984375" style="709" customWidth="1"/>
    <col min="12559" max="12559" width="14.59765625" style="709" customWidth="1"/>
    <col min="12560" max="12560" width="14" style="709" customWidth="1"/>
    <col min="12561" max="12563" width="7.796875" style="709" customWidth="1"/>
    <col min="12564" max="12564" width="10.5" style="709" bestFit="1" customWidth="1"/>
    <col min="12565" max="12567" width="8.19921875" style="709"/>
    <col min="12568" max="12568" width="14.8984375" style="709" customWidth="1"/>
    <col min="12569" max="12569" width="9.59765625" style="709" customWidth="1"/>
    <col min="12570" max="12805" width="8.19921875" style="709"/>
    <col min="12806" max="12806" width="8.09765625" style="709" customWidth="1"/>
    <col min="12807" max="12807" width="12.69921875" style="709" customWidth="1"/>
    <col min="12808" max="12808" width="7.296875" style="709" customWidth="1"/>
    <col min="12809" max="12809" width="9.296875" style="709" customWidth="1"/>
    <col min="12810" max="12811" width="9" style="709" customWidth="1"/>
    <col min="12812" max="12812" width="8" style="709" bestFit="1" customWidth="1"/>
    <col min="12813" max="12813" width="8.3984375" style="709" bestFit="1" customWidth="1"/>
    <col min="12814" max="12814" width="8.3984375" style="709" customWidth="1"/>
    <col min="12815" max="12815" width="14.59765625" style="709" customWidth="1"/>
    <col min="12816" max="12816" width="14" style="709" customWidth="1"/>
    <col min="12817" max="12819" width="7.796875" style="709" customWidth="1"/>
    <col min="12820" max="12820" width="10.5" style="709" bestFit="1" customWidth="1"/>
    <col min="12821" max="12823" width="8.19921875" style="709"/>
    <col min="12824" max="12824" width="14.8984375" style="709" customWidth="1"/>
    <col min="12825" max="12825" width="9.59765625" style="709" customWidth="1"/>
    <col min="12826" max="13061" width="8.19921875" style="709"/>
    <col min="13062" max="13062" width="8.09765625" style="709" customWidth="1"/>
    <col min="13063" max="13063" width="12.69921875" style="709" customWidth="1"/>
    <col min="13064" max="13064" width="7.296875" style="709" customWidth="1"/>
    <col min="13065" max="13065" width="9.296875" style="709" customWidth="1"/>
    <col min="13066" max="13067" width="9" style="709" customWidth="1"/>
    <col min="13068" max="13068" width="8" style="709" bestFit="1" customWidth="1"/>
    <col min="13069" max="13069" width="8.3984375" style="709" bestFit="1" customWidth="1"/>
    <col min="13070" max="13070" width="8.3984375" style="709" customWidth="1"/>
    <col min="13071" max="13071" width="14.59765625" style="709" customWidth="1"/>
    <col min="13072" max="13072" width="14" style="709" customWidth="1"/>
    <col min="13073" max="13075" width="7.796875" style="709" customWidth="1"/>
    <col min="13076" max="13076" width="10.5" style="709" bestFit="1" customWidth="1"/>
    <col min="13077" max="13079" width="8.19921875" style="709"/>
    <col min="13080" max="13080" width="14.8984375" style="709" customWidth="1"/>
    <col min="13081" max="13081" width="9.59765625" style="709" customWidth="1"/>
    <col min="13082" max="13317" width="8.19921875" style="709"/>
    <col min="13318" max="13318" width="8.09765625" style="709" customWidth="1"/>
    <col min="13319" max="13319" width="12.69921875" style="709" customWidth="1"/>
    <col min="13320" max="13320" width="7.296875" style="709" customWidth="1"/>
    <col min="13321" max="13321" width="9.296875" style="709" customWidth="1"/>
    <col min="13322" max="13323" width="9" style="709" customWidth="1"/>
    <col min="13324" max="13324" width="8" style="709" bestFit="1" customWidth="1"/>
    <col min="13325" max="13325" width="8.3984375" style="709" bestFit="1" customWidth="1"/>
    <col min="13326" max="13326" width="8.3984375" style="709" customWidth="1"/>
    <col min="13327" max="13327" width="14.59765625" style="709" customWidth="1"/>
    <col min="13328" max="13328" width="14" style="709" customWidth="1"/>
    <col min="13329" max="13331" width="7.796875" style="709" customWidth="1"/>
    <col min="13332" max="13332" width="10.5" style="709" bestFit="1" customWidth="1"/>
    <col min="13333" max="13335" width="8.19921875" style="709"/>
    <col min="13336" max="13336" width="14.8984375" style="709" customWidth="1"/>
    <col min="13337" max="13337" width="9.59765625" style="709" customWidth="1"/>
    <col min="13338" max="13573" width="8.19921875" style="709"/>
    <col min="13574" max="13574" width="8.09765625" style="709" customWidth="1"/>
    <col min="13575" max="13575" width="12.69921875" style="709" customWidth="1"/>
    <col min="13576" max="13576" width="7.296875" style="709" customWidth="1"/>
    <col min="13577" max="13577" width="9.296875" style="709" customWidth="1"/>
    <col min="13578" max="13579" width="9" style="709" customWidth="1"/>
    <col min="13580" max="13580" width="8" style="709" bestFit="1" customWidth="1"/>
    <col min="13581" max="13581" width="8.3984375" style="709" bestFit="1" customWidth="1"/>
    <col min="13582" max="13582" width="8.3984375" style="709" customWidth="1"/>
    <col min="13583" max="13583" width="14.59765625" style="709" customWidth="1"/>
    <col min="13584" max="13584" width="14" style="709" customWidth="1"/>
    <col min="13585" max="13587" width="7.796875" style="709" customWidth="1"/>
    <col min="13588" max="13588" width="10.5" style="709" bestFit="1" customWidth="1"/>
    <col min="13589" max="13591" width="8.19921875" style="709"/>
    <col min="13592" max="13592" width="14.8984375" style="709" customWidth="1"/>
    <col min="13593" max="13593" width="9.59765625" style="709" customWidth="1"/>
    <col min="13594" max="13829" width="8.19921875" style="709"/>
    <col min="13830" max="13830" width="8.09765625" style="709" customWidth="1"/>
    <col min="13831" max="13831" width="12.69921875" style="709" customWidth="1"/>
    <col min="13832" max="13832" width="7.296875" style="709" customWidth="1"/>
    <col min="13833" max="13833" width="9.296875" style="709" customWidth="1"/>
    <col min="13834" max="13835" width="9" style="709" customWidth="1"/>
    <col min="13836" max="13836" width="8" style="709" bestFit="1" customWidth="1"/>
    <col min="13837" max="13837" width="8.3984375" style="709" bestFit="1" customWidth="1"/>
    <col min="13838" max="13838" width="8.3984375" style="709" customWidth="1"/>
    <col min="13839" max="13839" width="14.59765625" style="709" customWidth="1"/>
    <col min="13840" max="13840" width="14" style="709" customWidth="1"/>
    <col min="13841" max="13843" width="7.796875" style="709" customWidth="1"/>
    <col min="13844" max="13844" width="10.5" style="709" bestFit="1" customWidth="1"/>
    <col min="13845" max="13847" width="8.19921875" style="709"/>
    <col min="13848" max="13848" width="14.8984375" style="709" customWidth="1"/>
    <col min="13849" max="13849" width="9.59765625" style="709" customWidth="1"/>
    <col min="13850" max="14085" width="8.19921875" style="709"/>
    <col min="14086" max="14086" width="8.09765625" style="709" customWidth="1"/>
    <col min="14087" max="14087" width="12.69921875" style="709" customWidth="1"/>
    <col min="14088" max="14088" width="7.296875" style="709" customWidth="1"/>
    <col min="14089" max="14089" width="9.296875" style="709" customWidth="1"/>
    <col min="14090" max="14091" width="9" style="709" customWidth="1"/>
    <col min="14092" max="14092" width="8" style="709" bestFit="1" customWidth="1"/>
    <col min="14093" max="14093" width="8.3984375" style="709" bestFit="1" customWidth="1"/>
    <col min="14094" max="14094" width="8.3984375" style="709" customWidth="1"/>
    <col min="14095" max="14095" width="14.59765625" style="709" customWidth="1"/>
    <col min="14096" max="14096" width="14" style="709" customWidth="1"/>
    <col min="14097" max="14099" width="7.796875" style="709" customWidth="1"/>
    <col min="14100" max="14100" width="10.5" style="709" bestFit="1" customWidth="1"/>
    <col min="14101" max="14103" width="8.19921875" style="709"/>
    <col min="14104" max="14104" width="14.8984375" style="709" customWidth="1"/>
    <col min="14105" max="14105" width="9.59765625" style="709" customWidth="1"/>
    <col min="14106" max="14341" width="8.19921875" style="709"/>
    <col min="14342" max="14342" width="8.09765625" style="709" customWidth="1"/>
    <col min="14343" max="14343" width="12.69921875" style="709" customWidth="1"/>
    <col min="14344" max="14344" width="7.296875" style="709" customWidth="1"/>
    <col min="14345" max="14345" width="9.296875" style="709" customWidth="1"/>
    <col min="14346" max="14347" width="9" style="709" customWidth="1"/>
    <col min="14348" max="14348" width="8" style="709" bestFit="1" customWidth="1"/>
    <col min="14349" max="14349" width="8.3984375" style="709" bestFit="1" customWidth="1"/>
    <col min="14350" max="14350" width="8.3984375" style="709" customWidth="1"/>
    <col min="14351" max="14351" width="14.59765625" style="709" customWidth="1"/>
    <col min="14352" max="14352" width="14" style="709" customWidth="1"/>
    <col min="14353" max="14355" width="7.796875" style="709" customWidth="1"/>
    <col min="14356" max="14356" width="10.5" style="709" bestFit="1" customWidth="1"/>
    <col min="14357" max="14359" width="8.19921875" style="709"/>
    <col min="14360" max="14360" width="14.8984375" style="709" customWidth="1"/>
    <col min="14361" max="14361" width="9.59765625" style="709" customWidth="1"/>
    <col min="14362" max="14597" width="8.19921875" style="709"/>
    <col min="14598" max="14598" width="8.09765625" style="709" customWidth="1"/>
    <col min="14599" max="14599" width="12.69921875" style="709" customWidth="1"/>
    <col min="14600" max="14600" width="7.296875" style="709" customWidth="1"/>
    <col min="14601" max="14601" width="9.296875" style="709" customWidth="1"/>
    <col min="14602" max="14603" width="9" style="709" customWidth="1"/>
    <col min="14604" max="14604" width="8" style="709" bestFit="1" customWidth="1"/>
    <col min="14605" max="14605" width="8.3984375" style="709" bestFit="1" customWidth="1"/>
    <col min="14606" max="14606" width="8.3984375" style="709" customWidth="1"/>
    <col min="14607" max="14607" width="14.59765625" style="709" customWidth="1"/>
    <col min="14608" max="14608" width="14" style="709" customWidth="1"/>
    <col min="14609" max="14611" width="7.796875" style="709" customWidth="1"/>
    <col min="14612" max="14612" width="10.5" style="709" bestFit="1" customWidth="1"/>
    <col min="14613" max="14615" width="8.19921875" style="709"/>
    <col min="14616" max="14616" width="14.8984375" style="709" customWidth="1"/>
    <col min="14617" max="14617" width="9.59765625" style="709" customWidth="1"/>
    <col min="14618" max="14853" width="8.19921875" style="709"/>
    <col min="14854" max="14854" width="8.09765625" style="709" customWidth="1"/>
    <col min="14855" max="14855" width="12.69921875" style="709" customWidth="1"/>
    <col min="14856" max="14856" width="7.296875" style="709" customWidth="1"/>
    <col min="14857" max="14857" width="9.296875" style="709" customWidth="1"/>
    <col min="14858" max="14859" width="9" style="709" customWidth="1"/>
    <col min="14860" max="14860" width="8" style="709" bestFit="1" customWidth="1"/>
    <col min="14861" max="14861" width="8.3984375" style="709" bestFit="1" customWidth="1"/>
    <col min="14862" max="14862" width="8.3984375" style="709" customWidth="1"/>
    <col min="14863" max="14863" width="14.59765625" style="709" customWidth="1"/>
    <col min="14864" max="14864" width="14" style="709" customWidth="1"/>
    <col min="14865" max="14867" width="7.796875" style="709" customWidth="1"/>
    <col min="14868" max="14868" width="10.5" style="709" bestFit="1" customWidth="1"/>
    <col min="14869" max="14871" width="8.19921875" style="709"/>
    <col min="14872" max="14872" width="14.8984375" style="709" customWidth="1"/>
    <col min="14873" max="14873" width="9.59765625" style="709" customWidth="1"/>
    <col min="14874" max="15109" width="8.19921875" style="709"/>
    <col min="15110" max="15110" width="8.09765625" style="709" customWidth="1"/>
    <col min="15111" max="15111" width="12.69921875" style="709" customWidth="1"/>
    <col min="15112" max="15112" width="7.296875" style="709" customWidth="1"/>
    <col min="15113" max="15113" width="9.296875" style="709" customWidth="1"/>
    <col min="15114" max="15115" width="9" style="709" customWidth="1"/>
    <col min="15116" max="15116" width="8" style="709" bestFit="1" customWidth="1"/>
    <col min="15117" max="15117" width="8.3984375" style="709" bestFit="1" customWidth="1"/>
    <col min="15118" max="15118" width="8.3984375" style="709" customWidth="1"/>
    <col min="15119" max="15119" width="14.59765625" style="709" customWidth="1"/>
    <col min="15120" max="15120" width="14" style="709" customWidth="1"/>
    <col min="15121" max="15123" width="7.796875" style="709" customWidth="1"/>
    <col min="15124" max="15124" width="10.5" style="709" bestFit="1" customWidth="1"/>
    <col min="15125" max="15127" width="8.19921875" style="709"/>
    <col min="15128" max="15128" width="14.8984375" style="709" customWidth="1"/>
    <col min="15129" max="15129" width="9.59765625" style="709" customWidth="1"/>
    <col min="15130" max="15365" width="8.19921875" style="709"/>
    <col min="15366" max="15366" width="8.09765625" style="709" customWidth="1"/>
    <col min="15367" max="15367" width="12.69921875" style="709" customWidth="1"/>
    <col min="15368" max="15368" width="7.296875" style="709" customWidth="1"/>
    <col min="15369" max="15369" width="9.296875" style="709" customWidth="1"/>
    <col min="15370" max="15371" width="9" style="709" customWidth="1"/>
    <col min="15372" max="15372" width="8" style="709" bestFit="1" customWidth="1"/>
    <col min="15373" max="15373" width="8.3984375" style="709" bestFit="1" customWidth="1"/>
    <col min="15374" max="15374" width="8.3984375" style="709" customWidth="1"/>
    <col min="15375" max="15375" width="14.59765625" style="709" customWidth="1"/>
    <col min="15376" max="15376" width="14" style="709" customWidth="1"/>
    <col min="15377" max="15379" width="7.796875" style="709" customWidth="1"/>
    <col min="15380" max="15380" width="10.5" style="709" bestFit="1" customWidth="1"/>
    <col min="15381" max="15383" width="8.19921875" style="709"/>
    <col min="15384" max="15384" width="14.8984375" style="709" customWidth="1"/>
    <col min="15385" max="15385" width="9.59765625" style="709" customWidth="1"/>
    <col min="15386" max="15621" width="8.19921875" style="709"/>
    <col min="15622" max="15622" width="8.09765625" style="709" customWidth="1"/>
    <col min="15623" max="15623" width="12.69921875" style="709" customWidth="1"/>
    <col min="15624" max="15624" width="7.296875" style="709" customWidth="1"/>
    <col min="15625" max="15625" width="9.296875" style="709" customWidth="1"/>
    <col min="15626" max="15627" width="9" style="709" customWidth="1"/>
    <col min="15628" max="15628" width="8" style="709" bestFit="1" customWidth="1"/>
    <col min="15629" max="15629" width="8.3984375" style="709" bestFit="1" customWidth="1"/>
    <col min="15630" max="15630" width="8.3984375" style="709" customWidth="1"/>
    <col min="15631" max="15631" width="14.59765625" style="709" customWidth="1"/>
    <col min="15632" max="15632" width="14" style="709" customWidth="1"/>
    <col min="15633" max="15635" width="7.796875" style="709" customWidth="1"/>
    <col min="15636" max="15636" width="10.5" style="709" bestFit="1" customWidth="1"/>
    <col min="15637" max="15639" width="8.19921875" style="709"/>
    <col min="15640" max="15640" width="14.8984375" style="709" customWidth="1"/>
    <col min="15641" max="15641" width="9.59765625" style="709" customWidth="1"/>
    <col min="15642" max="15877" width="8.19921875" style="709"/>
    <col min="15878" max="15878" width="8.09765625" style="709" customWidth="1"/>
    <col min="15879" max="15879" width="12.69921875" style="709" customWidth="1"/>
    <col min="15880" max="15880" width="7.296875" style="709" customWidth="1"/>
    <col min="15881" max="15881" width="9.296875" style="709" customWidth="1"/>
    <col min="15882" max="15883" width="9" style="709" customWidth="1"/>
    <col min="15884" max="15884" width="8" style="709" bestFit="1" customWidth="1"/>
    <col min="15885" max="15885" width="8.3984375" style="709" bestFit="1" customWidth="1"/>
    <col min="15886" max="15886" width="8.3984375" style="709" customWidth="1"/>
    <col min="15887" max="15887" width="14.59765625" style="709" customWidth="1"/>
    <col min="15888" max="15888" width="14" style="709" customWidth="1"/>
    <col min="15889" max="15891" width="7.796875" style="709" customWidth="1"/>
    <col min="15892" max="15892" width="10.5" style="709" bestFit="1" customWidth="1"/>
    <col min="15893" max="15895" width="8.19921875" style="709"/>
    <col min="15896" max="15896" width="14.8984375" style="709" customWidth="1"/>
    <col min="15897" max="15897" width="9.59765625" style="709" customWidth="1"/>
    <col min="15898" max="16133" width="8.19921875" style="709"/>
    <col min="16134" max="16134" width="8.09765625" style="709" customWidth="1"/>
    <col min="16135" max="16135" width="12.69921875" style="709" customWidth="1"/>
    <col min="16136" max="16136" width="7.296875" style="709" customWidth="1"/>
    <col min="16137" max="16137" width="9.296875" style="709" customWidth="1"/>
    <col min="16138" max="16139" width="9" style="709" customWidth="1"/>
    <col min="16140" max="16140" width="8" style="709" bestFit="1" customWidth="1"/>
    <col min="16141" max="16141" width="8.3984375" style="709" bestFit="1" customWidth="1"/>
    <col min="16142" max="16142" width="8.3984375" style="709" customWidth="1"/>
    <col min="16143" max="16143" width="14.59765625" style="709" customWidth="1"/>
    <col min="16144" max="16144" width="14" style="709" customWidth="1"/>
    <col min="16145" max="16147" width="7.796875" style="709" customWidth="1"/>
    <col min="16148" max="16148" width="10.5" style="709" bestFit="1" customWidth="1"/>
    <col min="16149" max="16151" width="8.19921875" style="709"/>
    <col min="16152" max="16152" width="14.8984375" style="709" customWidth="1"/>
    <col min="16153" max="16153" width="9.59765625" style="709" customWidth="1"/>
    <col min="16154" max="16384" width="8.19921875" style="709"/>
  </cols>
  <sheetData>
    <row r="1" spans="1:31" ht="23.25" customHeight="1">
      <c r="C1" s="815" t="s">
        <v>436</v>
      </c>
      <c r="D1" s="815"/>
      <c r="E1" s="815"/>
      <c r="F1" s="815"/>
      <c r="G1" s="815"/>
      <c r="H1" s="815"/>
      <c r="I1" s="815"/>
      <c r="J1" s="815"/>
      <c r="K1" s="815"/>
      <c r="L1" s="815"/>
      <c r="M1" s="815"/>
      <c r="N1" s="815"/>
      <c r="O1" s="815"/>
      <c r="P1" s="815"/>
      <c r="Q1" s="815"/>
      <c r="R1" s="710"/>
      <c r="S1" s="710"/>
    </row>
    <row r="2" spans="1:31" ht="20.25" customHeight="1">
      <c r="C2" s="824" t="s">
        <v>541</v>
      </c>
      <c r="D2" s="824"/>
      <c r="E2" s="824"/>
      <c r="F2" s="824"/>
      <c r="G2" s="824"/>
      <c r="H2" s="824"/>
      <c r="I2" s="824"/>
      <c r="J2" s="824"/>
      <c r="K2" s="824"/>
      <c r="L2" s="824"/>
      <c r="M2" s="824"/>
      <c r="N2" s="824"/>
      <c r="O2" s="824"/>
      <c r="P2" s="824"/>
      <c r="Q2" s="824"/>
      <c r="R2" s="711"/>
      <c r="S2" s="711"/>
    </row>
    <row r="3" spans="1:31" ht="20.25" customHeight="1">
      <c r="C3" s="825" t="s">
        <v>195</v>
      </c>
      <c r="D3" s="825"/>
      <c r="E3" s="825"/>
      <c r="F3" s="825"/>
      <c r="G3" s="825"/>
      <c r="H3" s="825"/>
      <c r="I3" s="825"/>
      <c r="J3" s="825"/>
      <c r="K3" s="825"/>
      <c r="L3" s="825"/>
      <c r="M3" s="825"/>
      <c r="N3" s="825"/>
      <c r="O3" s="825"/>
      <c r="P3" s="825"/>
      <c r="Q3" s="825"/>
      <c r="R3" s="711"/>
      <c r="S3" s="711"/>
    </row>
    <row r="4" spans="1:31" ht="20.25" customHeight="1">
      <c r="C4" s="824" t="s">
        <v>542</v>
      </c>
      <c r="D4" s="824"/>
      <c r="E4" s="824"/>
      <c r="F4" s="824"/>
      <c r="G4" s="824"/>
      <c r="H4" s="824"/>
      <c r="I4" s="824"/>
      <c r="J4" s="824"/>
      <c r="K4" s="824"/>
      <c r="L4" s="824"/>
      <c r="M4" s="824"/>
      <c r="N4" s="824"/>
      <c r="O4" s="824"/>
      <c r="P4" s="824"/>
      <c r="Q4" s="824"/>
      <c r="R4" s="711"/>
      <c r="S4" s="711"/>
    </row>
    <row r="5" spans="1:31" ht="12" customHeight="1">
      <c r="C5" s="711"/>
      <c r="D5" s="711"/>
      <c r="E5" s="711"/>
      <c r="F5" s="712"/>
      <c r="G5" s="711"/>
      <c r="H5" s="711"/>
      <c r="I5" s="711"/>
      <c r="J5" s="711"/>
      <c r="K5" s="711"/>
      <c r="L5" s="711"/>
      <c r="M5" s="711"/>
      <c r="N5" s="711"/>
      <c r="O5" s="711"/>
      <c r="P5" s="711"/>
      <c r="Q5" s="711"/>
      <c r="R5" s="711"/>
      <c r="S5" s="711"/>
    </row>
    <row r="6" spans="1:31" ht="45" customHeight="1">
      <c r="A6" s="826" t="s">
        <v>452</v>
      </c>
      <c r="B6" s="713"/>
      <c r="C6" s="827" t="s">
        <v>18</v>
      </c>
      <c r="D6" s="827" t="s">
        <v>453</v>
      </c>
      <c r="E6" s="828" t="s">
        <v>454</v>
      </c>
      <c r="F6" s="828" t="s">
        <v>455</v>
      </c>
      <c r="G6" s="821" t="s">
        <v>456</v>
      </c>
      <c r="H6" s="823"/>
      <c r="I6" s="822"/>
      <c r="J6" s="816" t="s">
        <v>510</v>
      </c>
      <c r="K6" s="817"/>
      <c r="L6" s="818"/>
      <c r="M6" s="821" t="s">
        <v>508</v>
      </c>
      <c r="N6" s="822"/>
      <c r="O6" s="821" t="s">
        <v>509</v>
      </c>
      <c r="P6" s="822"/>
      <c r="Q6" s="819" t="s">
        <v>19</v>
      </c>
      <c r="R6" s="711"/>
      <c r="S6" s="711"/>
      <c r="U6" s="709">
        <v>3</v>
      </c>
    </row>
    <row r="7" spans="1:31" ht="57.6" customHeight="1">
      <c r="A7" s="826"/>
      <c r="B7" s="713"/>
      <c r="C7" s="827"/>
      <c r="D7" s="827"/>
      <c r="E7" s="828"/>
      <c r="F7" s="828"/>
      <c r="G7" s="714" t="s">
        <v>79</v>
      </c>
      <c r="H7" s="714" t="s">
        <v>77</v>
      </c>
      <c r="I7" s="714" t="s">
        <v>78</v>
      </c>
      <c r="J7" s="714" t="s">
        <v>79</v>
      </c>
      <c r="K7" s="714" t="s">
        <v>77</v>
      </c>
      <c r="L7" s="714" t="s">
        <v>78</v>
      </c>
      <c r="M7" s="794" t="s">
        <v>457</v>
      </c>
      <c r="N7" s="794" t="s">
        <v>458</v>
      </c>
      <c r="O7" s="794" t="s">
        <v>517</v>
      </c>
      <c r="P7" s="794" t="s">
        <v>518</v>
      </c>
      <c r="Q7" s="820"/>
      <c r="R7" s="711"/>
      <c r="S7" s="711"/>
      <c r="U7" s="709" t="s">
        <v>459</v>
      </c>
    </row>
    <row r="8" spans="1:31">
      <c r="C8" s="715">
        <v>1</v>
      </c>
      <c r="D8" s="716">
        <f t="shared" ref="D8" si="0">+C8+1</f>
        <v>2</v>
      </c>
      <c r="E8" s="716">
        <f t="shared" ref="E8" si="1">+D8+1</f>
        <v>3</v>
      </c>
      <c r="F8" s="716">
        <f t="shared" ref="F8" si="2">+E8+1</f>
        <v>4</v>
      </c>
      <c r="G8" s="716">
        <f t="shared" ref="G8" si="3">+F8+1</f>
        <v>5</v>
      </c>
      <c r="H8" s="716">
        <f t="shared" ref="H8" si="4">+G8+1</f>
        <v>6</v>
      </c>
      <c r="I8" s="716">
        <f t="shared" ref="I8" si="5">+H8+1</f>
        <v>7</v>
      </c>
      <c r="J8" s="716">
        <f t="shared" ref="J8" si="6">+I8+1</f>
        <v>8</v>
      </c>
      <c r="K8" s="716">
        <f t="shared" ref="K8" si="7">+J8+1</f>
        <v>9</v>
      </c>
      <c r="L8" s="716">
        <f t="shared" ref="L8" si="8">+K8+1</f>
        <v>10</v>
      </c>
      <c r="M8" s="716">
        <f t="shared" ref="M8" si="9">+L8+1</f>
        <v>11</v>
      </c>
      <c r="N8" s="716">
        <f t="shared" ref="N8" si="10">+M8+1</f>
        <v>12</v>
      </c>
      <c r="O8" s="716">
        <f t="shared" ref="O8" si="11">+N8+1</f>
        <v>13</v>
      </c>
      <c r="P8" s="716">
        <f t="shared" ref="P8" si="12">+O8+1</f>
        <v>14</v>
      </c>
      <c r="Q8" s="716">
        <f t="shared" ref="Q8" si="13">+P8+1</f>
        <v>15</v>
      </c>
      <c r="R8" s="717"/>
      <c r="S8" s="717"/>
    </row>
    <row r="9" spans="1:31" ht="19.95" customHeight="1">
      <c r="C9" s="762" t="s">
        <v>1</v>
      </c>
      <c r="D9" s="763" t="s">
        <v>543</v>
      </c>
      <c r="E9" s="764"/>
      <c r="F9" s="765"/>
      <c r="G9" s="766"/>
      <c r="H9" s="766"/>
      <c r="I9" s="793"/>
      <c r="J9" s="767"/>
      <c r="K9" s="767"/>
      <c r="L9" s="767"/>
      <c r="M9" s="768">
        <f>SUBTOTAL(9,M10:M21)</f>
        <v>7747.6429500000004</v>
      </c>
      <c r="N9" s="768">
        <f t="shared" ref="N9:P9" si="14">SUBTOTAL(9,N10:N21)</f>
        <v>4882.7629500000012</v>
      </c>
      <c r="O9" s="768">
        <f t="shared" si="14"/>
        <v>20379.80025</v>
      </c>
      <c r="P9" s="768">
        <f t="shared" si="14"/>
        <v>20022.740249999999</v>
      </c>
      <c r="Q9" s="769"/>
      <c r="R9" s="718"/>
      <c r="S9" s="718"/>
      <c r="T9" s="709" t="s">
        <v>460</v>
      </c>
      <c r="U9" s="709">
        <v>0</v>
      </c>
      <c r="V9" s="709" t="s">
        <v>461</v>
      </c>
    </row>
    <row r="10" spans="1:31" ht="19.95" customHeight="1">
      <c r="A10" s="709">
        <f>_xlfn.AGGREGATE(2,5,$B$10:B10)</f>
        <v>1</v>
      </c>
      <c r="B10" s="719">
        <v>1</v>
      </c>
      <c r="C10" s="770">
        <v>1</v>
      </c>
      <c r="D10" s="771" t="s">
        <v>496</v>
      </c>
      <c r="E10" s="772">
        <v>0</v>
      </c>
      <c r="F10" s="773"/>
      <c r="G10" s="774">
        <v>56.01</v>
      </c>
      <c r="H10" s="774">
        <f>G10-I10</f>
        <v>10.93</v>
      </c>
      <c r="I10" s="774">
        <v>45.08</v>
      </c>
      <c r="J10" s="774">
        <v>6</v>
      </c>
      <c r="K10" s="774">
        <f>J10-L10</f>
        <v>6</v>
      </c>
      <c r="L10" s="774"/>
      <c r="M10" s="775">
        <f>(H9+J9+H10+J10)/2*F10</f>
        <v>0</v>
      </c>
      <c r="N10" s="775">
        <f>(H9+H10)/2*F10</f>
        <v>0</v>
      </c>
      <c r="O10" s="775">
        <f>(I9+L9+I10+L10)/2*F10</f>
        <v>0</v>
      </c>
      <c r="P10" s="775">
        <f>(I9+I10)/2*F10</f>
        <v>0</v>
      </c>
      <c r="Q10" s="771"/>
      <c r="U10" s="709">
        <v>1</v>
      </c>
      <c r="V10" s="709" t="s">
        <v>259</v>
      </c>
      <c r="W10" s="709" t="s">
        <v>462</v>
      </c>
      <c r="X10" s="709">
        <v>0</v>
      </c>
      <c r="Y10" s="709">
        <v>0</v>
      </c>
      <c r="Z10" s="709">
        <v>0</v>
      </c>
      <c r="AA10" s="709">
        <v>0</v>
      </c>
      <c r="AB10" s="709">
        <f>IF(OR(AA10=10,AA10=11),1,0)</f>
        <v>0</v>
      </c>
      <c r="AC10" s="709">
        <f>IF(OR(AA10=1,AA10=11),1,0)</f>
        <v>0</v>
      </c>
      <c r="AE10" s="709" t="s">
        <v>463</v>
      </c>
    </row>
    <row r="11" spans="1:31" ht="19.95" customHeight="1">
      <c r="A11" s="709">
        <f>_xlfn.AGGREGATE(2,5,$B$10:B11)</f>
        <v>1</v>
      </c>
      <c r="C11" s="770" cm="1">
        <f t="array" aca="1" ref="C11" ca="1">IF(ISTEXT(INDIRECT(ADDRESS(ROW()-1,COLUMN(),1,1))),INDIRECT(ADDRESS(ROW()-2,COLUMN(),1,1))+1,INDIRECT(ADDRESS(ROW()-1,COLUMN(),1,1))+1)</f>
        <v>2</v>
      </c>
      <c r="D11" s="771" t="s">
        <v>497</v>
      </c>
      <c r="E11" s="772">
        <v>1.74</v>
      </c>
      <c r="F11" s="776">
        <f t="shared" ref="F11:F44" si="15">E11-E10</f>
        <v>1.74</v>
      </c>
      <c r="G11" s="774">
        <v>56.01</v>
      </c>
      <c r="H11" s="774">
        <f t="shared" ref="H11:H44" si="16">G11-I11</f>
        <v>10.93</v>
      </c>
      <c r="I11" s="774">
        <v>45.08</v>
      </c>
      <c r="J11" s="774">
        <v>6</v>
      </c>
      <c r="K11" s="774">
        <f t="shared" ref="K11:K44" si="17">J11-L11</f>
        <v>6</v>
      </c>
      <c r="L11" s="774"/>
      <c r="M11" s="775">
        <f t="shared" ref="M11:M44" si="18">(H10+J10+H11+J11)/2*F11</f>
        <v>29.458199999999998</v>
      </c>
      <c r="N11" s="775">
        <f t="shared" ref="N11:N44" si="19">(H10+H11)/2*F11</f>
        <v>19.0182</v>
      </c>
      <c r="O11" s="775">
        <f t="shared" ref="O11:O44" si="20">(I10+L10+I11+L11)/2*F11</f>
        <v>78.4392</v>
      </c>
      <c r="P11" s="775">
        <f t="shared" ref="P11:P44" si="21">(I10+I11)/2*F11</f>
        <v>78.4392</v>
      </c>
      <c r="Q11" s="771"/>
      <c r="W11" s="709" t="s">
        <v>464</v>
      </c>
      <c r="X11" s="709">
        <v>3.66</v>
      </c>
      <c r="Y11" s="709">
        <v>0</v>
      </c>
      <c r="Z11" s="709">
        <v>7.59</v>
      </c>
      <c r="AA11" s="709">
        <v>1</v>
      </c>
      <c r="AB11" s="709">
        <f t="shared" ref="AB11:AB45" si="22">IF(OR(AA11=10,AA11=11),1,0)</f>
        <v>0</v>
      </c>
      <c r="AC11" s="709">
        <f t="shared" ref="AC11:AC45" si="23">IF(OR(AA11=1,AA11=11),1,0)</f>
        <v>1</v>
      </c>
      <c r="AE11" s="709" t="s">
        <v>465</v>
      </c>
    </row>
    <row r="12" spans="1:31" ht="19.95" customHeight="1">
      <c r="A12" s="709">
        <f>_xlfn.AGGREGATE(2,5,$B$10:B12)</f>
        <v>1</v>
      </c>
      <c r="C12" s="770" cm="1">
        <f t="array" aca="1" ref="C12" ca="1">IF(ISTEXT(INDIRECT(ADDRESS(ROW()-1,COLUMN(),1,1))),INDIRECT(ADDRESS(ROW()-2,COLUMN(),1,1))+1,INDIRECT(ADDRESS(ROW()-1,COLUMN(),1,1))+1)</f>
        <v>3</v>
      </c>
      <c r="D12" s="771" t="s">
        <v>498</v>
      </c>
      <c r="E12" s="777">
        <v>54.7</v>
      </c>
      <c r="F12" s="776">
        <f t="shared" si="15"/>
        <v>52.96</v>
      </c>
      <c r="G12" s="774">
        <v>60.46</v>
      </c>
      <c r="H12" s="774">
        <f t="shared" si="16"/>
        <v>5.7199999999999989</v>
      </c>
      <c r="I12" s="774">
        <v>54.74</v>
      </c>
      <c r="J12" s="774">
        <v>6</v>
      </c>
      <c r="K12" s="774">
        <f t="shared" si="17"/>
        <v>6</v>
      </c>
      <c r="L12" s="774"/>
      <c r="M12" s="775">
        <f t="shared" si="18"/>
        <v>758.65199999999993</v>
      </c>
      <c r="N12" s="775">
        <f t="shared" si="19"/>
        <v>440.892</v>
      </c>
      <c r="O12" s="775">
        <f t="shared" si="20"/>
        <v>2643.2336</v>
      </c>
      <c r="P12" s="775">
        <f t="shared" si="21"/>
        <v>2643.2336</v>
      </c>
      <c r="Q12" s="771"/>
      <c r="W12" s="709" t="s">
        <v>466</v>
      </c>
      <c r="X12" s="709">
        <v>9.52</v>
      </c>
      <c r="Y12" s="709">
        <v>0</v>
      </c>
      <c r="Z12" s="709">
        <v>21.48</v>
      </c>
      <c r="AA12" s="709">
        <v>1</v>
      </c>
      <c r="AB12" s="709">
        <f t="shared" si="22"/>
        <v>0</v>
      </c>
      <c r="AC12" s="709">
        <f t="shared" si="23"/>
        <v>1</v>
      </c>
      <c r="AE12" s="709" t="s">
        <v>467</v>
      </c>
    </row>
    <row r="13" spans="1:31" ht="19.95" customHeight="1">
      <c r="A13" s="709">
        <f>_xlfn.AGGREGATE(2,5,$B$10:B13)</f>
        <v>1</v>
      </c>
      <c r="C13" s="770" cm="1">
        <f t="array" aca="1" ref="C13" ca="1">IF(ISTEXT(INDIRECT(ADDRESS(ROW()-1,COLUMN(),1,1))),INDIRECT(ADDRESS(ROW()-2,COLUMN(),1,1))+1,INDIRECT(ADDRESS(ROW()-1,COLUMN(),1,1))+1)</f>
        <v>4</v>
      </c>
      <c r="D13" s="771" t="s">
        <v>499</v>
      </c>
      <c r="E13" s="777">
        <v>103.35</v>
      </c>
      <c r="F13" s="776">
        <f t="shared" si="15"/>
        <v>48.649999999999991</v>
      </c>
      <c r="G13" s="774">
        <v>49.65</v>
      </c>
      <c r="H13" s="774">
        <f t="shared" si="16"/>
        <v>13.799999999999997</v>
      </c>
      <c r="I13" s="774">
        <v>35.85</v>
      </c>
      <c r="J13" s="774">
        <v>6</v>
      </c>
      <c r="K13" s="774">
        <f t="shared" si="17"/>
        <v>6</v>
      </c>
      <c r="L13" s="774"/>
      <c r="M13" s="775">
        <f t="shared" si="18"/>
        <v>766.72399999999982</v>
      </c>
      <c r="N13" s="775">
        <f t="shared" si="19"/>
        <v>474.82399999999984</v>
      </c>
      <c r="O13" s="775">
        <f t="shared" si="20"/>
        <v>2203.6017499999998</v>
      </c>
      <c r="P13" s="775">
        <f t="shared" si="21"/>
        <v>2203.6017499999998</v>
      </c>
      <c r="Q13" s="771"/>
      <c r="W13" s="709" t="s">
        <v>468</v>
      </c>
      <c r="X13" s="709">
        <v>22.57</v>
      </c>
      <c r="Y13" s="709">
        <v>5.1100000000000003</v>
      </c>
      <c r="Z13" s="709">
        <v>10.02</v>
      </c>
      <c r="AA13" s="709">
        <v>1</v>
      </c>
      <c r="AB13" s="709">
        <f t="shared" si="22"/>
        <v>0</v>
      </c>
      <c r="AC13" s="709">
        <f t="shared" si="23"/>
        <v>1</v>
      </c>
      <c r="AE13" s="709" t="s">
        <v>469</v>
      </c>
    </row>
    <row r="14" spans="1:31" ht="19.95" customHeight="1">
      <c r="A14" s="709">
        <f>_xlfn.AGGREGATE(2,5,$B$10:B14)</f>
        <v>1</v>
      </c>
      <c r="C14" s="770" cm="1">
        <f t="array" aca="1" ref="C14" ca="1">IF(ISTEXT(INDIRECT(ADDRESS(ROW()-1,COLUMN(),1,1))),INDIRECT(ADDRESS(ROW()-2,COLUMN(),1,1))+1,INDIRECT(ADDRESS(ROW()-1,COLUMN(),1,1))+1)</f>
        <v>5</v>
      </c>
      <c r="D14" s="771" t="s">
        <v>500</v>
      </c>
      <c r="E14" s="777">
        <v>157.19999999999999</v>
      </c>
      <c r="F14" s="776">
        <f t="shared" si="15"/>
        <v>53.849999999999994</v>
      </c>
      <c r="G14" s="774">
        <v>61.03</v>
      </c>
      <c r="H14" s="774">
        <f t="shared" si="16"/>
        <v>5.1899999999999977</v>
      </c>
      <c r="I14" s="774">
        <v>55.84</v>
      </c>
      <c r="J14" s="774">
        <v>6</v>
      </c>
      <c r="K14" s="774">
        <f t="shared" si="17"/>
        <v>0</v>
      </c>
      <c r="L14" s="774">
        <v>6</v>
      </c>
      <c r="M14" s="775">
        <f t="shared" si="18"/>
        <v>834.40574999999978</v>
      </c>
      <c r="N14" s="775">
        <f t="shared" si="19"/>
        <v>511.30574999999982</v>
      </c>
      <c r="O14" s="775">
        <f t="shared" si="20"/>
        <v>2630.3032499999995</v>
      </c>
      <c r="P14" s="775">
        <f t="shared" si="21"/>
        <v>2468.7532499999998</v>
      </c>
      <c r="Q14" s="771"/>
      <c r="W14" s="709" t="s">
        <v>470</v>
      </c>
      <c r="X14" s="709">
        <v>33.4</v>
      </c>
      <c r="Y14" s="709">
        <v>5.8</v>
      </c>
      <c r="Z14" s="709">
        <v>8.0399999999999991</v>
      </c>
      <c r="AA14" s="709">
        <v>1</v>
      </c>
      <c r="AB14" s="709">
        <f t="shared" si="22"/>
        <v>0</v>
      </c>
      <c r="AC14" s="709">
        <f t="shared" si="23"/>
        <v>1</v>
      </c>
    </row>
    <row r="15" spans="1:31" ht="19.95" customHeight="1">
      <c r="A15" s="709">
        <f>_xlfn.AGGREGATE(2,5,$B$10:B15)</f>
        <v>1</v>
      </c>
      <c r="C15" s="770" cm="1">
        <f t="array" aca="1" ref="C15" ca="1">IF(ISTEXT(INDIRECT(ADDRESS(ROW()-1,COLUMN(),1,1))),INDIRECT(ADDRESS(ROW()-2,COLUMN(),1,1))+1,INDIRECT(ADDRESS(ROW()-1,COLUMN(),1,1))+1)</f>
        <v>6</v>
      </c>
      <c r="D15" s="771" t="s">
        <v>501</v>
      </c>
      <c r="E15" s="777">
        <v>222.37</v>
      </c>
      <c r="F15" s="776">
        <f t="shared" si="15"/>
        <v>65.170000000000016</v>
      </c>
      <c r="G15" s="774">
        <v>64.84</v>
      </c>
      <c r="H15" s="774">
        <f t="shared" si="16"/>
        <v>16.010000000000005</v>
      </c>
      <c r="I15" s="774">
        <v>48.83</v>
      </c>
      <c r="J15" s="774">
        <v>6</v>
      </c>
      <c r="K15" s="774">
        <f t="shared" si="17"/>
        <v>6</v>
      </c>
      <c r="L15" s="774"/>
      <c r="M15" s="775">
        <f t="shared" si="18"/>
        <v>1081.8220000000003</v>
      </c>
      <c r="N15" s="775">
        <f t="shared" si="19"/>
        <v>690.80200000000025</v>
      </c>
      <c r="O15" s="775">
        <f t="shared" si="20"/>
        <v>3606.1819500000011</v>
      </c>
      <c r="P15" s="775">
        <f t="shared" si="21"/>
        <v>3410.6719500000008</v>
      </c>
      <c r="Q15" s="771"/>
      <c r="W15" s="709" t="s">
        <v>471</v>
      </c>
      <c r="X15" s="709">
        <v>45.59</v>
      </c>
      <c r="Y15" s="709">
        <v>6.27</v>
      </c>
      <c r="Z15" s="709">
        <v>8.2100000000000009</v>
      </c>
      <c r="AA15" s="709">
        <v>11</v>
      </c>
      <c r="AB15" s="709">
        <f t="shared" si="22"/>
        <v>1</v>
      </c>
      <c r="AC15" s="709">
        <f t="shared" si="23"/>
        <v>1</v>
      </c>
    </row>
    <row r="16" spans="1:31" ht="19.95" customHeight="1">
      <c r="A16" s="709">
        <f>_xlfn.AGGREGATE(2,5,$B$10:B16)</f>
        <v>1</v>
      </c>
      <c r="C16" s="770" cm="1">
        <f t="array" aca="1" ref="C16" ca="1">IF(ISTEXT(INDIRECT(ADDRESS(ROW()-1,COLUMN(),1,1))),INDIRECT(ADDRESS(ROW()-2,COLUMN(),1,1))+1,INDIRECT(ADDRESS(ROW()-1,COLUMN(),1,1))+1)</f>
        <v>7</v>
      </c>
      <c r="D16" s="771" t="s">
        <v>502</v>
      </c>
      <c r="E16" s="777">
        <v>263.26</v>
      </c>
      <c r="F16" s="776">
        <f t="shared" si="15"/>
        <v>40.889999999999986</v>
      </c>
      <c r="G16" s="774">
        <v>70.59</v>
      </c>
      <c r="H16" s="774">
        <f t="shared" si="16"/>
        <v>3.6400000000000006</v>
      </c>
      <c r="I16" s="774">
        <v>66.95</v>
      </c>
      <c r="J16" s="774">
        <v>6</v>
      </c>
      <c r="K16" s="774">
        <f t="shared" si="17"/>
        <v>6</v>
      </c>
      <c r="L16" s="774"/>
      <c r="M16" s="775">
        <f t="shared" si="18"/>
        <v>647.08424999999988</v>
      </c>
      <c r="N16" s="775">
        <f t="shared" si="19"/>
        <v>401.74424999999997</v>
      </c>
      <c r="O16" s="775">
        <f t="shared" si="20"/>
        <v>2367.1220999999991</v>
      </c>
      <c r="P16" s="775">
        <f t="shared" si="21"/>
        <v>2367.1220999999991</v>
      </c>
      <c r="Q16" s="771"/>
      <c r="W16" s="709" t="s">
        <v>472</v>
      </c>
      <c r="X16" s="709">
        <v>62.71</v>
      </c>
      <c r="Y16" s="709">
        <v>7.13</v>
      </c>
      <c r="Z16" s="709">
        <v>7.92</v>
      </c>
      <c r="AA16" s="709">
        <v>11</v>
      </c>
      <c r="AB16" s="709">
        <f t="shared" si="22"/>
        <v>1</v>
      </c>
      <c r="AC16" s="709">
        <f t="shared" si="23"/>
        <v>1</v>
      </c>
    </row>
    <row r="17" spans="1:29" ht="19.95" customHeight="1">
      <c r="A17" s="709">
        <f>_xlfn.AGGREGATE(2,5,$B$10:B17)</f>
        <v>1</v>
      </c>
      <c r="C17" s="770" cm="1">
        <f t="array" aca="1" ref="C17" ca="1">IF(ISTEXT(INDIRECT(ADDRESS(ROW()-1,COLUMN(),1,1))),INDIRECT(ADDRESS(ROW()-2,COLUMN(),1,1))+1,INDIRECT(ADDRESS(ROW()-1,COLUMN(),1,1))+1)</f>
        <v>8</v>
      </c>
      <c r="D17" s="771" t="s">
        <v>503</v>
      </c>
      <c r="E17" s="777">
        <v>304.7</v>
      </c>
      <c r="F17" s="776">
        <f t="shared" si="15"/>
        <v>41.44</v>
      </c>
      <c r="G17" s="774">
        <v>47.6</v>
      </c>
      <c r="H17" s="774">
        <f t="shared" si="16"/>
        <v>15.050000000000004</v>
      </c>
      <c r="I17" s="774">
        <v>32.549999999999997</v>
      </c>
      <c r="J17" s="774">
        <v>6</v>
      </c>
      <c r="K17" s="774">
        <f t="shared" si="17"/>
        <v>6</v>
      </c>
      <c r="L17" s="774"/>
      <c r="M17" s="775">
        <f t="shared" si="18"/>
        <v>635.8968000000001</v>
      </c>
      <c r="N17" s="775">
        <f t="shared" si="19"/>
        <v>387.25680000000006</v>
      </c>
      <c r="O17" s="775">
        <f t="shared" si="20"/>
        <v>2061.64</v>
      </c>
      <c r="P17" s="775">
        <f t="shared" si="21"/>
        <v>2061.64</v>
      </c>
      <c r="Q17" s="771"/>
      <c r="W17" s="709" t="s">
        <v>473</v>
      </c>
      <c r="X17" s="709">
        <v>81.650000000000006</v>
      </c>
      <c r="Y17" s="709">
        <v>5.91</v>
      </c>
      <c r="Z17" s="709">
        <v>6.86</v>
      </c>
      <c r="AA17" s="709">
        <v>11</v>
      </c>
      <c r="AB17" s="709">
        <f t="shared" si="22"/>
        <v>1</v>
      </c>
      <c r="AC17" s="709">
        <f t="shared" si="23"/>
        <v>1</v>
      </c>
    </row>
    <row r="18" spans="1:29" ht="19.95" customHeight="1">
      <c r="A18" s="709">
        <f>_xlfn.AGGREGATE(2,5,$B$10:B18)</f>
        <v>1</v>
      </c>
      <c r="C18" s="770" cm="1">
        <f t="array" aca="1" ref="C18" ca="1">IF(ISTEXT(INDIRECT(ADDRESS(ROW()-1,COLUMN(),1,1))),INDIRECT(ADDRESS(ROW()-2,COLUMN(),1,1))+1,INDIRECT(ADDRESS(ROW()-1,COLUMN(),1,1))+1)</f>
        <v>9</v>
      </c>
      <c r="D18" s="771" t="s">
        <v>504</v>
      </c>
      <c r="E18" s="777">
        <v>349.76</v>
      </c>
      <c r="F18" s="776">
        <f t="shared" si="15"/>
        <v>45.06</v>
      </c>
      <c r="G18" s="774">
        <v>38.200000000000003</v>
      </c>
      <c r="H18" s="774">
        <f t="shared" si="16"/>
        <v>10.290000000000003</v>
      </c>
      <c r="I18" s="774">
        <v>27.91</v>
      </c>
      <c r="J18" s="774">
        <v>6</v>
      </c>
      <c r="K18" s="774">
        <f t="shared" si="17"/>
        <v>6</v>
      </c>
      <c r="L18" s="774"/>
      <c r="M18" s="775">
        <f t="shared" si="18"/>
        <v>841.27020000000016</v>
      </c>
      <c r="N18" s="775">
        <f t="shared" si="19"/>
        <v>570.91020000000015</v>
      </c>
      <c r="O18" s="775">
        <f t="shared" si="20"/>
        <v>1362.1638</v>
      </c>
      <c r="P18" s="775">
        <f t="shared" si="21"/>
        <v>1362.1638</v>
      </c>
      <c r="Q18" s="771"/>
      <c r="W18" s="709" t="s">
        <v>474</v>
      </c>
      <c r="X18" s="709">
        <v>98.69</v>
      </c>
      <c r="Y18" s="709">
        <v>5.97</v>
      </c>
      <c r="Z18" s="709">
        <v>5.62</v>
      </c>
      <c r="AA18" s="709">
        <v>11</v>
      </c>
      <c r="AB18" s="709">
        <f t="shared" si="22"/>
        <v>1</v>
      </c>
      <c r="AC18" s="709">
        <f t="shared" si="23"/>
        <v>1</v>
      </c>
    </row>
    <row r="19" spans="1:29" ht="19.95" customHeight="1">
      <c r="A19" s="709">
        <f>_xlfn.AGGREGATE(2,5,$B$10:B19)</f>
        <v>1</v>
      </c>
      <c r="C19" s="770" cm="1">
        <f t="array" aca="1" ref="C19" ca="1">IF(ISTEXT(INDIRECT(ADDRESS(ROW()-1,COLUMN(),1,1))),INDIRECT(ADDRESS(ROW()-2,COLUMN(),1,1))+1,INDIRECT(ADDRESS(ROW()-1,COLUMN(),1,1))+1)</f>
        <v>10</v>
      </c>
      <c r="D19" s="771" t="s">
        <v>505</v>
      </c>
      <c r="E19" s="777">
        <v>404.68</v>
      </c>
      <c r="F19" s="776">
        <f t="shared" si="15"/>
        <v>54.920000000000016</v>
      </c>
      <c r="G19" s="774">
        <v>38.130000000000003</v>
      </c>
      <c r="H19" s="774">
        <f t="shared" si="16"/>
        <v>10.550000000000004</v>
      </c>
      <c r="I19" s="774">
        <v>27.58</v>
      </c>
      <c r="J19" s="774">
        <v>6</v>
      </c>
      <c r="K19" s="774">
        <f t="shared" si="17"/>
        <v>6</v>
      </c>
      <c r="L19" s="774"/>
      <c r="M19" s="775">
        <f t="shared" si="18"/>
        <v>901.7864000000003</v>
      </c>
      <c r="N19" s="775">
        <f t="shared" si="19"/>
        <v>572.26640000000032</v>
      </c>
      <c r="O19" s="775">
        <f t="shared" si="20"/>
        <v>1523.7554000000002</v>
      </c>
      <c r="P19" s="775">
        <f t="shared" si="21"/>
        <v>1523.7554000000002</v>
      </c>
      <c r="Q19" s="771"/>
      <c r="W19" s="709" t="s">
        <v>475</v>
      </c>
      <c r="X19" s="709">
        <v>100</v>
      </c>
      <c r="Y19" s="709">
        <v>6</v>
      </c>
      <c r="Z19" s="709">
        <v>5.67</v>
      </c>
      <c r="AA19" s="709">
        <v>11</v>
      </c>
      <c r="AB19" s="709">
        <f t="shared" si="22"/>
        <v>1</v>
      </c>
      <c r="AC19" s="709">
        <f t="shared" si="23"/>
        <v>1</v>
      </c>
    </row>
    <row r="20" spans="1:29" ht="19.95" customHeight="1">
      <c r="A20" s="709">
        <f>_xlfn.AGGREGATE(2,5,$B$10:B20)</f>
        <v>1</v>
      </c>
      <c r="C20" s="770" cm="1">
        <f t="array" aca="1" ref="C20" ca="1">IF(ISTEXT(INDIRECT(ADDRESS(ROW()-1,COLUMN(),1,1))),INDIRECT(ADDRESS(ROW()-2,COLUMN(),1,1))+1,INDIRECT(ADDRESS(ROW()-1,COLUMN(),1,1))+1)</f>
        <v>11</v>
      </c>
      <c r="D20" s="771" t="s">
        <v>506</v>
      </c>
      <c r="E20" s="777">
        <v>431.57</v>
      </c>
      <c r="F20" s="776">
        <f t="shared" si="15"/>
        <v>26.889999999999986</v>
      </c>
      <c r="G20" s="774">
        <v>37.14</v>
      </c>
      <c r="H20" s="774">
        <f t="shared" si="16"/>
        <v>11.32</v>
      </c>
      <c r="I20" s="774">
        <v>25.82</v>
      </c>
      <c r="J20" s="774">
        <v>6</v>
      </c>
      <c r="K20" s="774">
        <f t="shared" si="17"/>
        <v>6</v>
      </c>
      <c r="L20" s="774"/>
      <c r="M20" s="775">
        <f t="shared" si="18"/>
        <v>455.38214999999985</v>
      </c>
      <c r="N20" s="775">
        <f t="shared" si="19"/>
        <v>294.04214999999994</v>
      </c>
      <c r="O20" s="775">
        <f t="shared" si="20"/>
        <v>717.96299999999962</v>
      </c>
      <c r="P20" s="775">
        <f t="shared" si="21"/>
        <v>717.96299999999962</v>
      </c>
      <c r="Q20" s="771"/>
      <c r="W20" s="709" t="s">
        <v>476</v>
      </c>
      <c r="X20" s="709">
        <v>116.79</v>
      </c>
      <c r="Y20" s="709">
        <v>6.38</v>
      </c>
      <c r="Z20" s="709">
        <v>9.11</v>
      </c>
      <c r="AA20" s="709">
        <v>11</v>
      </c>
      <c r="AB20" s="709">
        <f t="shared" si="22"/>
        <v>1</v>
      </c>
      <c r="AC20" s="709">
        <f t="shared" si="23"/>
        <v>1</v>
      </c>
    </row>
    <row r="21" spans="1:29" ht="19.95" customHeight="1">
      <c r="A21" s="709">
        <f>_xlfn.AGGREGATE(2,5,$B$10:B21)</f>
        <v>2</v>
      </c>
      <c r="B21" s="709">
        <v>1</v>
      </c>
      <c r="C21" s="770" cm="1">
        <f t="array" aca="1" ref="C21" ca="1">IF(ISTEXT(INDIRECT(ADDRESS(ROW()-1,COLUMN(),1,1))),INDIRECT(ADDRESS(ROW()-2,COLUMN(),1,1))+1,INDIRECT(ADDRESS(ROW()-1,COLUMN(),1,1))+1)</f>
        <v>12</v>
      </c>
      <c r="D21" s="771" t="s">
        <v>507</v>
      </c>
      <c r="E21" s="777">
        <v>477.48</v>
      </c>
      <c r="F21" s="776">
        <f t="shared" si="15"/>
        <v>45.910000000000025</v>
      </c>
      <c r="G21" s="774">
        <v>37.14</v>
      </c>
      <c r="H21" s="774">
        <f t="shared" si="16"/>
        <v>11.32</v>
      </c>
      <c r="I21" s="774">
        <v>25.82</v>
      </c>
      <c r="J21" s="774">
        <v>6</v>
      </c>
      <c r="K21" s="774">
        <f t="shared" si="17"/>
        <v>6</v>
      </c>
      <c r="L21" s="774"/>
      <c r="M21" s="775">
        <f t="shared" si="18"/>
        <v>795.16120000000046</v>
      </c>
      <c r="N21" s="775">
        <f t="shared" si="19"/>
        <v>519.70120000000031</v>
      </c>
      <c r="O21" s="775">
        <f t="shared" si="20"/>
        <v>1185.3962000000006</v>
      </c>
      <c r="P21" s="775">
        <f t="shared" si="21"/>
        <v>1185.3962000000006</v>
      </c>
      <c r="Q21" s="771"/>
      <c r="W21" s="709" t="s">
        <v>477</v>
      </c>
      <c r="X21" s="709">
        <v>122.57</v>
      </c>
      <c r="Y21" s="709">
        <v>6.8</v>
      </c>
      <c r="Z21" s="709">
        <v>7.11</v>
      </c>
      <c r="AA21" s="709">
        <v>1</v>
      </c>
      <c r="AB21" s="709">
        <f t="shared" si="22"/>
        <v>0</v>
      </c>
      <c r="AC21" s="709">
        <f t="shared" si="23"/>
        <v>1</v>
      </c>
    </row>
    <row r="22" spans="1:29" ht="19.95" customHeight="1">
      <c r="C22" s="762" t="s">
        <v>2</v>
      </c>
      <c r="D22" s="763" t="s">
        <v>519</v>
      </c>
      <c r="E22" s="764"/>
      <c r="F22" s="765"/>
      <c r="G22" s="766"/>
      <c r="H22" s="766"/>
      <c r="I22" s="793"/>
      <c r="J22" s="767"/>
      <c r="K22" s="767"/>
      <c r="L22" s="767"/>
      <c r="M22" s="768">
        <f>SUBTOTAL(9,M23:M44)</f>
        <v>29516.201000000001</v>
      </c>
      <c r="N22" s="768">
        <f t="shared" ref="N22:P22" si="24">SUBTOTAL(9,N23:N44)</f>
        <v>19536.100999999999</v>
      </c>
      <c r="O22" s="768">
        <f t="shared" si="24"/>
        <v>38772.148999999998</v>
      </c>
      <c r="P22" s="768">
        <f t="shared" si="24"/>
        <v>38772.148999999998</v>
      </c>
      <c r="Q22" s="769"/>
      <c r="R22" s="718"/>
      <c r="S22" s="718"/>
    </row>
    <row r="23" spans="1:29" ht="19.95" customHeight="1">
      <c r="C23" s="770" cm="1">
        <f t="array" aca="1" ref="C23" ca="1">IF(ISTEXT(INDIRECT(ADDRESS(ROW()-1,COLUMN(),1,1))),INDIRECT(ADDRESS(ROW()-2,COLUMN(),1,1))+1,INDIRECT(ADDRESS(ROW()-1,COLUMN(),1,1))+1)</f>
        <v>13</v>
      </c>
      <c r="D23" s="771" t="s">
        <v>496</v>
      </c>
      <c r="E23" s="777">
        <v>0</v>
      </c>
      <c r="F23" s="776">
        <f t="shared" si="15"/>
        <v>0</v>
      </c>
      <c r="G23" s="774">
        <v>39.69</v>
      </c>
      <c r="H23" s="774">
        <f t="shared" si="16"/>
        <v>7.3399999999999963</v>
      </c>
      <c r="I23" s="774">
        <v>32.35</v>
      </c>
      <c r="J23" s="774">
        <v>6</v>
      </c>
      <c r="K23" s="774">
        <f t="shared" si="17"/>
        <v>6</v>
      </c>
      <c r="L23" s="774"/>
      <c r="M23" s="775">
        <f t="shared" si="18"/>
        <v>0</v>
      </c>
      <c r="N23" s="775">
        <f t="shared" si="19"/>
        <v>0</v>
      </c>
      <c r="O23" s="775">
        <f t="shared" si="20"/>
        <v>0</v>
      </c>
      <c r="P23" s="775">
        <f t="shared" si="21"/>
        <v>0</v>
      </c>
      <c r="Q23" s="771"/>
    </row>
    <row r="24" spans="1:29" ht="19.95" customHeight="1">
      <c r="C24" s="770" cm="1">
        <f t="array" aca="1" ref="C24" ca="1">IF(ISTEXT(INDIRECT(ADDRESS(ROW()-1,COLUMN(),1,1))),INDIRECT(ADDRESS(ROW()-2,COLUMN(),1,1))+1,INDIRECT(ADDRESS(ROW()-1,COLUMN(),1,1))+1)</f>
        <v>14</v>
      </c>
      <c r="D24" s="771">
        <v>1</v>
      </c>
      <c r="E24" s="777">
        <v>8.75</v>
      </c>
      <c r="F24" s="776">
        <f t="shared" si="15"/>
        <v>8.75</v>
      </c>
      <c r="G24" s="774">
        <v>39.69</v>
      </c>
      <c r="H24" s="774">
        <f t="shared" si="16"/>
        <v>7.3399999999999963</v>
      </c>
      <c r="I24" s="774">
        <v>32.35</v>
      </c>
      <c r="J24" s="774">
        <v>6</v>
      </c>
      <c r="K24" s="774">
        <f t="shared" si="17"/>
        <v>6</v>
      </c>
      <c r="L24" s="774"/>
      <c r="M24" s="775">
        <f t="shared" si="18"/>
        <v>116.72499999999997</v>
      </c>
      <c r="N24" s="775">
        <f t="shared" si="19"/>
        <v>64.224999999999966</v>
      </c>
      <c r="O24" s="775">
        <f t="shared" si="20"/>
        <v>283.0625</v>
      </c>
      <c r="P24" s="775">
        <f t="shared" si="21"/>
        <v>283.0625</v>
      </c>
      <c r="Q24" s="771"/>
    </row>
    <row r="25" spans="1:29" ht="19.95" customHeight="1">
      <c r="C25" s="770" cm="1">
        <f t="array" aca="1" ref="C25" ca="1">IF(ISTEXT(INDIRECT(ADDRESS(ROW()-1,COLUMN(),1,1))),INDIRECT(ADDRESS(ROW()-2,COLUMN(),1,1))+1,INDIRECT(ADDRESS(ROW()-1,COLUMN(),1,1))+1)</f>
        <v>15</v>
      </c>
      <c r="D25" s="771">
        <v>2</v>
      </c>
      <c r="E25" s="777">
        <v>104.15</v>
      </c>
      <c r="F25" s="776">
        <f t="shared" si="15"/>
        <v>95.4</v>
      </c>
      <c r="G25" s="774">
        <v>36.96</v>
      </c>
      <c r="H25" s="774">
        <f t="shared" si="16"/>
        <v>5.57</v>
      </c>
      <c r="I25" s="774">
        <v>31.39</v>
      </c>
      <c r="J25" s="774">
        <v>6</v>
      </c>
      <c r="K25" s="774">
        <f t="shared" si="17"/>
        <v>6</v>
      </c>
      <c r="L25" s="774"/>
      <c r="M25" s="775">
        <f t="shared" si="18"/>
        <v>1188.2069999999999</v>
      </c>
      <c r="N25" s="775">
        <f t="shared" si="19"/>
        <v>615.8069999999999</v>
      </c>
      <c r="O25" s="775">
        <f t="shared" si="20"/>
        <v>3040.3980000000001</v>
      </c>
      <c r="P25" s="775">
        <f t="shared" si="21"/>
        <v>3040.3980000000001</v>
      </c>
      <c r="Q25" s="771"/>
    </row>
    <row r="26" spans="1:29" ht="19.95" customHeight="1">
      <c r="C26" s="770" cm="1">
        <f t="array" aca="1" ref="C26" ca="1">IF(ISTEXT(INDIRECT(ADDRESS(ROW()-1,COLUMN(),1,1))),INDIRECT(ADDRESS(ROW()-2,COLUMN(),1,1))+1,INDIRECT(ADDRESS(ROW()-1,COLUMN(),1,1))+1)</f>
        <v>16</v>
      </c>
      <c r="D26" s="771">
        <v>3</v>
      </c>
      <c r="E26" s="777">
        <v>197.89</v>
      </c>
      <c r="F26" s="776">
        <f t="shared" si="15"/>
        <v>93.739999999999981</v>
      </c>
      <c r="G26" s="774">
        <v>34.36</v>
      </c>
      <c r="H26" s="774">
        <f t="shared" si="16"/>
        <v>8.39</v>
      </c>
      <c r="I26" s="774">
        <v>25.97</v>
      </c>
      <c r="J26" s="774">
        <v>6</v>
      </c>
      <c r="K26" s="774">
        <f t="shared" si="17"/>
        <v>6</v>
      </c>
      <c r="L26" s="774"/>
      <c r="M26" s="775">
        <f t="shared" si="18"/>
        <v>1216.7451999999998</v>
      </c>
      <c r="N26" s="775">
        <f t="shared" si="19"/>
        <v>654.3051999999999</v>
      </c>
      <c r="O26" s="775">
        <f t="shared" si="20"/>
        <v>2688.4631999999992</v>
      </c>
      <c r="P26" s="775">
        <f t="shared" si="21"/>
        <v>2688.4631999999992</v>
      </c>
      <c r="Q26" s="771"/>
    </row>
    <row r="27" spans="1:29" ht="19.95" customHeight="1">
      <c r="C27" s="770" cm="1">
        <f t="array" aca="1" ref="C27" ca="1">IF(ISTEXT(INDIRECT(ADDRESS(ROW()-1,COLUMN(),1,1))),INDIRECT(ADDRESS(ROW()-2,COLUMN(),1,1))+1,INDIRECT(ADDRESS(ROW()-1,COLUMN(),1,1))+1)</f>
        <v>17</v>
      </c>
      <c r="D27" s="771">
        <v>4</v>
      </c>
      <c r="E27" s="777">
        <v>283</v>
      </c>
      <c r="F27" s="776">
        <f t="shared" si="15"/>
        <v>85.110000000000014</v>
      </c>
      <c r="G27" s="774">
        <v>31.39</v>
      </c>
      <c r="H27" s="774">
        <f t="shared" si="16"/>
        <v>16.37</v>
      </c>
      <c r="I27" s="774">
        <v>15.02</v>
      </c>
      <c r="J27" s="774">
        <v>6</v>
      </c>
      <c r="K27" s="774">
        <f t="shared" si="17"/>
        <v>6</v>
      </c>
      <c r="L27" s="774"/>
      <c r="M27" s="775">
        <f t="shared" si="18"/>
        <v>1564.3218000000004</v>
      </c>
      <c r="N27" s="775">
        <f t="shared" si="19"/>
        <v>1053.6618000000003</v>
      </c>
      <c r="O27" s="775">
        <f t="shared" si="20"/>
        <v>1744.32945</v>
      </c>
      <c r="P27" s="775">
        <f t="shared" si="21"/>
        <v>1744.32945</v>
      </c>
      <c r="Q27" s="771"/>
    </row>
    <row r="28" spans="1:29" ht="19.95" customHeight="1">
      <c r="A28" s="709">
        <f>_xlfn.AGGREGATE(2,5,$B$10:B28)</f>
        <v>2</v>
      </c>
      <c r="C28" s="770" cm="1">
        <f t="array" aca="1" ref="C28" ca="1">IF(ISTEXT(INDIRECT(ADDRESS(ROW()-1,COLUMN(),1,1))),INDIRECT(ADDRESS(ROW()-2,COLUMN(),1,1))+1,INDIRECT(ADDRESS(ROW()-1,COLUMN(),1,1))+1)</f>
        <v>18</v>
      </c>
      <c r="D28" s="771">
        <v>5</v>
      </c>
      <c r="E28" s="777">
        <v>382.45</v>
      </c>
      <c r="F28" s="776">
        <f t="shared" si="15"/>
        <v>99.449999999999989</v>
      </c>
      <c r="G28" s="774">
        <v>32.9</v>
      </c>
      <c r="H28" s="774">
        <f t="shared" si="16"/>
        <v>18.13</v>
      </c>
      <c r="I28" s="774">
        <v>14.77</v>
      </c>
      <c r="J28" s="774">
        <v>6</v>
      </c>
      <c r="K28" s="774">
        <f t="shared" si="17"/>
        <v>6</v>
      </c>
      <c r="L28" s="774"/>
      <c r="M28" s="775">
        <f t="shared" si="18"/>
        <v>2312.2124999999996</v>
      </c>
      <c r="N28" s="775">
        <f t="shared" si="19"/>
        <v>1715.5124999999998</v>
      </c>
      <c r="O28" s="775">
        <f t="shared" si="20"/>
        <v>1481.3077499999997</v>
      </c>
      <c r="P28" s="775">
        <f t="shared" si="21"/>
        <v>1481.3077499999997</v>
      </c>
      <c r="Q28" s="771"/>
      <c r="W28" s="709" t="s">
        <v>478</v>
      </c>
      <c r="X28" s="709">
        <v>200</v>
      </c>
      <c r="Y28" s="709">
        <v>5.04</v>
      </c>
      <c r="Z28" s="709">
        <v>0</v>
      </c>
      <c r="AA28" s="709">
        <v>10</v>
      </c>
      <c r="AB28" s="709">
        <f t="shared" si="22"/>
        <v>1</v>
      </c>
      <c r="AC28" s="709">
        <f t="shared" si="23"/>
        <v>0</v>
      </c>
    </row>
    <row r="29" spans="1:29" ht="19.95" customHeight="1">
      <c r="A29" s="709">
        <f>_xlfn.AGGREGATE(2,5,$B$10:B29)</f>
        <v>2</v>
      </c>
      <c r="C29" s="770" cm="1">
        <f t="array" aca="1" ref="C29" ca="1">IF(ISTEXT(INDIRECT(ADDRESS(ROW()-1,COLUMN(),1,1))),INDIRECT(ADDRESS(ROW()-2,COLUMN(),1,1))+1,INDIRECT(ADDRESS(ROW()-1,COLUMN(),1,1))+1)</f>
        <v>19</v>
      </c>
      <c r="D29" s="771">
        <v>6</v>
      </c>
      <c r="E29" s="777">
        <v>416.24</v>
      </c>
      <c r="F29" s="776">
        <f t="shared" si="15"/>
        <v>33.79000000000002</v>
      </c>
      <c r="G29" s="774">
        <v>32.590000000000003</v>
      </c>
      <c r="H29" s="774">
        <f t="shared" si="16"/>
        <v>14.570000000000004</v>
      </c>
      <c r="I29" s="774">
        <v>18.02</v>
      </c>
      <c r="J29" s="774">
        <v>6</v>
      </c>
      <c r="K29" s="774">
        <f t="shared" si="17"/>
        <v>6</v>
      </c>
      <c r="L29" s="774"/>
      <c r="M29" s="775">
        <f t="shared" si="18"/>
        <v>755.20650000000046</v>
      </c>
      <c r="N29" s="775">
        <f t="shared" si="19"/>
        <v>552.46650000000034</v>
      </c>
      <c r="O29" s="775">
        <f t="shared" si="20"/>
        <v>553.98705000000029</v>
      </c>
      <c r="P29" s="775">
        <f t="shared" si="21"/>
        <v>553.98705000000029</v>
      </c>
      <c r="Q29" s="771"/>
      <c r="W29" s="709" t="s">
        <v>479</v>
      </c>
      <c r="X29" s="709">
        <v>202.28</v>
      </c>
      <c r="Y29" s="709">
        <v>5.29</v>
      </c>
      <c r="Z29" s="709">
        <v>0</v>
      </c>
      <c r="AA29" s="709">
        <v>10</v>
      </c>
      <c r="AB29" s="709">
        <f t="shared" si="22"/>
        <v>1</v>
      </c>
      <c r="AC29" s="709">
        <f t="shared" si="23"/>
        <v>0</v>
      </c>
    </row>
    <row r="30" spans="1:29" ht="19.95" customHeight="1">
      <c r="A30" s="709">
        <f>_xlfn.AGGREGATE(2,5,$B$10:B30)</f>
        <v>2</v>
      </c>
      <c r="C30" s="770" cm="1">
        <f t="array" aca="1" ref="C30" ca="1">IF(ISTEXT(INDIRECT(ADDRESS(ROW()-1,COLUMN(),1,1))),INDIRECT(ADDRESS(ROW()-2,COLUMN(),1,1))+1,INDIRECT(ADDRESS(ROW()-1,COLUMN(),1,1))+1)</f>
        <v>20</v>
      </c>
      <c r="D30" s="771">
        <v>7</v>
      </c>
      <c r="E30" s="777">
        <v>504.99</v>
      </c>
      <c r="F30" s="776">
        <f t="shared" si="15"/>
        <v>88.75</v>
      </c>
      <c r="G30" s="774">
        <v>33.56</v>
      </c>
      <c r="H30" s="774">
        <f t="shared" si="16"/>
        <v>12.870000000000001</v>
      </c>
      <c r="I30" s="774">
        <v>20.69</v>
      </c>
      <c r="J30" s="774">
        <v>6</v>
      </c>
      <c r="K30" s="774">
        <f t="shared" si="17"/>
        <v>6</v>
      </c>
      <c r="L30" s="774"/>
      <c r="M30" s="775">
        <f t="shared" si="18"/>
        <v>1750.1500000000003</v>
      </c>
      <c r="N30" s="775">
        <f t="shared" si="19"/>
        <v>1217.6500000000003</v>
      </c>
      <c r="O30" s="775">
        <f t="shared" si="20"/>
        <v>1717.7562500000001</v>
      </c>
      <c r="P30" s="775">
        <f t="shared" si="21"/>
        <v>1717.7562500000001</v>
      </c>
      <c r="Q30" s="771"/>
      <c r="W30" s="709" t="s">
        <v>480</v>
      </c>
      <c r="X30" s="709">
        <v>220.9</v>
      </c>
      <c r="Y30" s="709">
        <v>3.45</v>
      </c>
      <c r="Z30" s="709">
        <v>1.18</v>
      </c>
      <c r="AA30" s="709">
        <v>11</v>
      </c>
      <c r="AB30" s="709">
        <f t="shared" si="22"/>
        <v>1</v>
      </c>
      <c r="AC30" s="709">
        <f t="shared" si="23"/>
        <v>1</v>
      </c>
    </row>
    <row r="31" spans="1:29" ht="19.95" customHeight="1">
      <c r="A31" s="709">
        <f>_xlfn.AGGREGATE(2,5,$B$10:B31)</f>
        <v>2</v>
      </c>
      <c r="C31" s="770" cm="1">
        <f t="array" aca="1" ref="C31" ca="1">IF(ISTEXT(INDIRECT(ADDRESS(ROW()-1,COLUMN(),1,1))),INDIRECT(ADDRESS(ROW()-2,COLUMN(),1,1))+1,INDIRECT(ADDRESS(ROW()-1,COLUMN(),1,1))+1)</f>
        <v>21</v>
      </c>
      <c r="D31" s="770">
        <v>8</v>
      </c>
      <c r="E31" s="777">
        <v>604.08000000000004</v>
      </c>
      <c r="F31" s="776">
        <f t="shared" si="15"/>
        <v>99.090000000000032</v>
      </c>
      <c r="G31" s="774">
        <v>32.31</v>
      </c>
      <c r="H31" s="774">
        <f t="shared" si="16"/>
        <v>14.290000000000003</v>
      </c>
      <c r="I31" s="774">
        <v>18.02</v>
      </c>
      <c r="J31" s="774">
        <v>6</v>
      </c>
      <c r="K31" s="774">
        <f t="shared" si="17"/>
        <v>6</v>
      </c>
      <c r="L31" s="774"/>
      <c r="M31" s="775">
        <f t="shared" si="18"/>
        <v>1940.1822000000009</v>
      </c>
      <c r="N31" s="775">
        <f t="shared" si="19"/>
        <v>1345.6422000000007</v>
      </c>
      <c r="O31" s="775">
        <f t="shared" si="20"/>
        <v>1917.8869500000008</v>
      </c>
      <c r="P31" s="775">
        <f t="shared" si="21"/>
        <v>1917.8869500000008</v>
      </c>
      <c r="Q31" s="771"/>
      <c r="W31" s="709" t="s">
        <v>481</v>
      </c>
      <c r="X31" s="709">
        <v>230.28</v>
      </c>
      <c r="Y31" s="709">
        <v>6.03</v>
      </c>
      <c r="Z31" s="709">
        <v>0</v>
      </c>
      <c r="AA31" s="709">
        <v>10</v>
      </c>
      <c r="AB31" s="709">
        <f t="shared" si="22"/>
        <v>1</v>
      </c>
      <c r="AC31" s="709">
        <f t="shared" si="23"/>
        <v>0</v>
      </c>
    </row>
    <row r="32" spans="1:29" ht="19.95" customHeight="1">
      <c r="A32" s="709">
        <f>_xlfn.AGGREGATE(2,5,$B$10:B32)</f>
        <v>2</v>
      </c>
      <c r="C32" s="770" cm="1">
        <f t="array" aca="1" ref="C32" ca="1">IF(ISTEXT(INDIRECT(ADDRESS(ROW()-1,COLUMN(),1,1))),INDIRECT(ADDRESS(ROW()-2,COLUMN(),1,1))+1,INDIRECT(ADDRESS(ROW()-1,COLUMN(),1,1))+1)</f>
        <v>22</v>
      </c>
      <c r="D32" s="770">
        <v>9</v>
      </c>
      <c r="E32" s="777">
        <v>700.22</v>
      </c>
      <c r="F32" s="776">
        <f t="shared" si="15"/>
        <v>96.139999999999986</v>
      </c>
      <c r="G32" s="774">
        <v>32.69</v>
      </c>
      <c r="H32" s="774">
        <f t="shared" si="16"/>
        <v>14.389999999999997</v>
      </c>
      <c r="I32" s="774">
        <v>18.3</v>
      </c>
      <c r="J32" s="774">
        <v>6</v>
      </c>
      <c r="K32" s="774">
        <f t="shared" si="17"/>
        <v>6</v>
      </c>
      <c r="L32" s="774"/>
      <c r="M32" s="775">
        <f t="shared" si="18"/>
        <v>1955.4875999999997</v>
      </c>
      <c r="N32" s="775">
        <f t="shared" si="19"/>
        <v>1378.6475999999998</v>
      </c>
      <c r="O32" s="775">
        <f t="shared" si="20"/>
        <v>1745.9023999999997</v>
      </c>
      <c r="P32" s="775">
        <f t="shared" si="21"/>
        <v>1745.9023999999997</v>
      </c>
      <c r="Q32" s="771"/>
      <c r="W32" s="709" t="s">
        <v>482</v>
      </c>
      <c r="X32" s="709">
        <v>238.76</v>
      </c>
      <c r="Y32" s="709">
        <v>7.64</v>
      </c>
      <c r="Z32" s="709">
        <v>0</v>
      </c>
      <c r="AA32" s="709">
        <v>10</v>
      </c>
      <c r="AB32" s="709">
        <f t="shared" si="22"/>
        <v>1</v>
      </c>
      <c r="AC32" s="709">
        <f t="shared" si="23"/>
        <v>0</v>
      </c>
    </row>
    <row r="33" spans="1:29" ht="19.95" customHeight="1">
      <c r="A33" s="709">
        <f>_xlfn.AGGREGATE(2,5,$B$10:B33)</f>
        <v>2</v>
      </c>
      <c r="C33" s="770" cm="1">
        <f t="array" aca="1" ref="C33" ca="1">IF(ISTEXT(INDIRECT(ADDRESS(ROW()-1,COLUMN(),1,1))),INDIRECT(ADDRESS(ROW()-2,COLUMN(),1,1))+1,INDIRECT(ADDRESS(ROW()-1,COLUMN(),1,1))+1)</f>
        <v>23</v>
      </c>
      <c r="D33" s="770">
        <v>10</v>
      </c>
      <c r="E33" s="777">
        <v>799.15</v>
      </c>
      <c r="F33" s="776">
        <f t="shared" si="15"/>
        <v>98.92999999999995</v>
      </c>
      <c r="G33" s="774">
        <v>32.630000000000003</v>
      </c>
      <c r="H33" s="774">
        <f t="shared" si="16"/>
        <v>15.530000000000001</v>
      </c>
      <c r="I33" s="774">
        <v>17.100000000000001</v>
      </c>
      <c r="J33" s="774">
        <v>6</v>
      </c>
      <c r="K33" s="774">
        <f t="shared" si="17"/>
        <v>6</v>
      </c>
      <c r="L33" s="774"/>
      <c r="M33" s="775">
        <f t="shared" si="18"/>
        <v>2073.572799999999</v>
      </c>
      <c r="N33" s="775">
        <f t="shared" si="19"/>
        <v>1479.9927999999991</v>
      </c>
      <c r="O33" s="775">
        <f t="shared" si="20"/>
        <v>1751.0609999999995</v>
      </c>
      <c r="P33" s="775">
        <f t="shared" si="21"/>
        <v>1751.0609999999995</v>
      </c>
      <c r="Q33" s="771"/>
      <c r="W33" s="709" t="s">
        <v>483</v>
      </c>
      <c r="X33" s="709">
        <v>255.47</v>
      </c>
      <c r="Y33" s="709">
        <v>11.73</v>
      </c>
      <c r="Z33" s="709">
        <v>5</v>
      </c>
      <c r="AA33" s="709">
        <v>11</v>
      </c>
      <c r="AB33" s="709">
        <f t="shared" si="22"/>
        <v>1</v>
      </c>
      <c r="AC33" s="709">
        <f t="shared" si="23"/>
        <v>1</v>
      </c>
    </row>
    <row r="34" spans="1:29" ht="19.95" customHeight="1">
      <c r="A34" s="709">
        <f>_xlfn.AGGREGATE(2,5,$B$10:B34)</f>
        <v>2</v>
      </c>
      <c r="C34" s="770" cm="1">
        <f t="array" aca="1" ref="C34" ca="1">IF(ISTEXT(INDIRECT(ADDRESS(ROW()-1,COLUMN(),1,1))),INDIRECT(ADDRESS(ROW()-2,COLUMN(),1,1))+1,INDIRECT(ADDRESS(ROW()-1,COLUMN(),1,1))+1)</f>
        <v>24</v>
      </c>
      <c r="D34" s="770">
        <v>11</v>
      </c>
      <c r="E34" s="777">
        <v>900.4</v>
      </c>
      <c r="F34" s="776">
        <f t="shared" si="15"/>
        <v>101.25</v>
      </c>
      <c r="G34" s="774">
        <v>33.39</v>
      </c>
      <c r="H34" s="774">
        <f t="shared" si="16"/>
        <v>13.96</v>
      </c>
      <c r="I34" s="774">
        <v>19.43</v>
      </c>
      <c r="J34" s="774">
        <v>6</v>
      </c>
      <c r="K34" s="774">
        <f t="shared" si="17"/>
        <v>6</v>
      </c>
      <c r="L34" s="774"/>
      <c r="M34" s="775">
        <f t="shared" si="18"/>
        <v>2100.4312500000001</v>
      </c>
      <c r="N34" s="775">
        <f t="shared" si="19"/>
        <v>1492.9312500000001</v>
      </c>
      <c r="O34" s="775">
        <f t="shared" si="20"/>
        <v>1849.33125</v>
      </c>
      <c r="P34" s="775">
        <f t="shared" si="21"/>
        <v>1849.33125</v>
      </c>
      <c r="Q34" s="771"/>
      <c r="W34" s="709" t="s">
        <v>484</v>
      </c>
      <c r="X34" s="709">
        <v>265.57</v>
      </c>
      <c r="Y34" s="709">
        <v>8.3699999999999992</v>
      </c>
      <c r="Z34" s="709">
        <v>0</v>
      </c>
      <c r="AA34" s="709">
        <v>10</v>
      </c>
      <c r="AB34" s="709">
        <f t="shared" si="22"/>
        <v>1</v>
      </c>
      <c r="AC34" s="709">
        <f t="shared" si="23"/>
        <v>0</v>
      </c>
    </row>
    <row r="35" spans="1:29" ht="19.95" customHeight="1">
      <c r="A35" s="709">
        <f>_xlfn.AGGREGATE(2,5,$B$10:B35)</f>
        <v>2</v>
      </c>
      <c r="C35" s="770" cm="1">
        <f t="array" aca="1" ref="C35" ca="1">IF(ISTEXT(INDIRECT(ADDRESS(ROW()-1,COLUMN(),1,1))),INDIRECT(ADDRESS(ROW()-2,COLUMN(),1,1))+1,INDIRECT(ADDRESS(ROW()-1,COLUMN(),1,1))+1)</f>
        <v>25</v>
      </c>
      <c r="D35" s="770">
        <v>12</v>
      </c>
      <c r="E35" s="777">
        <v>992.87</v>
      </c>
      <c r="F35" s="776">
        <f t="shared" si="15"/>
        <v>92.470000000000027</v>
      </c>
      <c r="G35" s="774">
        <v>33.61</v>
      </c>
      <c r="H35" s="774">
        <f t="shared" si="16"/>
        <v>15.129999999999999</v>
      </c>
      <c r="I35" s="774">
        <v>18.48</v>
      </c>
      <c r="J35" s="774">
        <v>6</v>
      </c>
      <c r="K35" s="774">
        <f t="shared" si="17"/>
        <v>6</v>
      </c>
      <c r="L35" s="774"/>
      <c r="M35" s="775">
        <f t="shared" si="18"/>
        <v>1899.7961500000008</v>
      </c>
      <c r="N35" s="775">
        <f t="shared" si="19"/>
        <v>1344.9761500000004</v>
      </c>
      <c r="O35" s="775">
        <f t="shared" si="20"/>
        <v>1752.7688500000004</v>
      </c>
      <c r="P35" s="775">
        <f t="shared" si="21"/>
        <v>1752.7688500000004</v>
      </c>
      <c r="Q35" s="771"/>
      <c r="W35" s="709" t="s">
        <v>485</v>
      </c>
      <c r="X35" s="709">
        <v>271.33</v>
      </c>
      <c r="Y35" s="709">
        <v>8.9600000000000009</v>
      </c>
      <c r="Z35" s="709">
        <v>0</v>
      </c>
      <c r="AA35" s="709">
        <v>10</v>
      </c>
      <c r="AB35" s="709">
        <f t="shared" si="22"/>
        <v>1</v>
      </c>
      <c r="AC35" s="709">
        <f t="shared" si="23"/>
        <v>0</v>
      </c>
    </row>
    <row r="36" spans="1:29" ht="19.95" customHeight="1">
      <c r="A36" s="709">
        <f>_xlfn.AGGREGATE(2,5,$B$10:B36)</f>
        <v>2</v>
      </c>
      <c r="C36" s="770" cm="1">
        <f t="array" aca="1" ref="C36" ca="1">IF(ISTEXT(INDIRECT(ADDRESS(ROW()-1,COLUMN(),1,1))),INDIRECT(ADDRESS(ROW()-2,COLUMN(),1,1))+1,INDIRECT(ADDRESS(ROW()-1,COLUMN(),1,1))+1)</f>
        <v>26</v>
      </c>
      <c r="D36" s="770">
        <v>13</v>
      </c>
      <c r="E36" s="777">
        <v>1083.76</v>
      </c>
      <c r="F36" s="776">
        <f t="shared" si="15"/>
        <v>90.889999999999986</v>
      </c>
      <c r="G36" s="774">
        <v>32.880000000000003</v>
      </c>
      <c r="H36" s="774">
        <f t="shared" si="16"/>
        <v>13.530000000000001</v>
      </c>
      <c r="I36" s="774">
        <v>19.350000000000001</v>
      </c>
      <c r="J36" s="774">
        <v>6</v>
      </c>
      <c r="K36" s="774">
        <f t="shared" si="17"/>
        <v>6</v>
      </c>
      <c r="L36" s="774"/>
      <c r="M36" s="775">
        <f t="shared" si="18"/>
        <v>1847.7936999999995</v>
      </c>
      <c r="N36" s="775">
        <f t="shared" si="19"/>
        <v>1302.4536999999998</v>
      </c>
      <c r="O36" s="775">
        <f t="shared" si="20"/>
        <v>1719.1843499999998</v>
      </c>
      <c r="P36" s="775">
        <f t="shared" si="21"/>
        <v>1719.1843499999998</v>
      </c>
      <c r="Q36" s="771"/>
      <c r="W36" s="709" t="s">
        <v>486</v>
      </c>
      <c r="X36" s="709">
        <v>286.32</v>
      </c>
      <c r="Y36" s="709">
        <v>3.71</v>
      </c>
      <c r="Z36" s="709">
        <v>5.46</v>
      </c>
      <c r="AA36" s="709">
        <v>11</v>
      </c>
      <c r="AB36" s="709">
        <f t="shared" si="22"/>
        <v>1</v>
      </c>
      <c r="AC36" s="709">
        <f t="shared" si="23"/>
        <v>1</v>
      </c>
    </row>
    <row r="37" spans="1:29" ht="19.95" customHeight="1">
      <c r="A37" s="709">
        <f>_xlfn.AGGREGATE(2,5,$B$10:B37)</f>
        <v>2</v>
      </c>
      <c r="C37" s="770" cm="1">
        <f t="array" aca="1" ref="C37" ca="1">IF(ISTEXT(INDIRECT(ADDRESS(ROW()-1,COLUMN(),1,1))),INDIRECT(ADDRESS(ROW()-2,COLUMN(),1,1))+1,INDIRECT(ADDRESS(ROW()-1,COLUMN(),1,1))+1)</f>
        <v>27</v>
      </c>
      <c r="D37" s="770">
        <v>14</v>
      </c>
      <c r="E37" s="777">
        <v>1169.27</v>
      </c>
      <c r="F37" s="776">
        <f t="shared" si="15"/>
        <v>85.509999999999991</v>
      </c>
      <c r="G37" s="774">
        <v>34.659999999999997</v>
      </c>
      <c r="H37" s="774">
        <f t="shared" si="16"/>
        <v>18.619999999999997</v>
      </c>
      <c r="I37" s="774">
        <v>16.04</v>
      </c>
      <c r="J37" s="774">
        <v>6</v>
      </c>
      <c r="K37" s="774">
        <f t="shared" si="17"/>
        <v>6</v>
      </c>
      <c r="L37" s="774"/>
      <c r="M37" s="775">
        <f t="shared" si="18"/>
        <v>1887.6332499999996</v>
      </c>
      <c r="N37" s="775">
        <f t="shared" si="19"/>
        <v>1374.5732499999997</v>
      </c>
      <c r="O37" s="775">
        <f t="shared" si="20"/>
        <v>1513.0994499999999</v>
      </c>
      <c r="P37" s="775">
        <f t="shared" si="21"/>
        <v>1513.0994499999999</v>
      </c>
      <c r="Q37" s="771"/>
      <c r="W37" s="709" t="s">
        <v>487</v>
      </c>
      <c r="X37" s="709">
        <v>287.43</v>
      </c>
      <c r="Y37" s="709">
        <v>3.71</v>
      </c>
      <c r="Z37" s="709">
        <v>5.47</v>
      </c>
      <c r="AA37" s="709">
        <v>11</v>
      </c>
      <c r="AB37" s="709">
        <f t="shared" si="22"/>
        <v>1</v>
      </c>
      <c r="AC37" s="709">
        <f t="shared" si="23"/>
        <v>1</v>
      </c>
    </row>
    <row r="38" spans="1:29" ht="19.95" customHeight="1">
      <c r="A38" s="709">
        <f>_xlfn.AGGREGATE(2,5,$B$10:B38)</f>
        <v>2</v>
      </c>
      <c r="C38" s="770" cm="1">
        <f t="array" aca="1" ref="C38" ca="1">IF(ISTEXT(INDIRECT(ADDRESS(ROW()-1,COLUMN(),1,1))),INDIRECT(ADDRESS(ROW()-2,COLUMN(),1,1))+1,INDIRECT(ADDRESS(ROW()-1,COLUMN(),1,1))+1)</f>
        <v>28</v>
      </c>
      <c r="D38" s="770">
        <v>15</v>
      </c>
      <c r="E38" s="777">
        <v>1209.07</v>
      </c>
      <c r="F38" s="776">
        <f t="shared" si="15"/>
        <v>39.799999999999955</v>
      </c>
      <c r="G38" s="774">
        <v>36.299999999999997</v>
      </c>
      <c r="H38" s="774">
        <f t="shared" si="16"/>
        <v>19.399999999999999</v>
      </c>
      <c r="I38" s="774">
        <v>16.899999999999999</v>
      </c>
      <c r="J38" s="774">
        <v>6</v>
      </c>
      <c r="K38" s="774">
        <f t="shared" si="17"/>
        <v>6</v>
      </c>
      <c r="L38" s="774"/>
      <c r="M38" s="775">
        <f t="shared" si="18"/>
        <v>995.39799999999877</v>
      </c>
      <c r="N38" s="775">
        <f t="shared" si="19"/>
        <v>756.59799999999905</v>
      </c>
      <c r="O38" s="775">
        <f t="shared" si="20"/>
        <v>655.50599999999918</v>
      </c>
      <c r="P38" s="775">
        <f t="shared" si="21"/>
        <v>655.50599999999918</v>
      </c>
      <c r="Q38" s="771"/>
      <c r="W38" s="709" t="s">
        <v>488</v>
      </c>
      <c r="X38" s="709">
        <v>300</v>
      </c>
      <c r="Y38" s="709">
        <v>1.36</v>
      </c>
      <c r="Z38" s="709">
        <v>5.21</v>
      </c>
      <c r="AA38" s="709">
        <v>11</v>
      </c>
      <c r="AB38" s="709">
        <f t="shared" si="22"/>
        <v>1</v>
      </c>
      <c r="AC38" s="709">
        <f t="shared" si="23"/>
        <v>1</v>
      </c>
    </row>
    <row r="39" spans="1:29" ht="19.95" customHeight="1">
      <c r="A39" s="709">
        <f>_xlfn.AGGREGATE(2,5,$B$10:B39)</f>
        <v>2</v>
      </c>
      <c r="C39" s="770" cm="1">
        <f t="array" aca="1" ref="C39" ca="1">IF(ISTEXT(INDIRECT(ADDRESS(ROW()-1,COLUMN(),1,1))),INDIRECT(ADDRESS(ROW()-2,COLUMN(),1,1))+1,INDIRECT(ADDRESS(ROW()-1,COLUMN(),1,1))+1)</f>
        <v>29</v>
      </c>
      <c r="D39" s="770">
        <v>16</v>
      </c>
      <c r="E39" s="777">
        <v>1309.29</v>
      </c>
      <c r="F39" s="776">
        <f t="shared" si="15"/>
        <v>100.22000000000003</v>
      </c>
      <c r="G39" s="774">
        <v>31.44</v>
      </c>
      <c r="H39" s="774">
        <f t="shared" si="16"/>
        <v>8.0300000000000011</v>
      </c>
      <c r="I39" s="774">
        <v>23.41</v>
      </c>
      <c r="J39" s="774">
        <v>6</v>
      </c>
      <c r="K39" s="774">
        <f t="shared" si="17"/>
        <v>6</v>
      </c>
      <c r="L39" s="774"/>
      <c r="M39" s="775">
        <f t="shared" si="18"/>
        <v>1975.8373000000006</v>
      </c>
      <c r="N39" s="775">
        <f t="shared" si="19"/>
        <v>1374.5173000000004</v>
      </c>
      <c r="O39" s="775">
        <f t="shared" si="20"/>
        <v>2019.9341000000006</v>
      </c>
      <c r="P39" s="775">
        <f t="shared" si="21"/>
        <v>2019.9341000000006</v>
      </c>
      <c r="Q39" s="771"/>
      <c r="W39" s="709" t="s">
        <v>489</v>
      </c>
      <c r="X39" s="709">
        <v>307.73</v>
      </c>
      <c r="Y39" s="709">
        <v>1.23</v>
      </c>
      <c r="Z39" s="709">
        <v>5.14</v>
      </c>
      <c r="AA39" s="709">
        <v>11</v>
      </c>
      <c r="AB39" s="709">
        <f t="shared" si="22"/>
        <v>1</v>
      </c>
      <c r="AC39" s="709">
        <f t="shared" si="23"/>
        <v>1</v>
      </c>
    </row>
    <row r="40" spans="1:29" ht="19.95" customHeight="1">
      <c r="A40" s="709">
        <f>_xlfn.AGGREGATE(2,5,$B$10:B40)</f>
        <v>2</v>
      </c>
      <c r="C40" s="770" cm="1">
        <f t="array" aca="1" ref="C40" ca="1">IF(ISTEXT(INDIRECT(ADDRESS(ROW()-1,COLUMN(),1,1))),INDIRECT(ADDRESS(ROW()-2,COLUMN(),1,1))+1,INDIRECT(ADDRESS(ROW()-1,COLUMN(),1,1))+1)</f>
        <v>30</v>
      </c>
      <c r="D40" s="770">
        <v>17</v>
      </c>
      <c r="E40" s="777">
        <v>1405.99</v>
      </c>
      <c r="F40" s="776">
        <f t="shared" si="15"/>
        <v>96.700000000000045</v>
      </c>
      <c r="G40" s="774">
        <v>32.94</v>
      </c>
      <c r="H40" s="774">
        <f t="shared" si="16"/>
        <v>9.5599999999999987</v>
      </c>
      <c r="I40" s="774">
        <v>23.38</v>
      </c>
      <c r="J40" s="774">
        <v>6</v>
      </c>
      <c r="K40" s="774">
        <f t="shared" si="17"/>
        <v>6</v>
      </c>
      <c r="L40" s="774"/>
      <c r="M40" s="775">
        <f t="shared" si="18"/>
        <v>1430.6765000000007</v>
      </c>
      <c r="N40" s="775">
        <f t="shared" si="19"/>
        <v>850.47650000000044</v>
      </c>
      <c r="O40" s="775">
        <f t="shared" si="20"/>
        <v>2262.2965000000008</v>
      </c>
      <c r="P40" s="775">
        <f t="shared" si="21"/>
        <v>2262.2965000000008</v>
      </c>
      <c r="Q40" s="771"/>
      <c r="W40" s="709" t="s">
        <v>490</v>
      </c>
      <c r="X40" s="709">
        <v>328.11</v>
      </c>
      <c r="Y40" s="709">
        <v>3.44</v>
      </c>
      <c r="Z40" s="709">
        <v>3.14</v>
      </c>
      <c r="AA40" s="709">
        <v>11</v>
      </c>
      <c r="AB40" s="709">
        <f t="shared" si="22"/>
        <v>1</v>
      </c>
      <c r="AC40" s="709">
        <f t="shared" si="23"/>
        <v>1</v>
      </c>
    </row>
    <row r="41" spans="1:29" ht="19.95" customHeight="1">
      <c r="A41" s="709">
        <f>_xlfn.AGGREGATE(2,5,$B$10:B41)</f>
        <v>3</v>
      </c>
      <c r="B41" s="709">
        <v>1</v>
      </c>
      <c r="C41" s="770" cm="1">
        <f t="array" aca="1" ref="C41" ca="1">IF(ISTEXT(INDIRECT(ADDRESS(ROW()-1,COLUMN(),1,1))),INDIRECT(ADDRESS(ROW()-2,COLUMN(),1,1))+1,INDIRECT(ADDRESS(ROW()-1,COLUMN(),1,1))+1)</f>
        <v>31</v>
      </c>
      <c r="D41" s="770">
        <v>18</v>
      </c>
      <c r="E41" s="777">
        <v>1484.07</v>
      </c>
      <c r="F41" s="776">
        <f t="shared" si="15"/>
        <v>78.079999999999927</v>
      </c>
      <c r="G41" s="774">
        <v>35.78</v>
      </c>
      <c r="H41" s="774">
        <f t="shared" si="16"/>
        <v>3.4299999999999997</v>
      </c>
      <c r="I41" s="774">
        <v>32.35</v>
      </c>
      <c r="J41" s="774">
        <v>6</v>
      </c>
      <c r="K41" s="774">
        <f t="shared" si="17"/>
        <v>6</v>
      </c>
      <c r="L41" s="774"/>
      <c r="M41" s="775">
        <f t="shared" si="18"/>
        <v>975.60959999999898</v>
      </c>
      <c r="N41" s="775">
        <f t="shared" si="19"/>
        <v>507.12959999999947</v>
      </c>
      <c r="O41" s="775">
        <f t="shared" si="20"/>
        <v>2175.6991999999982</v>
      </c>
      <c r="P41" s="775">
        <f t="shared" si="21"/>
        <v>2175.6991999999982</v>
      </c>
      <c r="Q41" s="771"/>
      <c r="W41" s="709" t="s">
        <v>491</v>
      </c>
      <c r="X41" s="709">
        <v>352.04</v>
      </c>
      <c r="Y41" s="709">
        <v>3.44</v>
      </c>
      <c r="Z41" s="709">
        <v>2.91</v>
      </c>
      <c r="AA41" s="709">
        <v>11</v>
      </c>
      <c r="AB41" s="709">
        <f t="shared" si="22"/>
        <v>1</v>
      </c>
      <c r="AC41" s="709">
        <f t="shared" si="23"/>
        <v>1</v>
      </c>
    </row>
    <row r="42" spans="1:29" ht="19.95" customHeight="1">
      <c r="A42" s="709">
        <f>_xlfn.AGGREGATE(2,5,$B$10:B42)</f>
        <v>3</v>
      </c>
      <c r="C42" s="770" cm="1">
        <f t="array" aca="1" ref="C42" ca="1">IF(ISTEXT(INDIRECT(ADDRESS(ROW()-1,COLUMN(),1,1))),INDIRECT(ADDRESS(ROW()-2,COLUMN(),1,1))+1,INDIRECT(ADDRESS(ROW()-1,COLUMN(),1,1))+1)</f>
        <v>32</v>
      </c>
      <c r="D42" s="770">
        <v>19</v>
      </c>
      <c r="E42" s="777">
        <v>1544.71</v>
      </c>
      <c r="F42" s="776">
        <f t="shared" si="15"/>
        <v>60.6400000000001</v>
      </c>
      <c r="G42" s="774">
        <v>51.74</v>
      </c>
      <c r="H42" s="774">
        <f t="shared" si="16"/>
        <v>1.8400000000000034</v>
      </c>
      <c r="I42" s="774">
        <v>49.9</v>
      </c>
      <c r="J42" s="774">
        <v>6</v>
      </c>
      <c r="K42" s="774">
        <f t="shared" si="17"/>
        <v>6</v>
      </c>
      <c r="L42" s="774"/>
      <c r="M42" s="775">
        <f t="shared" si="18"/>
        <v>523.62640000000101</v>
      </c>
      <c r="N42" s="775">
        <f t="shared" si="19"/>
        <v>159.78640000000036</v>
      </c>
      <c r="O42" s="775">
        <f t="shared" si="20"/>
        <v>2493.8200000000043</v>
      </c>
      <c r="P42" s="775">
        <f t="shared" si="21"/>
        <v>2493.8200000000043</v>
      </c>
      <c r="Q42" s="771"/>
      <c r="W42" s="709" t="s">
        <v>492</v>
      </c>
      <c r="X42" s="709">
        <v>369.67</v>
      </c>
      <c r="Y42" s="709">
        <v>0</v>
      </c>
      <c r="Z42" s="709">
        <v>8.61</v>
      </c>
      <c r="AA42" s="709">
        <v>1</v>
      </c>
      <c r="AB42" s="709">
        <f t="shared" si="22"/>
        <v>0</v>
      </c>
      <c r="AC42" s="709">
        <f t="shared" si="23"/>
        <v>1</v>
      </c>
    </row>
    <row r="43" spans="1:29" ht="19.95" customHeight="1">
      <c r="A43" s="709">
        <f>_xlfn.AGGREGATE(2,5,$B$10:B43)</f>
        <v>3</v>
      </c>
      <c r="C43" s="770" cm="1">
        <f t="array" aca="1" ref="C43" ca="1">IF(ISTEXT(INDIRECT(ADDRESS(ROW()-1,COLUMN(),1,1))),INDIRECT(ADDRESS(ROW()-2,COLUMN(),1,1))+1,INDIRECT(ADDRESS(ROW()-1,COLUMN(),1,1))+1)</f>
        <v>33</v>
      </c>
      <c r="D43" s="770">
        <v>20</v>
      </c>
      <c r="E43" s="777">
        <v>1617.58</v>
      </c>
      <c r="F43" s="776">
        <f t="shared" si="15"/>
        <v>72.869999999999891</v>
      </c>
      <c r="G43" s="774">
        <v>46.42</v>
      </c>
      <c r="H43" s="774">
        <f t="shared" si="16"/>
        <v>2.7700000000000031</v>
      </c>
      <c r="I43" s="774">
        <v>43.65</v>
      </c>
      <c r="J43" s="774">
        <v>6</v>
      </c>
      <c r="K43" s="774">
        <f t="shared" si="17"/>
        <v>6</v>
      </c>
      <c r="L43" s="774"/>
      <c r="M43" s="775">
        <f t="shared" si="18"/>
        <v>605.18534999999929</v>
      </c>
      <c r="N43" s="775">
        <f t="shared" si="19"/>
        <v>167.96535</v>
      </c>
      <c r="O43" s="775">
        <f t="shared" si="20"/>
        <v>3408.4942499999947</v>
      </c>
      <c r="P43" s="775">
        <f t="shared" si="21"/>
        <v>3408.4942499999947</v>
      </c>
      <c r="Q43" s="771"/>
      <c r="W43" s="709" t="s">
        <v>493</v>
      </c>
      <c r="X43" s="709">
        <v>387.52</v>
      </c>
      <c r="Y43" s="709">
        <v>5.42</v>
      </c>
      <c r="Z43" s="709">
        <v>1.58</v>
      </c>
      <c r="AA43" s="709">
        <v>11</v>
      </c>
      <c r="AB43" s="709">
        <f t="shared" si="22"/>
        <v>1</v>
      </c>
      <c r="AC43" s="709">
        <f t="shared" si="23"/>
        <v>1</v>
      </c>
    </row>
    <row r="44" spans="1:29" ht="19.95" customHeight="1">
      <c r="A44" s="709">
        <f>_xlfn.AGGREGATE(2,5,$B$10:B44)</f>
        <v>3</v>
      </c>
      <c r="C44" s="770" cm="1">
        <f t="array" aca="1" ref="C44" ca="1">IF(ISTEXT(INDIRECT(ADDRESS(ROW()-1,COLUMN(),1,1))),INDIRECT(ADDRESS(ROW()-2,COLUMN(),1,1))+1,INDIRECT(ADDRESS(ROW()-1,COLUMN(),1,1))+1)</f>
        <v>34</v>
      </c>
      <c r="D44" s="770" t="s">
        <v>507</v>
      </c>
      <c r="E44" s="777">
        <v>1663.35</v>
      </c>
      <c r="F44" s="776">
        <f t="shared" si="15"/>
        <v>45.769999999999982</v>
      </c>
      <c r="G44" s="774">
        <v>46.42</v>
      </c>
      <c r="H44" s="774">
        <f t="shared" si="16"/>
        <v>2.7700000000000031</v>
      </c>
      <c r="I44" s="774">
        <v>43.65</v>
      </c>
      <c r="J44" s="774">
        <v>6</v>
      </c>
      <c r="K44" s="774">
        <f t="shared" si="17"/>
        <v>6</v>
      </c>
      <c r="L44" s="774"/>
      <c r="M44" s="775">
        <f t="shared" si="18"/>
        <v>401.40289999999999</v>
      </c>
      <c r="N44" s="775">
        <f t="shared" si="19"/>
        <v>126.7829000000001</v>
      </c>
      <c r="O44" s="775">
        <f t="shared" si="20"/>
        <v>1997.8604999999991</v>
      </c>
      <c r="P44" s="775">
        <f t="shared" si="21"/>
        <v>1997.8604999999991</v>
      </c>
      <c r="Q44" s="771"/>
      <c r="W44" s="709" t="s">
        <v>494</v>
      </c>
      <c r="X44" s="709">
        <v>403.01</v>
      </c>
      <c r="Y44" s="709">
        <v>12.94</v>
      </c>
      <c r="Z44" s="709">
        <v>1.82</v>
      </c>
      <c r="AA44" s="709">
        <v>10</v>
      </c>
      <c r="AB44" s="709">
        <f t="shared" si="22"/>
        <v>1</v>
      </c>
      <c r="AC44" s="709">
        <f t="shared" si="23"/>
        <v>0</v>
      </c>
    </row>
    <row r="45" spans="1:29" ht="19.95" customHeight="1">
      <c r="A45" s="709">
        <f>_xlfn.AGGREGATE(2,5,$B$10:B45)</f>
        <v>3</v>
      </c>
      <c r="C45" s="762" t="s">
        <v>3</v>
      </c>
      <c r="D45" s="763" t="s">
        <v>545</v>
      </c>
      <c r="E45" s="764"/>
      <c r="F45" s="765"/>
      <c r="G45" s="766"/>
      <c r="H45" s="766"/>
      <c r="I45" s="793"/>
      <c r="J45" s="767"/>
      <c r="K45" s="767"/>
      <c r="L45" s="767"/>
      <c r="M45" s="768">
        <f>9382.05-O45</f>
        <v>1187</v>
      </c>
      <c r="N45" s="768">
        <f>8498.76-P45</f>
        <v>667.05000000000018</v>
      </c>
      <c r="O45" s="768">
        <f>363.34+P45</f>
        <v>8195.0499999999993</v>
      </c>
      <c r="P45" s="768">
        <v>7831.71</v>
      </c>
      <c r="Q45" s="769"/>
      <c r="R45" s="718"/>
      <c r="S45" s="718"/>
      <c r="W45" s="709" t="s">
        <v>495</v>
      </c>
      <c r="X45" s="709">
        <v>407.14</v>
      </c>
      <c r="Y45" s="709">
        <v>13.9</v>
      </c>
      <c r="Z45" s="709">
        <v>1.82</v>
      </c>
      <c r="AA45" s="709">
        <v>10</v>
      </c>
      <c r="AB45" s="709">
        <f t="shared" si="22"/>
        <v>1</v>
      </c>
      <c r="AC45" s="709">
        <f t="shared" si="23"/>
        <v>0</v>
      </c>
    </row>
    <row r="46" spans="1:29" s="725" customFormat="1" ht="19.95" hidden="1" customHeight="1">
      <c r="C46" s="778"/>
      <c r="D46" s="784"/>
      <c r="E46" s="785"/>
      <c r="F46" s="779"/>
      <c r="G46" s="780"/>
      <c r="H46" s="781"/>
      <c r="I46" s="781"/>
      <c r="J46" s="781"/>
      <c r="K46" s="781"/>
      <c r="L46" s="781"/>
      <c r="M46" s="782"/>
      <c r="N46" s="782"/>
      <c r="O46" s="782"/>
      <c r="P46" s="782"/>
      <c r="Q46" s="783"/>
      <c r="R46" s="726"/>
      <c r="S46" s="726"/>
    </row>
    <row r="47" spans="1:29" ht="19.95" customHeight="1">
      <c r="A47" s="709">
        <f>_xlfn.AGGREGATE(2,5,$B$10:B47)</f>
        <v>4</v>
      </c>
      <c r="B47" s="709">
        <v>1</v>
      </c>
      <c r="C47" s="786" t="s">
        <v>11</v>
      </c>
      <c r="D47" s="786" t="s">
        <v>79</v>
      </c>
      <c r="E47" s="787"/>
      <c r="F47" s="788"/>
      <c r="G47" s="789"/>
      <c r="H47" s="790"/>
      <c r="I47" s="790"/>
      <c r="J47" s="790"/>
      <c r="K47" s="790"/>
      <c r="L47" s="790"/>
      <c r="M47" s="791">
        <f>M45+M22+M9</f>
        <v>38450.843950000002</v>
      </c>
      <c r="N47" s="791">
        <f t="shared" ref="N47:P47" si="25">N45+N22+N9</f>
        <v>25085.913949999998</v>
      </c>
      <c r="O47" s="791">
        <f t="shared" si="25"/>
        <v>67346.999249999993</v>
      </c>
      <c r="P47" s="791">
        <f t="shared" si="25"/>
        <v>66626.599249999999</v>
      </c>
      <c r="Q47" s="792"/>
      <c r="S47" s="721"/>
      <c r="T47" s="722" t="e">
        <f>+#REF!-#REF!</f>
        <v>#REF!</v>
      </c>
    </row>
  </sheetData>
  <mergeCells count="14">
    <mergeCell ref="A6:A7"/>
    <mergeCell ref="C6:C7"/>
    <mergeCell ref="D6:D7"/>
    <mergeCell ref="E6:E7"/>
    <mergeCell ref="F6:F7"/>
    <mergeCell ref="C1:Q1"/>
    <mergeCell ref="J6:L6"/>
    <mergeCell ref="Q6:Q7"/>
    <mergeCell ref="M6:N6"/>
    <mergeCell ref="O6:P6"/>
    <mergeCell ref="G6:I6"/>
    <mergeCell ref="C2:Q2"/>
    <mergeCell ref="C3:Q3"/>
    <mergeCell ref="C4:Q4"/>
  </mergeCells>
  <phoneticPr fontId="46" type="noConversion"/>
  <printOptions horizontalCentered="1"/>
  <pageMargins left="0.19685039370078741" right="0.19685039370078741" top="0.78740157480314965" bottom="0.39370078740157483" header="0.31496062992125984" footer="0.19685039370078741"/>
  <pageSetup paperSize="9" scale="87" orientation="landscape" blackAndWhite="1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CBA9-2960-4894-856C-4C0E92FD6802}">
  <sheetPr codeName="Sheet36">
    <tabColor rgb="FFFFFF00"/>
    <pageSetUpPr fitToPage="1"/>
  </sheetPr>
  <dimension ref="A1:U36"/>
  <sheetViews>
    <sheetView view="pageBreakPreview" topLeftCell="A11" zoomScale="60" zoomScaleNormal="100" workbookViewId="0">
      <selection activeCell="E33" sqref="E33:G33"/>
    </sheetView>
  </sheetViews>
  <sheetFormatPr defaultColWidth="8.69921875" defaultRowHeight="15.6" outlineLevelRow="1" outlineLevelCol="1"/>
  <cols>
    <col min="1" max="1" width="4.09765625" style="409" customWidth="1"/>
    <col min="2" max="2" width="41.5" style="410" customWidth="1"/>
    <col min="3" max="3" width="20.59765625" style="410" customWidth="1"/>
    <col min="4" max="4" width="12.796875" style="410" customWidth="1"/>
    <col min="5" max="5" width="20.296875" style="410" customWidth="1"/>
    <col min="6" max="6" width="17.3984375" style="410" customWidth="1"/>
    <col min="7" max="7" width="13.796875" style="410" customWidth="1"/>
    <col min="8" max="8" width="5.69921875" style="410" hidden="1" customWidth="1" outlineLevel="1"/>
    <col min="9" max="9" width="6.5" style="410" hidden="1" customWidth="1" outlineLevel="1"/>
    <col min="10" max="10" width="9.19921875" style="692" hidden="1" customWidth="1" outlineLevel="1"/>
    <col min="11" max="11" width="4.5" style="410" hidden="1" customWidth="1" outlineLevel="1"/>
    <col min="12" max="12" width="8.19921875" style="410" hidden="1" customWidth="1" outlineLevel="1"/>
    <col min="13" max="14" width="8.69921875" style="410" hidden="1" customWidth="1" outlineLevel="1"/>
    <col min="15" max="15" width="8.796875" style="410" bestFit="1" customWidth="1" collapsed="1"/>
    <col min="16" max="16" width="9.8984375" style="410" bestFit="1" customWidth="1"/>
    <col min="17" max="17" width="13.5" style="410" customWidth="1"/>
    <col min="18" max="19" width="8.796875" style="410" bestFit="1" customWidth="1"/>
    <col min="20" max="20" width="10.09765625" style="410" bestFit="1" customWidth="1"/>
    <col min="21" max="21" width="9.09765625" style="410" bestFit="1" customWidth="1"/>
    <col min="22" max="16384" width="8.69921875" style="410"/>
  </cols>
  <sheetData>
    <row r="1" spans="1:13" hidden="1" outlineLevel="1"/>
    <row r="2" spans="1:13" hidden="1" outlineLevel="1"/>
    <row r="3" spans="1:13" hidden="1" outlineLevel="1">
      <c r="B3" s="411"/>
    </row>
    <row r="4" spans="1:13" hidden="1" outlineLevel="1">
      <c r="B4" s="411" t="s">
        <v>169</v>
      </c>
    </row>
    <row r="5" spans="1:13" hidden="1" outlineLevel="1">
      <c r="B5" s="411" t="s">
        <v>170</v>
      </c>
    </row>
    <row r="6" spans="1:13" hidden="1" outlineLevel="1">
      <c r="B6" s="411" t="s">
        <v>171</v>
      </c>
    </row>
    <row r="7" spans="1:13" hidden="1" outlineLevel="1">
      <c r="B7" s="411" t="s">
        <v>172</v>
      </c>
    </row>
    <row r="8" spans="1:13" hidden="1" outlineLevel="1"/>
    <row r="9" spans="1:13" hidden="1" outlineLevel="1"/>
    <row r="10" spans="1:13" ht="27" customHeight="1" collapsed="1">
      <c r="A10" s="830" t="s">
        <v>443</v>
      </c>
      <c r="B10" s="830"/>
      <c r="C10" s="830"/>
      <c r="D10" s="830"/>
      <c r="E10" s="830"/>
      <c r="F10" s="830"/>
      <c r="G10" s="830"/>
    </row>
    <row r="11" spans="1:13" ht="30" customHeight="1">
      <c r="A11" s="831" t="str">
        <f>'PL01'!C2</f>
        <v>Dự án: Cải tạo, nâng cấp  trạm bơm Trà Phương 3 tiêu thoát nước cho vùng các khu công nghiệp huyện Kim Động, Ân Thi, Yên Mỹ tỉnh Hưng Yên</v>
      </c>
      <c r="B11" s="832"/>
      <c r="C11" s="832"/>
      <c r="D11" s="832"/>
      <c r="E11" s="832"/>
      <c r="F11" s="832"/>
      <c r="G11" s="832"/>
    </row>
    <row r="12" spans="1:13">
      <c r="A12" s="831" t="s">
        <v>195</v>
      </c>
      <c r="B12" s="832"/>
      <c r="C12" s="832"/>
      <c r="D12" s="832"/>
      <c r="E12" s="832"/>
      <c r="F12" s="832"/>
      <c r="G12" s="832"/>
    </row>
    <row r="13" spans="1:13" ht="15.6" customHeight="1">
      <c r="A13" s="831" t="str">
        <f>'PL01'!C4</f>
        <v>Địa điểm: Xã Hồng Quang, tỉnh Hưng Yên</v>
      </c>
      <c r="B13" s="832"/>
      <c r="C13" s="832"/>
      <c r="D13" s="832"/>
      <c r="E13" s="832"/>
      <c r="F13" s="832"/>
      <c r="G13" s="832"/>
    </row>
    <row r="14" spans="1:13" ht="19.5" customHeight="1">
      <c r="A14" s="412"/>
      <c r="B14" s="412"/>
      <c r="C14" s="412"/>
      <c r="D14" s="412"/>
      <c r="E14" s="412"/>
      <c r="F14" s="412"/>
      <c r="G14" s="412"/>
    </row>
    <row r="15" spans="1:13" ht="46.2" customHeight="1">
      <c r="A15" s="516" t="s">
        <v>18</v>
      </c>
      <c r="B15" s="516" t="s">
        <v>117</v>
      </c>
      <c r="C15" s="436" t="s">
        <v>437</v>
      </c>
      <c r="D15" s="436" t="s">
        <v>434</v>
      </c>
      <c r="E15" s="436" t="s">
        <v>520</v>
      </c>
      <c r="F15" s="436" t="s">
        <v>521</v>
      </c>
      <c r="G15" s="414" t="s">
        <v>19</v>
      </c>
    </row>
    <row r="16" spans="1:13">
      <c r="A16" s="415">
        <v>1</v>
      </c>
      <c r="B16" s="415">
        <v>2</v>
      </c>
      <c r="C16" s="415">
        <v>3</v>
      </c>
      <c r="D16" s="415">
        <v>4</v>
      </c>
      <c r="E16" s="415">
        <v>3</v>
      </c>
      <c r="F16" s="415">
        <v>3</v>
      </c>
      <c r="G16" s="415">
        <v>7</v>
      </c>
      <c r="H16" s="727" t="s">
        <v>444</v>
      </c>
      <c r="I16" s="693" t="s">
        <v>438</v>
      </c>
      <c r="J16" s="694" t="s">
        <v>439</v>
      </c>
      <c r="K16" s="411" t="s">
        <v>440</v>
      </c>
      <c r="L16" s="411" t="s">
        <v>441</v>
      </c>
      <c r="M16" s="699"/>
    </row>
    <row r="17" spans="1:21" s="735" customFormat="1">
      <c r="A17" s="430" t="s">
        <v>1</v>
      </c>
      <c r="B17" s="795" t="s">
        <v>77</v>
      </c>
      <c r="C17" s="230">
        <f>C18</f>
        <v>38450.843950000002</v>
      </c>
      <c r="D17" s="230">
        <f>D18</f>
        <v>3.85</v>
      </c>
      <c r="E17" s="230">
        <f>E18</f>
        <v>0.04</v>
      </c>
      <c r="F17" s="230">
        <f>F18</f>
        <v>3.81</v>
      </c>
      <c r="G17" s="225"/>
      <c r="H17" s="728"/>
      <c r="I17" s="729"/>
      <c r="J17" s="730"/>
      <c r="K17" s="730"/>
      <c r="L17" s="729"/>
      <c r="M17" s="731"/>
      <c r="N17" s="732" t="e">
        <f>#REF!/(0.2*3)</f>
        <v>#REF!</v>
      </c>
      <c r="O17" s="733" t="s">
        <v>511</v>
      </c>
      <c r="P17" s="734" t="s">
        <v>512</v>
      </c>
      <c r="Q17" s="734" t="s">
        <v>438</v>
      </c>
      <c r="R17" s="735" t="s">
        <v>513</v>
      </c>
      <c r="S17" s="735" t="s">
        <v>514</v>
      </c>
      <c r="T17" s="735" t="s">
        <v>173</v>
      </c>
    </row>
    <row r="18" spans="1:21" s="697" customFormat="1">
      <c r="A18" s="796" t="s">
        <v>442</v>
      </c>
      <c r="B18" s="797" t="s">
        <v>445</v>
      </c>
      <c r="C18" s="798">
        <f>'PL01'!M47</f>
        <v>38450.843950000002</v>
      </c>
      <c r="D18" s="799">
        <f>ROUND(C18/10^4,2)</f>
        <v>3.85</v>
      </c>
      <c r="E18" s="798">
        <f>ROUND(4*100/10^4,2)</f>
        <v>0.04</v>
      </c>
      <c r="F18" s="798">
        <f>D18-E18</f>
        <v>3.81</v>
      </c>
      <c r="G18" s="800"/>
      <c r="H18" s="736"/>
      <c r="I18" s="695"/>
      <c r="J18" s="696"/>
      <c r="K18" s="696"/>
      <c r="L18" s="695"/>
      <c r="M18" s="701"/>
      <c r="O18" s="697">
        <f>C18*1%</f>
        <v>384.50843950000001</v>
      </c>
      <c r="P18" s="700" t="s">
        <v>546</v>
      </c>
      <c r="Q18" s="700" cm="1">
        <f t="array" ref="Q18">PRODUCT(--_xlfn.TEXTSPLIT(P18,"*"))</f>
        <v>100</v>
      </c>
      <c r="R18" s="700">
        <f>O18/Q18</f>
        <v>3.8450843950000002</v>
      </c>
      <c r="S18" s="697">
        <v>1</v>
      </c>
      <c r="T18" s="700">
        <f>S18*Q18</f>
        <v>100</v>
      </c>
      <c r="U18" s="700">
        <f>F23/0.2</f>
        <v>52.300000000000004</v>
      </c>
    </row>
    <row r="19" spans="1:21" s="697" customFormat="1">
      <c r="A19" s="796" t="s">
        <v>442</v>
      </c>
      <c r="B19" s="797" t="s">
        <v>446</v>
      </c>
      <c r="C19" s="798">
        <f>'PL01'!N47</f>
        <v>25085.913949999998</v>
      </c>
      <c r="D19" s="799">
        <f>ROUND(C19/10^4,2)</f>
        <v>2.5099999999999998</v>
      </c>
      <c r="E19" s="798">
        <f>ROUND(400/10^4,2)</f>
        <v>0.04</v>
      </c>
      <c r="F19" s="798">
        <f>D19-E19</f>
        <v>2.4699999999999998</v>
      </c>
      <c r="G19" s="800"/>
      <c r="H19" s="736"/>
      <c r="I19" s="695"/>
      <c r="J19" s="696"/>
      <c r="K19" s="696"/>
      <c r="L19" s="695"/>
      <c r="M19" s="701"/>
      <c r="P19" s="700"/>
      <c r="Q19" s="700"/>
    </row>
    <row r="20" spans="1:21" s="735" customFormat="1">
      <c r="A20" s="430" t="s">
        <v>2</v>
      </c>
      <c r="B20" s="795" t="s">
        <v>77</v>
      </c>
      <c r="C20" s="230">
        <f>C21</f>
        <v>67346.999249999993</v>
      </c>
      <c r="D20" s="230">
        <f>D21</f>
        <v>6.73</v>
      </c>
      <c r="E20" s="230">
        <f>E21</f>
        <v>0.08</v>
      </c>
      <c r="F20" s="230">
        <f>F21</f>
        <v>6.65</v>
      </c>
      <c r="G20" s="225"/>
      <c r="H20" s="728"/>
      <c r="I20" s="729"/>
      <c r="J20" s="730"/>
      <c r="K20" s="730"/>
      <c r="L20" s="729"/>
      <c r="M20" s="731"/>
      <c r="N20" s="732" t="e">
        <f>#REF!/(0.2*3)</f>
        <v>#REF!</v>
      </c>
      <c r="O20" s="734"/>
      <c r="P20" s="734"/>
      <c r="Q20" s="734"/>
    </row>
    <row r="21" spans="1:21" s="697" customFormat="1">
      <c r="A21" s="796" t="s">
        <v>442</v>
      </c>
      <c r="B21" s="797" t="s">
        <v>449</v>
      </c>
      <c r="C21" s="798">
        <f>'PL01'!O47</f>
        <v>67346.999249999993</v>
      </c>
      <c r="D21" s="799">
        <f t="shared" ref="D21:D22" si="0">ROUND(C21/10^4,2)</f>
        <v>6.73</v>
      </c>
      <c r="E21" s="798">
        <f>ROUND(2*400/10^4,2)</f>
        <v>0.08</v>
      </c>
      <c r="F21" s="798">
        <f>D21-E21</f>
        <v>6.65</v>
      </c>
      <c r="G21" s="800"/>
      <c r="H21" s="736"/>
      <c r="I21" s="695"/>
      <c r="J21" s="696"/>
      <c r="K21" s="696"/>
      <c r="L21" s="695"/>
      <c r="M21" s="701"/>
      <c r="O21" s="697">
        <f>C21*1%</f>
        <v>673.46999249999999</v>
      </c>
      <c r="P21" s="700" t="s">
        <v>515</v>
      </c>
      <c r="Q21" s="700" cm="1">
        <f t="array" ref="Q21">PRODUCT(--_xlfn.TEXTSPLIT(P21,"*"))</f>
        <v>400</v>
      </c>
      <c r="R21" s="700">
        <f>O21/Q21</f>
        <v>1.68367498125</v>
      </c>
      <c r="S21" s="697">
        <v>2</v>
      </c>
      <c r="T21" s="700">
        <f>S21*Q21</f>
        <v>800</v>
      </c>
    </row>
    <row r="22" spans="1:21" s="697" customFormat="1">
      <c r="A22" s="796" t="s">
        <v>442</v>
      </c>
      <c r="B22" s="797" t="s">
        <v>450</v>
      </c>
      <c r="C22" s="798">
        <f>'PL01'!P47</f>
        <v>66626.599249999999</v>
      </c>
      <c r="D22" s="799">
        <f t="shared" si="0"/>
        <v>6.66</v>
      </c>
      <c r="E22" s="798">
        <f>E21</f>
        <v>0.08</v>
      </c>
      <c r="F22" s="798">
        <f>D22-E22</f>
        <v>6.58</v>
      </c>
      <c r="G22" s="800"/>
      <c r="H22" s="736"/>
      <c r="I22" s="695"/>
      <c r="J22" s="696"/>
      <c r="K22" s="696"/>
      <c r="L22" s="695"/>
      <c r="M22" s="701"/>
      <c r="P22" s="700"/>
      <c r="Q22" s="700"/>
    </row>
    <row r="23" spans="1:21" s="737" customFormat="1">
      <c r="A23" s="801" t="s">
        <v>3</v>
      </c>
      <c r="B23" s="802" t="s">
        <v>79</v>
      </c>
      <c r="C23" s="230">
        <f>C20+C17</f>
        <v>105797.8432</v>
      </c>
      <c r="D23" s="230">
        <f>D20+D17</f>
        <v>10.58</v>
      </c>
      <c r="E23" s="230">
        <f>E20+E17</f>
        <v>0.12</v>
      </c>
      <c r="F23" s="230">
        <f>F20+F17</f>
        <v>10.46</v>
      </c>
      <c r="G23" s="436"/>
      <c r="J23" s="738"/>
      <c r="K23" s="738"/>
      <c r="M23" s="739"/>
      <c r="P23" s="740"/>
      <c r="Q23" s="740"/>
    </row>
    <row r="24" spans="1:21" s="692" customFormat="1">
      <c r="A24" s="104"/>
      <c r="B24" s="803" t="s">
        <v>447</v>
      </c>
      <c r="C24" s="803"/>
      <c r="D24" s="504"/>
      <c r="E24" s="804"/>
      <c r="F24" s="804"/>
      <c r="G24" s="504"/>
      <c r="I24" s="702"/>
    </row>
    <row r="25" spans="1:21" s="101" customFormat="1" ht="21" customHeight="1">
      <c r="A25" s="703" t="s">
        <v>448</v>
      </c>
      <c r="B25" s="153"/>
      <c r="C25" s="153"/>
      <c r="D25" s="104"/>
      <c r="E25" s="104"/>
      <c r="F25" s="104"/>
      <c r="G25" s="104"/>
      <c r="H25" s="228"/>
      <c r="I25" s="228"/>
      <c r="J25" s="704"/>
    </row>
    <row r="26" spans="1:21" s="101" customFormat="1" ht="102" customHeight="1">
      <c r="A26" s="833" t="s">
        <v>516</v>
      </c>
      <c r="B26" s="833"/>
      <c r="C26" s="833"/>
      <c r="D26" s="833"/>
      <c r="E26" s="833"/>
      <c r="F26" s="833"/>
      <c r="G26" s="833"/>
      <c r="J26" s="705"/>
    </row>
    <row r="27" spans="1:21" s="424" customFormat="1" ht="9" customHeight="1">
      <c r="A27" s="829"/>
      <c r="B27" s="829"/>
      <c r="C27" s="423"/>
      <c r="D27" s="423"/>
      <c r="G27" s="423"/>
      <c r="J27" s="698"/>
    </row>
    <row r="28" spans="1:21" s="424" customFormat="1" ht="17.399999999999999">
      <c r="B28" s="423" t="s">
        <v>397</v>
      </c>
      <c r="C28" s="423"/>
      <c r="D28" s="423"/>
      <c r="E28" s="829" t="s">
        <v>140</v>
      </c>
      <c r="F28" s="829"/>
      <c r="G28" s="829"/>
      <c r="J28" s="698"/>
    </row>
    <row r="29" spans="1:21" s="428" customFormat="1" ht="18">
      <c r="A29" s="426"/>
      <c r="B29" s="427"/>
      <c r="C29" s="427"/>
      <c r="D29" s="427"/>
      <c r="E29" s="427"/>
      <c r="F29" s="427"/>
      <c r="G29" s="427"/>
      <c r="J29" s="706"/>
    </row>
    <row r="30" spans="1:21" s="428" customFormat="1" ht="33" customHeight="1">
      <c r="A30" s="426"/>
      <c r="B30" s="427"/>
      <c r="C30" s="427"/>
      <c r="D30" s="427"/>
      <c r="E30" s="427"/>
      <c r="F30" s="427"/>
      <c r="G30" s="427"/>
      <c r="I30" s="707"/>
      <c r="J30" s="706"/>
    </row>
    <row r="31" spans="1:21" s="428" customFormat="1" ht="18">
      <c r="A31" s="829"/>
      <c r="B31" s="829"/>
      <c r="C31" s="423"/>
      <c r="D31" s="423"/>
      <c r="E31" s="427"/>
      <c r="F31" s="427"/>
      <c r="G31" s="423"/>
      <c r="J31" s="706"/>
    </row>
    <row r="32" spans="1:21" s="424" customFormat="1" ht="9" customHeight="1">
      <c r="A32" s="829"/>
      <c r="B32" s="829"/>
      <c r="C32" s="423"/>
      <c r="D32" s="425"/>
      <c r="E32" s="425"/>
      <c r="F32" s="425"/>
      <c r="G32" s="425"/>
      <c r="J32" s="698"/>
    </row>
    <row r="33" spans="2:7" ht="16.8">
      <c r="B33" s="423"/>
      <c r="E33" s="829" t="s">
        <v>549</v>
      </c>
      <c r="F33" s="829"/>
      <c r="G33" s="829"/>
    </row>
    <row r="36" spans="2:7" ht="78">
      <c r="B36" s="429" t="s">
        <v>336</v>
      </c>
      <c r="C36" s="429"/>
    </row>
  </sheetData>
  <sheetProtection selectLockedCells="1" selectUnlockedCells="1"/>
  <mergeCells count="10">
    <mergeCell ref="E33:G33"/>
    <mergeCell ref="A10:G10"/>
    <mergeCell ref="A11:G11"/>
    <mergeCell ref="A12:G12"/>
    <mergeCell ref="A13:G13"/>
    <mergeCell ref="A32:B32"/>
    <mergeCell ref="A26:G26"/>
    <mergeCell ref="A27:B27"/>
    <mergeCell ref="E28:G28"/>
    <mergeCell ref="A31:B31"/>
  </mergeCells>
  <printOptions horizontalCentered="1"/>
  <pageMargins left="0.19685039370078741" right="0.19685039370078741" top="0.78740157480314965" bottom="0.39370078740157483" header="0.31496062992125984" footer="0.19685039370078741"/>
  <pageSetup paperSize="9" scale="99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66B9-80E5-4CFD-9FDC-44807D832C8B}">
  <sheetPr codeName="Sheet4"/>
  <dimension ref="A1"/>
  <sheetViews>
    <sheetView topLeftCell="L7" zoomScale="160" zoomScaleNormal="160" workbookViewId="0">
      <selection activeCell="R8" sqref="R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T52"/>
  <sheetViews>
    <sheetView topLeftCell="A10" workbookViewId="0">
      <selection activeCell="B24" sqref="B24"/>
    </sheetView>
  </sheetViews>
  <sheetFormatPr defaultColWidth="8.69921875" defaultRowHeight="15.6" outlineLevelRow="1" outlineLevelCol="1"/>
  <cols>
    <col min="1" max="1" width="4.09765625" style="409" customWidth="1"/>
    <col min="2" max="2" width="36.8984375" style="410" customWidth="1"/>
    <col min="3" max="3" width="7.19921875" style="410" customWidth="1"/>
    <col min="4" max="4" width="15.69921875" style="410" customWidth="1"/>
    <col min="5" max="5" width="14.59765625" style="410" customWidth="1"/>
    <col min="6" max="6" width="14.19921875" style="410" customWidth="1"/>
    <col min="7" max="7" width="15.69921875" style="410" customWidth="1"/>
    <col min="8" max="8" width="14.59765625" style="410" customWidth="1"/>
    <col min="9" max="9" width="14.19921875" style="410" customWidth="1"/>
    <col min="10" max="10" width="27.09765625" style="410" customWidth="1"/>
    <col min="11" max="11" width="22.59765625" style="410" hidden="1" customWidth="1" outlineLevel="1"/>
    <col min="12" max="13" width="8.69921875" style="410" hidden="1" customWidth="1" outlineLevel="1"/>
    <col min="14" max="14" width="9.59765625" style="410" hidden="1" customWidth="1" outlineLevel="1"/>
    <col min="15" max="17" width="8.69921875" style="410" hidden="1" customWidth="1" outlineLevel="1"/>
    <col min="18" max="18" width="9.09765625" style="410" hidden="1" customWidth="1" outlineLevel="1"/>
    <col min="19" max="19" width="0" style="410" hidden="1" customWidth="1" outlineLevel="1"/>
    <col min="20" max="20" width="8.69921875" style="410" collapsed="1"/>
    <col min="21" max="16384" width="8.69921875" style="410"/>
  </cols>
  <sheetData>
    <row r="1" spans="1:20" hidden="1" outlineLevel="1"/>
    <row r="2" spans="1:20" hidden="1" outlineLevel="1"/>
    <row r="3" spans="1:20" hidden="1" outlineLevel="1">
      <c r="B3" s="411"/>
    </row>
    <row r="4" spans="1:20" hidden="1" outlineLevel="1">
      <c r="B4" s="411" t="s">
        <v>169</v>
      </c>
    </row>
    <row r="5" spans="1:20" hidden="1" outlineLevel="1">
      <c r="B5" s="411" t="s">
        <v>170</v>
      </c>
    </row>
    <row r="6" spans="1:20" hidden="1" outlineLevel="1">
      <c r="B6" s="411" t="s">
        <v>171</v>
      </c>
    </row>
    <row r="7" spans="1:20" hidden="1" outlineLevel="1">
      <c r="B7" s="411" t="s">
        <v>172</v>
      </c>
    </row>
    <row r="8" spans="1:20" hidden="1" outlineLevel="1"/>
    <row r="9" spans="1:20" hidden="1" outlineLevel="1"/>
    <row r="10" spans="1:20" ht="27" customHeight="1" collapsed="1">
      <c r="A10" s="830" t="s">
        <v>389</v>
      </c>
      <c r="B10" s="830"/>
      <c r="C10" s="830"/>
      <c r="D10" s="830"/>
      <c r="E10" s="830"/>
      <c r="F10" s="830"/>
      <c r="G10" s="830"/>
      <c r="H10" s="830"/>
      <c r="I10" s="830"/>
      <c r="J10" s="830"/>
    </row>
    <row r="11" spans="1:20" ht="27.6" customHeight="1">
      <c r="A11" s="832" t="s">
        <v>374</v>
      </c>
      <c r="B11" s="832"/>
      <c r="C11" s="832"/>
      <c r="D11" s="832"/>
      <c r="E11" s="832"/>
      <c r="F11" s="832"/>
      <c r="G11" s="832"/>
      <c r="H11" s="832"/>
      <c r="I11" s="832"/>
      <c r="J11" s="832"/>
    </row>
    <row r="12" spans="1:20" ht="20.25" customHeight="1">
      <c r="A12" s="830" t="s">
        <v>195</v>
      </c>
      <c r="B12" s="830"/>
      <c r="C12" s="830"/>
      <c r="D12" s="830"/>
      <c r="E12" s="830"/>
      <c r="F12" s="830"/>
      <c r="G12" s="830"/>
      <c r="H12" s="830"/>
      <c r="I12" s="830"/>
      <c r="J12" s="830"/>
    </row>
    <row r="13" spans="1:20" ht="19.5" customHeight="1">
      <c r="A13" s="830" t="s">
        <v>375</v>
      </c>
      <c r="B13" s="830"/>
      <c r="C13" s="830"/>
      <c r="D13" s="830"/>
      <c r="E13" s="830"/>
      <c r="F13" s="830"/>
      <c r="G13" s="830"/>
      <c r="H13" s="830"/>
      <c r="I13" s="830"/>
      <c r="J13" s="830"/>
    </row>
    <row r="14" spans="1:20" ht="19.5" customHeight="1">
      <c r="A14" s="412"/>
      <c r="B14" s="412"/>
      <c r="C14" s="412"/>
      <c r="D14" s="412"/>
      <c r="E14" s="412"/>
      <c r="F14" s="412"/>
      <c r="G14" s="412"/>
      <c r="H14" s="412"/>
      <c r="I14" s="412"/>
      <c r="J14" s="412"/>
    </row>
    <row r="15" spans="1:20" ht="34.950000000000003" customHeight="1">
      <c r="A15" s="834" t="s">
        <v>18</v>
      </c>
      <c r="B15" s="834" t="s">
        <v>117</v>
      </c>
      <c r="C15" s="834" t="s">
        <v>53</v>
      </c>
      <c r="D15" s="836" t="s">
        <v>366</v>
      </c>
      <c r="E15" s="837"/>
      <c r="F15" s="838"/>
      <c r="G15" s="836" t="s">
        <v>390</v>
      </c>
      <c r="H15" s="837"/>
      <c r="I15" s="838"/>
      <c r="J15" s="839" t="s">
        <v>19</v>
      </c>
      <c r="T15" s="410">
        <v>1</v>
      </c>
    </row>
    <row r="16" spans="1:20" ht="31.2">
      <c r="A16" s="835"/>
      <c r="B16" s="835"/>
      <c r="C16" s="835"/>
      <c r="D16" s="414" t="s">
        <v>346</v>
      </c>
      <c r="E16" s="414" t="s">
        <v>347</v>
      </c>
      <c r="F16" s="414" t="s">
        <v>348</v>
      </c>
      <c r="G16" s="414" t="s">
        <v>346</v>
      </c>
      <c r="H16" s="414" t="s">
        <v>347</v>
      </c>
      <c r="I16" s="414" t="s">
        <v>348</v>
      </c>
      <c r="J16" s="840"/>
      <c r="T16" s="410">
        <v>1</v>
      </c>
    </row>
    <row r="17" spans="1:20">
      <c r="A17" s="415">
        <v>1</v>
      </c>
      <c r="B17" s="415">
        <v>2</v>
      </c>
      <c r="C17" s="415">
        <v>3</v>
      </c>
      <c r="D17" s="415">
        <v>4</v>
      </c>
      <c r="E17" s="415">
        <v>5</v>
      </c>
      <c r="F17" s="415" t="s">
        <v>381</v>
      </c>
      <c r="G17" s="415">
        <v>7</v>
      </c>
      <c r="H17" s="415">
        <v>8</v>
      </c>
      <c r="I17" s="415" t="s">
        <v>382</v>
      </c>
      <c r="J17" s="415">
        <v>16</v>
      </c>
      <c r="T17" s="410">
        <v>1</v>
      </c>
    </row>
    <row r="18" spans="1:20">
      <c r="A18" s="430" t="s">
        <v>15</v>
      </c>
      <c r="B18" s="430" t="s">
        <v>367</v>
      </c>
      <c r="C18" s="229" t="s">
        <v>349</v>
      </c>
      <c r="D18" s="230">
        <f t="shared" ref="D18:I18" si="0">D19+D24</f>
        <v>222591.90000000002</v>
      </c>
      <c r="E18" s="230">
        <f t="shared" si="0"/>
        <v>21775.010000000002</v>
      </c>
      <c r="F18" s="230">
        <f t="shared" si="0"/>
        <v>200816.89</v>
      </c>
      <c r="G18" s="230">
        <f t="shared" si="0"/>
        <v>239962.6</v>
      </c>
      <c r="H18" s="230">
        <f t="shared" si="0"/>
        <v>42936.66</v>
      </c>
      <c r="I18" s="230">
        <f t="shared" si="0"/>
        <v>197025.94</v>
      </c>
      <c r="J18" s="415"/>
      <c r="T18" s="410">
        <v>1</v>
      </c>
    </row>
    <row r="19" spans="1:20" s="418" customFormat="1" ht="16.2">
      <c r="A19" s="416" t="s">
        <v>174</v>
      </c>
      <c r="B19" s="417" t="s">
        <v>77</v>
      </c>
      <c r="C19" s="231" t="s">
        <v>349</v>
      </c>
      <c r="D19" s="232">
        <v>209324.79</v>
      </c>
      <c r="E19" s="232">
        <f t="shared" ref="E19" si="1">E20+E23</f>
        <v>21775.010000000002</v>
      </c>
      <c r="F19" s="232">
        <f>D19-E19</f>
        <v>187549.78</v>
      </c>
      <c r="G19" s="232">
        <v>223167.81</v>
      </c>
      <c r="H19" s="232">
        <f t="shared" ref="H19" si="2">H20+H23</f>
        <v>42936.66</v>
      </c>
      <c r="I19" s="232">
        <f>G19-H19</f>
        <v>180231.15</v>
      </c>
      <c r="J19" s="233"/>
      <c r="R19" s="431">
        <f>D19*0.01</f>
        <v>2093.2479000000003</v>
      </c>
      <c r="S19" s="418">
        <f>400*3</f>
        <v>1200</v>
      </c>
      <c r="T19" s="418">
        <v>2</v>
      </c>
    </row>
    <row r="20" spans="1:20" s="422" customFormat="1">
      <c r="A20" s="419" t="s">
        <v>253</v>
      </c>
      <c r="B20" s="420" t="s">
        <v>345</v>
      </c>
      <c r="C20" s="234" t="s">
        <v>349</v>
      </c>
      <c r="D20" s="234">
        <f t="shared" ref="D20:I20" si="3">SUM(D21:D22)</f>
        <v>132912.82</v>
      </c>
      <c r="E20" s="234">
        <f t="shared" si="3"/>
        <v>20041.560000000001</v>
      </c>
      <c r="F20" s="234">
        <f t="shared" si="3"/>
        <v>112871.26</v>
      </c>
      <c r="G20" s="234">
        <f t="shared" si="3"/>
        <v>132506.1</v>
      </c>
      <c r="H20" s="234">
        <f t="shared" si="3"/>
        <v>31493.190000000002</v>
      </c>
      <c r="I20" s="234">
        <f t="shared" si="3"/>
        <v>101012.91</v>
      </c>
      <c r="J20" s="421"/>
      <c r="K20" s="422">
        <v>1</v>
      </c>
      <c r="L20" s="422" t="s">
        <v>338</v>
      </c>
    </row>
    <row r="21" spans="1:20" s="435" customFormat="1">
      <c r="A21" s="432"/>
      <c r="B21" s="433" t="s">
        <v>383</v>
      </c>
      <c r="C21" s="381" t="s">
        <v>349</v>
      </c>
      <c r="D21" s="381">
        <v>4603.17</v>
      </c>
      <c r="E21" s="381">
        <v>62.88</v>
      </c>
      <c r="F21" s="381">
        <f t="shared" ref="F21:F23" si="4">D21-E21</f>
        <v>4540.29</v>
      </c>
      <c r="G21" s="381">
        <v>4301.68</v>
      </c>
      <c r="H21" s="381">
        <v>229.4</v>
      </c>
      <c r="I21" s="381">
        <f t="shared" ref="I21:I22" si="5">G21-H21</f>
        <v>4072.28</v>
      </c>
      <c r="J21" s="434" t="s">
        <v>385</v>
      </c>
    </row>
    <row r="22" spans="1:20" s="435" customFormat="1">
      <c r="A22" s="432"/>
      <c r="B22" s="433" t="s">
        <v>384</v>
      </c>
      <c r="C22" s="381" t="s">
        <v>349</v>
      </c>
      <c r="D22" s="381">
        <v>128309.65</v>
      </c>
      <c r="E22" s="381">
        <v>19978.68</v>
      </c>
      <c r="F22" s="381">
        <f t="shared" si="4"/>
        <v>108330.97</v>
      </c>
      <c r="G22" s="381">
        <v>128204.42</v>
      </c>
      <c r="H22" s="381">
        <v>31263.79</v>
      </c>
      <c r="I22" s="381">
        <f t="shared" si="5"/>
        <v>96940.63</v>
      </c>
      <c r="J22" s="434" t="s">
        <v>386</v>
      </c>
    </row>
    <row r="23" spans="1:20" s="422" customFormat="1">
      <c r="A23" s="419" t="s">
        <v>253</v>
      </c>
      <c r="B23" s="420" t="s">
        <v>337</v>
      </c>
      <c r="C23" s="234" t="s">
        <v>349</v>
      </c>
      <c r="D23" s="234">
        <f>D19-D20</f>
        <v>76411.97</v>
      </c>
      <c r="E23" s="234">
        <v>1733.45</v>
      </c>
      <c r="F23" s="234">
        <f t="shared" si="4"/>
        <v>74678.52</v>
      </c>
      <c r="G23" s="234">
        <f>G19-G20</f>
        <v>90661.709999999992</v>
      </c>
      <c r="H23" s="234">
        <v>11443.47</v>
      </c>
      <c r="I23" s="234">
        <f>G23-H23</f>
        <v>79218.239999999991</v>
      </c>
      <c r="J23" s="421" t="s">
        <v>387</v>
      </c>
      <c r="K23" s="422">
        <v>4</v>
      </c>
      <c r="L23" s="422" t="s">
        <v>339</v>
      </c>
      <c r="T23" s="422">
        <v>3</v>
      </c>
    </row>
    <row r="24" spans="1:20" s="418" customFormat="1" ht="16.2">
      <c r="A24" s="416" t="s">
        <v>174</v>
      </c>
      <c r="B24" s="417" t="s">
        <v>78</v>
      </c>
      <c r="C24" s="231" t="s">
        <v>349</v>
      </c>
      <c r="D24" s="232">
        <v>13267.11</v>
      </c>
      <c r="E24" s="232">
        <f>E25+E26</f>
        <v>0</v>
      </c>
      <c r="F24" s="232">
        <f>D24-E24</f>
        <v>13267.11</v>
      </c>
      <c r="G24" s="232">
        <v>16794.79</v>
      </c>
      <c r="H24" s="232">
        <f>H25+H26</f>
        <v>0</v>
      </c>
      <c r="I24" s="232">
        <f>G24-H24</f>
        <v>16794.79</v>
      </c>
      <c r="J24" s="233"/>
      <c r="R24" s="431">
        <f>D24*0.01</f>
        <v>132.6711</v>
      </c>
      <c r="S24" s="418">
        <f>400*3</f>
        <v>1200</v>
      </c>
      <c r="T24" s="418">
        <v>2</v>
      </c>
    </row>
    <row r="25" spans="1:20" s="422" customFormat="1">
      <c r="A25" s="419" t="s">
        <v>253</v>
      </c>
      <c r="B25" s="420" t="s">
        <v>345</v>
      </c>
      <c r="C25" s="234" t="s">
        <v>349</v>
      </c>
      <c r="D25" s="234">
        <v>7014.05</v>
      </c>
      <c r="E25" s="234">
        <v>0</v>
      </c>
      <c r="F25" s="234">
        <f t="shared" ref="F25:F26" si="6">D25-E25</f>
        <v>7014.05</v>
      </c>
      <c r="G25" s="234">
        <v>7913.34</v>
      </c>
      <c r="H25" s="234">
        <v>0</v>
      </c>
      <c r="I25" s="234">
        <f t="shared" ref="I25:I26" si="7">G25-H25</f>
        <v>7913.34</v>
      </c>
      <c r="J25" s="421" t="s">
        <v>385</v>
      </c>
      <c r="K25" s="422">
        <v>1</v>
      </c>
      <c r="L25" s="422" t="s">
        <v>338</v>
      </c>
    </row>
    <row r="26" spans="1:20" s="422" customFormat="1">
      <c r="A26" s="419" t="s">
        <v>253</v>
      </c>
      <c r="B26" s="420" t="s">
        <v>337</v>
      </c>
      <c r="C26" s="234" t="s">
        <v>349</v>
      </c>
      <c r="D26" s="234">
        <f>D24-D25</f>
        <v>6253.06</v>
      </c>
      <c r="E26" s="234">
        <v>0</v>
      </c>
      <c r="F26" s="234">
        <f t="shared" si="6"/>
        <v>6253.06</v>
      </c>
      <c r="G26" s="234">
        <f>G24-G25</f>
        <v>8881.4500000000007</v>
      </c>
      <c r="H26" s="234">
        <v>0</v>
      </c>
      <c r="I26" s="234">
        <f t="shared" si="7"/>
        <v>8881.4500000000007</v>
      </c>
      <c r="J26" s="421" t="s">
        <v>388</v>
      </c>
      <c r="T26" s="422">
        <v>3</v>
      </c>
    </row>
    <row r="27" spans="1:20" ht="33.6" customHeight="1">
      <c r="A27" s="430" t="s">
        <v>16</v>
      </c>
      <c r="B27" s="436" t="s">
        <v>368</v>
      </c>
      <c r="C27" s="229" t="s">
        <v>349</v>
      </c>
      <c r="D27" s="230"/>
      <c r="E27" s="230"/>
      <c r="F27" s="230">
        <f>F28+F31</f>
        <v>0</v>
      </c>
      <c r="G27" s="230">
        <f>G28+G31</f>
        <v>41876.019999999997</v>
      </c>
      <c r="H27" s="230">
        <f>H28+H31</f>
        <v>15117.41</v>
      </c>
      <c r="I27" s="230">
        <f>I28+I31</f>
        <v>26758.609999999997</v>
      </c>
      <c r="J27" s="415"/>
      <c r="T27" s="410">
        <v>1</v>
      </c>
    </row>
    <row r="28" spans="1:20" s="418" customFormat="1" ht="16.2">
      <c r="A28" s="416" t="s">
        <v>174</v>
      </c>
      <c r="B28" s="417" t="s">
        <v>77</v>
      </c>
      <c r="C28" s="231" t="s">
        <v>349</v>
      </c>
      <c r="D28" s="232"/>
      <c r="E28" s="232"/>
      <c r="F28" s="232"/>
      <c r="G28" s="232">
        <v>41876.019999999997</v>
      </c>
      <c r="H28" s="232">
        <f>SUM(H29:H30)</f>
        <v>15117.41</v>
      </c>
      <c r="I28" s="232">
        <f>G28-H28</f>
        <v>26758.609999999997</v>
      </c>
      <c r="J28" s="233"/>
      <c r="R28" s="431" t="e">
        <f>#REF!*0.01</f>
        <v>#REF!</v>
      </c>
      <c r="S28" s="418">
        <f>400*3</f>
        <v>1200</v>
      </c>
      <c r="T28" s="418">
        <v>2</v>
      </c>
    </row>
    <row r="29" spans="1:20" s="422" customFormat="1">
      <c r="A29" s="419" t="s">
        <v>253</v>
      </c>
      <c r="B29" s="420" t="s">
        <v>345</v>
      </c>
      <c r="C29" s="234" t="s">
        <v>349</v>
      </c>
      <c r="D29" s="234"/>
      <c r="E29" s="234"/>
      <c r="F29" s="234"/>
      <c r="G29" s="234">
        <v>27975.4</v>
      </c>
      <c r="H29" s="234">
        <v>11929.75</v>
      </c>
      <c r="I29" s="234">
        <f t="shared" ref="I29:I30" si="8">G29-H29</f>
        <v>16045.650000000001</v>
      </c>
      <c r="J29" s="421" t="s">
        <v>386</v>
      </c>
      <c r="K29" s="422">
        <v>1</v>
      </c>
      <c r="L29" s="422" t="s">
        <v>338</v>
      </c>
    </row>
    <row r="30" spans="1:20" s="422" customFormat="1">
      <c r="A30" s="419" t="s">
        <v>253</v>
      </c>
      <c r="B30" s="420" t="s">
        <v>337</v>
      </c>
      <c r="C30" s="234" t="s">
        <v>349</v>
      </c>
      <c r="D30" s="234"/>
      <c r="E30" s="234"/>
      <c r="F30" s="234"/>
      <c r="G30" s="234">
        <f>G28-G29</f>
        <v>13900.619999999995</v>
      </c>
      <c r="H30" s="234">
        <v>3187.66</v>
      </c>
      <c r="I30" s="234">
        <f t="shared" si="8"/>
        <v>10712.959999999995</v>
      </c>
      <c r="J30" s="421" t="s">
        <v>387</v>
      </c>
      <c r="K30" s="422">
        <v>4</v>
      </c>
      <c r="L30" s="422" t="s">
        <v>339</v>
      </c>
      <c r="T30" s="422">
        <v>3</v>
      </c>
    </row>
    <row r="31" spans="1:20" s="418" customFormat="1" ht="16.2" hidden="1">
      <c r="A31" s="416" t="s">
        <v>174</v>
      </c>
      <c r="B31" s="417" t="s">
        <v>78</v>
      </c>
      <c r="C31" s="231" t="s">
        <v>349</v>
      </c>
      <c r="D31" s="232"/>
      <c r="E31" s="232"/>
      <c r="F31" s="232">
        <f>D31-E31</f>
        <v>0</v>
      </c>
      <c r="G31" s="232">
        <f t="shared" ref="G31:H31" si="9">G32+G33</f>
        <v>0</v>
      </c>
      <c r="H31" s="232">
        <f t="shared" si="9"/>
        <v>0</v>
      </c>
      <c r="I31" s="232">
        <f>G31-H31</f>
        <v>0</v>
      </c>
      <c r="J31" s="233"/>
      <c r="R31" s="431" t="e">
        <f>#REF!*0.01</f>
        <v>#REF!</v>
      </c>
      <c r="S31" s="418">
        <f>400*3</f>
        <v>1200</v>
      </c>
      <c r="T31" s="418">
        <v>2</v>
      </c>
    </row>
    <row r="32" spans="1:20" s="422" customFormat="1" hidden="1">
      <c r="A32" s="419" t="s">
        <v>253</v>
      </c>
      <c r="B32" s="420" t="s">
        <v>345</v>
      </c>
      <c r="C32" s="234" t="s">
        <v>349</v>
      </c>
      <c r="D32" s="234">
        <v>0</v>
      </c>
      <c r="E32" s="234">
        <v>0</v>
      </c>
      <c r="F32" s="234">
        <f t="shared" ref="F32:F33" si="10">D32-E32</f>
        <v>0</v>
      </c>
      <c r="G32" s="234">
        <v>0</v>
      </c>
      <c r="H32" s="234">
        <v>0</v>
      </c>
      <c r="I32" s="234">
        <f t="shared" ref="I32:I33" si="11">G32-H32</f>
        <v>0</v>
      </c>
      <c r="J32" s="421"/>
      <c r="K32" s="422">
        <v>1</v>
      </c>
      <c r="L32" s="422" t="s">
        <v>338</v>
      </c>
    </row>
    <row r="33" spans="1:20" s="422" customFormat="1" hidden="1">
      <c r="A33" s="419" t="s">
        <v>253</v>
      </c>
      <c r="B33" s="420" t="s">
        <v>337</v>
      </c>
      <c r="C33" s="234" t="s">
        <v>349</v>
      </c>
      <c r="D33" s="234">
        <v>0</v>
      </c>
      <c r="E33" s="234">
        <v>0</v>
      </c>
      <c r="F33" s="234">
        <f t="shared" si="10"/>
        <v>0</v>
      </c>
      <c r="G33" s="234">
        <v>0</v>
      </c>
      <c r="H33" s="234">
        <v>0</v>
      </c>
      <c r="I33" s="234">
        <f t="shared" si="11"/>
        <v>0</v>
      </c>
      <c r="J33" s="421"/>
      <c r="T33" s="422">
        <v>3</v>
      </c>
    </row>
    <row r="34" spans="1:20" hidden="1">
      <c r="A34" s="430" t="s">
        <v>111</v>
      </c>
      <c r="B34" s="430" t="s">
        <v>369</v>
      </c>
      <c r="C34" s="229" t="s">
        <v>349</v>
      </c>
      <c r="D34" s="230"/>
      <c r="E34" s="230"/>
      <c r="F34" s="230">
        <f>F35+F38</f>
        <v>0</v>
      </c>
      <c r="G34" s="230"/>
      <c r="H34" s="230"/>
      <c r="I34" s="230"/>
      <c r="J34" s="415"/>
      <c r="T34" s="410">
        <v>1</v>
      </c>
    </row>
    <row r="35" spans="1:20" s="418" customFormat="1" ht="16.2" hidden="1">
      <c r="A35" s="416" t="s">
        <v>174</v>
      </c>
      <c r="B35" s="417" t="s">
        <v>77</v>
      </c>
      <c r="C35" s="231" t="s">
        <v>349</v>
      </c>
      <c r="D35" s="232"/>
      <c r="E35" s="232"/>
      <c r="F35" s="232">
        <f t="shared" ref="F35:F40" si="12">D35-E35</f>
        <v>0</v>
      </c>
      <c r="G35" s="232"/>
      <c r="H35" s="232"/>
      <c r="I35" s="232"/>
      <c r="J35" s="233"/>
      <c r="R35" s="431" t="e">
        <f>#REF!*0.01</f>
        <v>#REF!</v>
      </c>
      <c r="S35" s="418">
        <f>400*3</f>
        <v>1200</v>
      </c>
      <c r="T35" s="418">
        <v>2</v>
      </c>
    </row>
    <row r="36" spans="1:20" s="422" customFormat="1" hidden="1">
      <c r="A36" s="419" t="s">
        <v>253</v>
      </c>
      <c r="B36" s="420" t="s">
        <v>345</v>
      </c>
      <c r="C36" s="234" t="s">
        <v>349</v>
      </c>
      <c r="D36" s="234">
        <v>0</v>
      </c>
      <c r="E36" s="234">
        <v>0</v>
      </c>
      <c r="F36" s="234">
        <f t="shared" si="12"/>
        <v>0</v>
      </c>
      <c r="G36" s="234"/>
      <c r="H36" s="234"/>
      <c r="I36" s="234"/>
      <c r="J36" s="421"/>
      <c r="K36" s="422">
        <v>1</v>
      </c>
      <c r="L36" s="422" t="s">
        <v>338</v>
      </c>
    </row>
    <row r="37" spans="1:20" s="422" customFormat="1" hidden="1">
      <c r="A37" s="419" t="s">
        <v>253</v>
      </c>
      <c r="B37" s="420" t="s">
        <v>337</v>
      </c>
      <c r="C37" s="234" t="s">
        <v>349</v>
      </c>
      <c r="D37" s="234">
        <v>0</v>
      </c>
      <c r="E37" s="234">
        <v>0</v>
      </c>
      <c r="F37" s="234">
        <f t="shared" si="12"/>
        <v>0</v>
      </c>
      <c r="G37" s="234"/>
      <c r="H37" s="234"/>
      <c r="I37" s="234"/>
      <c r="J37" s="421"/>
      <c r="K37" s="422">
        <v>4</v>
      </c>
      <c r="L37" s="422" t="s">
        <v>339</v>
      </c>
      <c r="T37" s="422">
        <v>3</v>
      </c>
    </row>
    <row r="38" spans="1:20" s="418" customFormat="1" ht="16.2" hidden="1">
      <c r="A38" s="416" t="s">
        <v>174</v>
      </c>
      <c r="B38" s="417" t="s">
        <v>78</v>
      </c>
      <c r="C38" s="231" t="s">
        <v>349</v>
      </c>
      <c r="D38" s="232"/>
      <c r="E38" s="232"/>
      <c r="F38" s="232">
        <f t="shared" si="12"/>
        <v>0</v>
      </c>
      <c r="G38" s="232"/>
      <c r="H38" s="232"/>
      <c r="I38" s="232">
        <f t="shared" ref="I38:I40" si="13">G38-H38</f>
        <v>0</v>
      </c>
      <c r="J38" s="233"/>
      <c r="R38" s="431" t="e">
        <f>#REF!*0.01</f>
        <v>#REF!</v>
      </c>
      <c r="S38" s="418">
        <f>400*3</f>
        <v>1200</v>
      </c>
      <c r="T38" s="418">
        <v>2</v>
      </c>
    </row>
    <row r="39" spans="1:20" s="422" customFormat="1" hidden="1">
      <c r="A39" s="419" t="s">
        <v>253</v>
      </c>
      <c r="B39" s="420" t="s">
        <v>340</v>
      </c>
      <c r="C39" s="234" t="s">
        <v>349</v>
      </c>
      <c r="D39" s="234">
        <v>0</v>
      </c>
      <c r="E39" s="234">
        <v>0</v>
      </c>
      <c r="F39" s="234">
        <f t="shared" si="12"/>
        <v>0</v>
      </c>
      <c r="G39" s="234">
        <v>0</v>
      </c>
      <c r="H39" s="234">
        <v>0</v>
      </c>
      <c r="I39" s="234">
        <f t="shared" si="13"/>
        <v>0</v>
      </c>
      <c r="J39" s="421"/>
      <c r="K39" s="422">
        <v>1</v>
      </c>
      <c r="L39" s="422" t="s">
        <v>338</v>
      </c>
    </row>
    <row r="40" spans="1:20" s="422" customFormat="1" hidden="1">
      <c r="A40" s="419" t="s">
        <v>253</v>
      </c>
      <c r="B40" s="420" t="s">
        <v>341</v>
      </c>
      <c r="C40" s="234" t="s">
        <v>349</v>
      </c>
      <c r="D40" s="234">
        <v>0</v>
      </c>
      <c r="E40" s="234">
        <v>0</v>
      </c>
      <c r="F40" s="234">
        <f t="shared" si="12"/>
        <v>0</v>
      </c>
      <c r="G40" s="234">
        <v>0</v>
      </c>
      <c r="H40" s="234">
        <v>0</v>
      </c>
      <c r="I40" s="234">
        <f t="shared" si="13"/>
        <v>0</v>
      </c>
      <c r="J40" s="421"/>
      <c r="T40" s="422">
        <v>3</v>
      </c>
    </row>
    <row r="41" spans="1:20" s="153" customFormat="1" ht="19.2" customHeight="1">
      <c r="A41" s="121"/>
      <c r="B41" s="224" t="s">
        <v>79</v>
      </c>
      <c r="C41" s="224"/>
      <c r="D41" s="225">
        <f t="shared" ref="D41:I41" si="14">D18+D27+D34</f>
        <v>222591.90000000002</v>
      </c>
      <c r="E41" s="225">
        <f t="shared" si="14"/>
        <v>21775.010000000002</v>
      </c>
      <c r="F41" s="225">
        <f t="shared" si="14"/>
        <v>200816.89</v>
      </c>
      <c r="G41" s="225">
        <f t="shared" si="14"/>
        <v>281838.62</v>
      </c>
      <c r="H41" s="225">
        <f t="shared" si="14"/>
        <v>58054.070000000007</v>
      </c>
      <c r="I41" s="225">
        <f t="shared" si="14"/>
        <v>223784.55</v>
      </c>
      <c r="J41" s="224"/>
      <c r="L41" s="122"/>
    </row>
    <row r="42" spans="1:20" s="101" customFormat="1" ht="19.2" customHeight="1">
      <c r="A42" s="122"/>
      <c r="B42" s="212"/>
      <c r="C42" s="212"/>
      <c r="D42" s="228"/>
      <c r="E42" s="228"/>
      <c r="F42" s="228"/>
      <c r="G42" s="228"/>
      <c r="H42" s="228"/>
      <c r="I42" s="228"/>
    </row>
    <row r="43" spans="1:20" s="424" customFormat="1" ht="21" customHeight="1">
      <c r="A43" s="829" t="s">
        <v>242</v>
      </c>
      <c r="B43" s="829"/>
      <c r="C43" s="829"/>
      <c r="D43" s="829"/>
      <c r="E43" s="425"/>
      <c r="F43" s="425"/>
      <c r="G43" s="829" t="s">
        <v>140</v>
      </c>
      <c r="H43" s="829"/>
      <c r="I43" s="829"/>
      <c r="J43" s="829"/>
    </row>
    <row r="44" spans="1:20" s="428" customFormat="1" ht="18">
      <c r="A44" s="426"/>
      <c r="B44" s="427"/>
      <c r="C44" s="427"/>
      <c r="D44" s="427"/>
      <c r="E44" s="427"/>
      <c r="F44" s="427"/>
      <c r="G44" s="427"/>
      <c r="H44" s="427"/>
      <c r="I44" s="427"/>
      <c r="J44" s="427"/>
    </row>
    <row r="45" spans="1:20" s="428" customFormat="1" ht="18">
      <c r="A45" s="426"/>
      <c r="B45" s="427"/>
      <c r="C45" s="427"/>
      <c r="D45" s="427"/>
      <c r="E45" s="427"/>
      <c r="F45" s="427"/>
      <c r="G45" s="427"/>
      <c r="H45" s="427"/>
      <c r="I45" s="427"/>
      <c r="J45" s="427"/>
    </row>
    <row r="46" spans="1:20" s="428" customFormat="1" ht="18">
      <c r="A46" s="426"/>
      <c r="B46" s="427"/>
      <c r="C46" s="427"/>
      <c r="D46" s="427"/>
      <c r="E46" s="427"/>
      <c r="F46" s="427"/>
      <c r="G46" s="427"/>
      <c r="H46" s="427"/>
      <c r="I46" s="427"/>
      <c r="J46" s="427"/>
    </row>
    <row r="47" spans="1:20" s="428" customFormat="1" ht="18">
      <c r="A47" s="426"/>
      <c r="B47" s="427"/>
      <c r="C47" s="427"/>
      <c r="D47" s="427"/>
      <c r="E47" s="427"/>
      <c r="F47" s="427"/>
      <c r="G47" s="427"/>
      <c r="H47" s="427"/>
      <c r="I47" s="427"/>
      <c r="J47" s="427"/>
    </row>
    <row r="48" spans="1:20" s="424" customFormat="1" ht="17.399999999999999">
      <c r="A48" s="829"/>
      <c r="B48" s="829"/>
      <c r="C48" s="423"/>
      <c r="D48" s="425"/>
      <c r="E48" s="425"/>
      <c r="F48" s="425"/>
      <c r="G48" s="829" t="str">
        <f>THNK_C!L18</f>
        <v>Nguyễn Đình Duy</v>
      </c>
      <c r="H48" s="829"/>
      <c r="I48" s="829"/>
      <c r="J48" s="829"/>
    </row>
    <row r="52" spans="2:3" ht="109.2">
      <c r="B52" s="429" t="s">
        <v>336</v>
      </c>
      <c r="C52" s="429"/>
    </row>
  </sheetData>
  <sheetProtection selectLockedCells="1" selectUnlockedCells="1"/>
  <autoFilter ref="T15:T41" xr:uid="{00000000-0009-0000-0000-000001000000}"/>
  <mergeCells count="14">
    <mergeCell ref="A43:D43"/>
    <mergeCell ref="G43:J43"/>
    <mergeCell ref="A48:B48"/>
    <mergeCell ref="G48:J48"/>
    <mergeCell ref="A10:J10"/>
    <mergeCell ref="A11:J11"/>
    <mergeCell ref="A12:J12"/>
    <mergeCell ref="A13:J13"/>
    <mergeCell ref="A15:A16"/>
    <mergeCell ref="B15:B16"/>
    <mergeCell ref="C15:C16"/>
    <mergeCell ref="D15:F15"/>
    <mergeCell ref="G15:I15"/>
    <mergeCell ref="J15:J16"/>
  </mergeCells>
  <conditionalFormatting sqref="J15 J17:J18 J20:J23 J25:J27 J29:J30 J32:J34 J36:J37 J39:J40">
    <cfRule type="expression" dxfId="3" priority="1" stopIfTrue="1">
      <formula>$B15&lt;&gt;""</formula>
    </cfRule>
  </conditionalFormatting>
  <printOptions horizontalCentered="1"/>
  <pageMargins left="0.19685039370078741" right="0.19685039370078741" top="0.78740157480314965" bottom="0.39370078740157483" header="0.31496062992125984" footer="0.19685039370078741"/>
  <pageSetup paperSize="9" scale="81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41"/>
  <sheetViews>
    <sheetView topLeftCell="A11" workbookViewId="0"/>
  </sheetViews>
  <sheetFormatPr defaultColWidth="8.8984375" defaultRowHeight="15"/>
  <cols>
    <col min="1" max="1" width="8.8984375" style="459"/>
    <col min="2" max="2" width="20.09765625" style="459" customWidth="1"/>
    <col min="3" max="3" width="98.3984375" style="459" customWidth="1"/>
    <col min="4" max="4" width="12.3984375" style="459" customWidth="1"/>
    <col min="5" max="5" width="12" style="459" customWidth="1"/>
    <col min="6" max="6" width="12.3984375" style="459" customWidth="1"/>
    <col min="7" max="7" width="12" style="459" customWidth="1"/>
    <col min="8" max="16384" width="8.8984375" style="459"/>
  </cols>
  <sheetData>
    <row r="1" spans="1:7" ht="49.2" customHeight="1" thickBot="1">
      <c r="B1" s="459" t="s">
        <v>297</v>
      </c>
    </row>
    <row r="2" spans="1:7" ht="16.8">
      <c r="A2" s="460" t="s">
        <v>0</v>
      </c>
      <c r="B2" s="461" t="s">
        <v>264</v>
      </c>
      <c r="C2" s="461" t="s">
        <v>288</v>
      </c>
      <c r="D2" s="462">
        <f>'Gia DT TC'!T9</f>
        <v>0</v>
      </c>
      <c r="F2" s="462">
        <f>'Gia DT TC'!V9</f>
        <v>0</v>
      </c>
    </row>
    <row r="3" spans="1:7" ht="50.4">
      <c r="A3" s="463">
        <v>1</v>
      </c>
      <c r="B3" s="464" t="s">
        <v>289</v>
      </c>
      <c r="C3" s="464" t="s">
        <v>296</v>
      </c>
      <c r="D3" s="459">
        <f>IF(IFERROR(SEARCH($D$2,C3),0)&gt;0,1,0)</f>
        <v>0</v>
      </c>
      <c r="E3" s="459" t="str">
        <f>LOOKUP(1,$D$3:$D$6,$B$3:$B$6)</f>
        <v>Khu vực 1</v>
      </c>
      <c r="F3" s="459">
        <f>IF(IFERROR(SEARCH($F$2,G3),0)&gt;0,1,0)</f>
        <v>0</v>
      </c>
      <c r="G3" s="459" t="str">
        <f>LOOKUP(1,$D$3:$D$6,$B$3:$B$6)</f>
        <v>Khu vực 1</v>
      </c>
    </row>
    <row r="4" spans="1:7" ht="201.6">
      <c r="A4" s="465">
        <v>2</v>
      </c>
      <c r="B4" s="466" t="s">
        <v>290</v>
      </c>
      <c r="C4" s="466" t="s">
        <v>291</v>
      </c>
      <c r="D4" s="459">
        <f t="shared" ref="D4:D6" si="0">IF(IFERROR(SEARCH($D$2,C4),0)&gt;0,1,0)</f>
        <v>0</v>
      </c>
      <c r="F4" s="459">
        <f t="shared" ref="F4:F6" si="1">IF(IFERROR(SEARCH($F$2,G4),0)&gt;0,1,0)</f>
        <v>0</v>
      </c>
    </row>
    <row r="5" spans="1:7" ht="336">
      <c r="A5" s="465">
        <v>3</v>
      </c>
      <c r="B5" s="465" t="s">
        <v>292</v>
      </c>
      <c r="C5" s="466" t="s">
        <v>293</v>
      </c>
      <c r="D5" s="459">
        <f t="shared" si="0"/>
        <v>0</v>
      </c>
      <c r="F5" s="459">
        <f t="shared" si="1"/>
        <v>0</v>
      </c>
    </row>
    <row r="6" spans="1:7" ht="33.6">
      <c r="A6" s="465">
        <v>4</v>
      </c>
      <c r="B6" s="465" t="s">
        <v>294</v>
      </c>
      <c r="C6" s="466" t="s">
        <v>295</v>
      </c>
      <c r="D6" s="459">
        <f t="shared" si="0"/>
        <v>0</v>
      </c>
      <c r="F6" s="459">
        <f t="shared" si="1"/>
        <v>0</v>
      </c>
    </row>
    <row r="7" spans="1:7" ht="15.6" thickBot="1">
      <c r="B7" s="459" t="s">
        <v>206</v>
      </c>
    </row>
    <row r="8" spans="1:7" ht="17.399999999999999" thickBot="1">
      <c r="A8" s="467" t="s">
        <v>0</v>
      </c>
      <c r="B8" s="468" t="s">
        <v>264</v>
      </c>
      <c r="C8" s="468" t="s">
        <v>298</v>
      </c>
    </row>
    <row r="9" spans="1:7" ht="34.200000000000003" thickBot="1">
      <c r="A9" s="469">
        <v>1</v>
      </c>
      <c r="B9" s="470" t="s">
        <v>294</v>
      </c>
      <c r="C9" s="471" t="s">
        <v>299</v>
      </c>
    </row>
    <row r="10" spans="1:7" ht="34.200000000000003" thickBot="1">
      <c r="A10" s="469">
        <v>2</v>
      </c>
      <c r="B10" s="470" t="s">
        <v>292</v>
      </c>
      <c r="C10" s="471" t="s">
        <v>300</v>
      </c>
    </row>
    <row r="11" spans="1:7" ht="34.200000000000003" thickBot="1">
      <c r="A11" s="472">
        <v>3</v>
      </c>
      <c r="B11" s="470" t="s">
        <v>290</v>
      </c>
      <c r="C11" s="471" t="s">
        <v>301</v>
      </c>
    </row>
    <row r="12" spans="1:7" ht="17.399999999999999" thickBot="1">
      <c r="A12" s="472">
        <v>4</v>
      </c>
      <c r="B12" s="470" t="s">
        <v>302</v>
      </c>
      <c r="C12" s="473" t="s">
        <v>303</v>
      </c>
    </row>
    <row r="13" spans="1:7" ht="17.399999999999999">
      <c r="A13" s="474"/>
      <c r="B13" s="475" t="s">
        <v>313</v>
      </c>
      <c r="C13" s="475"/>
      <c r="D13" s="475"/>
      <c r="E13" s="475"/>
      <c r="F13" s="475"/>
      <c r="G13" s="475"/>
    </row>
    <row r="14" spans="1:7" ht="18.600000000000001" thickBot="1">
      <c r="A14" s="476"/>
      <c r="B14" s="475" t="s">
        <v>314</v>
      </c>
      <c r="C14" s="475"/>
      <c r="D14" s="475"/>
      <c r="E14" s="475"/>
      <c r="F14" s="475"/>
      <c r="G14" s="475"/>
    </row>
    <row r="15" spans="1:7" ht="16.2" thickBot="1">
      <c r="A15" s="841" t="s">
        <v>0</v>
      </c>
      <c r="B15" s="841" t="s">
        <v>304</v>
      </c>
      <c r="C15" s="844" t="s">
        <v>305</v>
      </c>
      <c r="D15" s="845"/>
      <c r="E15" s="845"/>
      <c r="F15" s="845"/>
      <c r="G15" s="846"/>
    </row>
    <row r="16" spans="1:7" ht="15" customHeight="1">
      <c r="A16" s="842"/>
      <c r="B16" s="842"/>
      <c r="C16" s="841" t="s">
        <v>306</v>
      </c>
      <c r="D16" s="841" t="s">
        <v>307</v>
      </c>
      <c r="E16" s="478" t="s">
        <v>308</v>
      </c>
      <c r="F16" s="841" t="s">
        <v>310</v>
      </c>
      <c r="G16" s="479" t="s">
        <v>311</v>
      </c>
    </row>
    <row r="17" spans="1:7">
      <c r="A17" s="843"/>
      <c r="B17" s="843"/>
      <c r="C17" s="843"/>
      <c r="D17" s="843"/>
      <c r="E17" s="480" t="s">
        <v>309</v>
      </c>
      <c r="F17" s="843"/>
      <c r="G17" s="480" t="s">
        <v>312</v>
      </c>
    </row>
    <row r="18" spans="1:7">
      <c r="A18" s="477"/>
      <c r="B18" s="478"/>
      <c r="C18" s="478">
        <v>0.3</v>
      </c>
      <c r="D18" s="478">
        <v>1</v>
      </c>
      <c r="E18" s="478">
        <v>3</v>
      </c>
      <c r="F18" s="478">
        <v>5</v>
      </c>
      <c r="G18" s="478">
        <v>10</v>
      </c>
    </row>
    <row r="19" spans="1:7" ht="15.6" thickBot="1">
      <c r="A19" s="481">
        <v>1</v>
      </c>
      <c r="B19" s="482" t="s">
        <v>294</v>
      </c>
      <c r="C19" s="482">
        <v>70</v>
      </c>
      <c r="D19" s="482">
        <v>10</v>
      </c>
      <c r="E19" s="482">
        <v>3</v>
      </c>
      <c r="F19" s="482">
        <v>0.3</v>
      </c>
      <c r="G19" s="482">
        <v>0.03</v>
      </c>
    </row>
    <row r="20" spans="1:7" ht="15.6" thickBot="1">
      <c r="A20" s="481">
        <v>2</v>
      </c>
      <c r="B20" s="482" t="s">
        <v>292</v>
      </c>
      <c r="C20" s="482">
        <v>120</v>
      </c>
      <c r="D20" s="482">
        <v>15</v>
      </c>
      <c r="E20" s="482">
        <v>4</v>
      </c>
      <c r="F20" s="482">
        <v>0.5</v>
      </c>
      <c r="G20" s="482">
        <v>0.05</v>
      </c>
    </row>
    <row r="21" spans="1:7" ht="15.6" thickBot="1">
      <c r="A21" s="481">
        <v>3</v>
      </c>
      <c r="B21" s="482" t="s">
        <v>290</v>
      </c>
      <c r="C21" s="482">
        <v>175</v>
      </c>
      <c r="D21" s="482">
        <v>20</v>
      </c>
      <c r="E21" s="482">
        <v>5</v>
      </c>
      <c r="F21" s="482">
        <v>1</v>
      </c>
      <c r="G21" s="482">
        <v>0.1</v>
      </c>
    </row>
    <row r="22" spans="1:7" ht="15.6" thickBot="1">
      <c r="A22" s="481">
        <v>4</v>
      </c>
      <c r="B22" s="482" t="s">
        <v>289</v>
      </c>
      <c r="C22" s="482">
        <v>245</v>
      </c>
      <c r="D22" s="482">
        <v>25</v>
      </c>
      <c r="E22" s="482">
        <v>6</v>
      </c>
      <c r="F22" s="482">
        <v>1.5</v>
      </c>
      <c r="G22" s="482">
        <v>0.2</v>
      </c>
    </row>
    <row r="23" spans="1:7">
      <c r="A23" s="483">
        <v>5</v>
      </c>
      <c r="B23" s="484" t="s">
        <v>302</v>
      </c>
      <c r="C23" s="483" t="s">
        <v>327</v>
      </c>
      <c r="D23" s="483" t="s">
        <v>328</v>
      </c>
      <c r="E23" s="483" t="s">
        <v>334</v>
      </c>
      <c r="F23" s="483" t="s">
        <v>335</v>
      </c>
      <c r="G23" s="483">
        <v>0.2</v>
      </c>
    </row>
    <row r="25" spans="1:7" ht="18.600000000000001" thickBot="1">
      <c r="A25" s="476"/>
      <c r="B25" s="475" t="s">
        <v>325</v>
      </c>
      <c r="C25" s="475"/>
      <c r="D25" s="475"/>
      <c r="E25" s="475"/>
      <c r="F25" s="475"/>
      <c r="G25" s="475"/>
    </row>
    <row r="26" spans="1:7" ht="16.2" thickBot="1">
      <c r="A26" s="849" t="s">
        <v>0</v>
      </c>
      <c r="B26" s="485" t="s">
        <v>264</v>
      </c>
      <c r="C26" s="851" t="s">
        <v>317</v>
      </c>
      <c r="D26" s="852"/>
      <c r="E26" s="853"/>
    </row>
    <row r="27" spans="1:7" ht="30.6" customHeight="1">
      <c r="A27" s="850"/>
      <c r="B27" s="486" t="s">
        <v>316</v>
      </c>
      <c r="C27" s="486" t="s">
        <v>318</v>
      </c>
      <c r="D27" s="486" t="s">
        <v>319</v>
      </c>
      <c r="E27" s="486" t="s">
        <v>320</v>
      </c>
      <c r="F27" s="486" t="s">
        <v>319</v>
      </c>
      <c r="G27" s="486" t="s">
        <v>320</v>
      </c>
    </row>
    <row r="28" spans="1:7" ht="15.6">
      <c r="A28" s="487"/>
      <c r="B28" s="488"/>
      <c r="C28" s="488">
        <v>0.5</v>
      </c>
      <c r="D28" s="488">
        <v>1</v>
      </c>
      <c r="E28" s="488">
        <v>10</v>
      </c>
      <c r="F28" s="488">
        <v>1</v>
      </c>
      <c r="G28" s="488">
        <v>10</v>
      </c>
    </row>
    <row r="29" spans="1:7" ht="17.399999999999999" thickBot="1">
      <c r="A29" s="469">
        <v>1</v>
      </c>
      <c r="B29" s="470" t="s">
        <v>294</v>
      </c>
      <c r="C29" s="470">
        <v>20</v>
      </c>
      <c r="D29" s="470">
        <v>1</v>
      </c>
      <c r="E29" s="470">
        <v>0.1</v>
      </c>
      <c r="F29" s="470">
        <v>1</v>
      </c>
      <c r="G29" s="470">
        <v>0.1</v>
      </c>
    </row>
    <row r="30" spans="1:7" ht="17.399999999999999" thickBot="1">
      <c r="A30" s="469">
        <v>2</v>
      </c>
      <c r="B30" s="470" t="s">
        <v>292</v>
      </c>
      <c r="C30" s="470">
        <v>40</v>
      </c>
      <c r="D30" s="470">
        <v>2</v>
      </c>
      <c r="E30" s="470">
        <v>0.3</v>
      </c>
      <c r="F30" s="470">
        <v>2</v>
      </c>
      <c r="G30" s="470">
        <v>0.3</v>
      </c>
    </row>
    <row r="31" spans="1:7" ht="17.399999999999999" thickBot="1">
      <c r="A31" s="469">
        <v>3</v>
      </c>
      <c r="B31" s="470" t="s">
        <v>290</v>
      </c>
      <c r="C31" s="470">
        <v>70</v>
      </c>
      <c r="D31" s="470">
        <v>3</v>
      </c>
      <c r="E31" s="470">
        <v>0.5</v>
      </c>
      <c r="F31" s="470">
        <v>3</v>
      </c>
      <c r="G31" s="470">
        <v>0.5</v>
      </c>
    </row>
    <row r="32" spans="1:7" ht="17.399999999999999" thickBot="1">
      <c r="A32" s="469">
        <v>4</v>
      </c>
      <c r="B32" s="470" t="s">
        <v>289</v>
      </c>
      <c r="C32" s="470">
        <v>80</v>
      </c>
      <c r="D32" s="470">
        <v>4</v>
      </c>
      <c r="E32" s="470">
        <v>1</v>
      </c>
      <c r="F32" s="470">
        <v>4</v>
      </c>
      <c r="G32" s="470">
        <v>1</v>
      </c>
    </row>
    <row r="33" spans="1:7" ht="16.8">
      <c r="A33" s="489">
        <v>5</v>
      </c>
      <c r="B33" s="490" t="s">
        <v>302</v>
      </c>
      <c r="C33" s="489" t="s">
        <v>329</v>
      </c>
      <c r="D33" s="489" t="s">
        <v>331</v>
      </c>
      <c r="E33" s="489" t="s">
        <v>332</v>
      </c>
      <c r="F33" s="489" t="s">
        <v>331</v>
      </c>
      <c r="G33" s="489" t="s">
        <v>332</v>
      </c>
    </row>
    <row r="34" spans="1:7" ht="18.600000000000001" thickBot="1">
      <c r="A34" s="476"/>
      <c r="B34" s="475" t="s">
        <v>326</v>
      </c>
      <c r="C34" s="475"/>
      <c r="D34" s="475"/>
      <c r="E34" s="475"/>
      <c r="F34" s="475"/>
      <c r="G34" s="475"/>
    </row>
    <row r="35" spans="1:7" ht="17.399999999999999" thickBot="1">
      <c r="A35" s="847" t="s">
        <v>0</v>
      </c>
      <c r="B35" s="461" t="s">
        <v>264</v>
      </c>
      <c r="C35" s="855" t="s">
        <v>305</v>
      </c>
      <c r="D35" s="856"/>
      <c r="E35" s="857"/>
    </row>
    <row r="36" spans="1:7" ht="67.2" customHeight="1">
      <c r="A36" s="854"/>
      <c r="B36" s="491" t="s">
        <v>316</v>
      </c>
      <c r="C36" s="491" t="s">
        <v>321</v>
      </c>
      <c r="D36" s="847" t="s">
        <v>323</v>
      </c>
      <c r="E36" s="847" t="s">
        <v>324</v>
      </c>
      <c r="F36" s="847" t="s">
        <v>323</v>
      </c>
      <c r="G36" s="847" t="s">
        <v>324</v>
      </c>
    </row>
    <row r="37" spans="1:7" ht="16.8">
      <c r="A37" s="848"/>
      <c r="B37" s="492"/>
      <c r="C37" s="493" t="s">
        <v>322</v>
      </c>
      <c r="D37" s="848"/>
      <c r="E37" s="848"/>
      <c r="F37" s="848"/>
      <c r="G37" s="848"/>
    </row>
    <row r="38" spans="1:7" ht="17.399999999999999" thickBot="1">
      <c r="A38" s="494">
        <v>1</v>
      </c>
      <c r="B38" s="495" t="s">
        <v>294</v>
      </c>
      <c r="C38" s="495">
        <v>15</v>
      </c>
      <c r="D38" s="495">
        <v>1</v>
      </c>
      <c r="E38" s="495">
        <v>0.1</v>
      </c>
      <c r="F38" s="495">
        <v>1</v>
      </c>
      <c r="G38" s="495">
        <v>0.1</v>
      </c>
    </row>
    <row r="39" spans="1:7" ht="17.399999999999999" thickBot="1">
      <c r="A39" s="494">
        <v>2</v>
      </c>
      <c r="B39" s="495" t="s">
        <v>292</v>
      </c>
      <c r="C39" s="495">
        <v>23</v>
      </c>
      <c r="D39" s="495">
        <v>3</v>
      </c>
      <c r="E39" s="495">
        <v>0.3</v>
      </c>
      <c r="F39" s="495">
        <v>3</v>
      </c>
      <c r="G39" s="495">
        <v>0.3</v>
      </c>
    </row>
    <row r="40" spans="1:7" ht="17.399999999999999" thickBot="1">
      <c r="A40" s="494">
        <v>3</v>
      </c>
      <c r="B40" s="495" t="s">
        <v>290</v>
      </c>
      <c r="C40" s="495">
        <v>30</v>
      </c>
      <c r="D40" s="495">
        <v>4</v>
      </c>
      <c r="E40" s="495">
        <v>0.5</v>
      </c>
      <c r="F40" s="495">
        <v>4</v>
      </c>
      <c r="G40" s="495">
        <v>0.5</v>
      </c>
    </row>
    <row r="41" spans="1:7" ht="16.8">
      <c r="A41" s="496">
        <v>4</v>
      </c>
      <c r="B41" s="497" t="s">
        <v>302</v>
      </c>
      <c r="C41" s="496" t="s">
        <v>330</v>
      </c>
      <c r="D41" s="496" t="s">
        <v>331</v>
      </c>
      <c r="E41" s="496" t="s">
        <v>333</v>
      </c>
      <c r="F41" s="496" t="s">
        <v>331</v>
      </c>
      <c r="G41" s="496" t="s">
        <v>333</v>
      </c>
    </row>
  </sheetData>
  <mergeCells count="14">
    <mergeCell ref="F36:F37"/>
    <mergeCell ref="G36:G37"/>
    <mergeCell ref="A26:A27"/>
    <mergeCell ref="C26:E26"/>
    <mergeCell ref="A35:A37"/>
    <mergeCell ref="C35:E35"/>
    <mergeCell ref="D36:D37"/>
    <mergeCell ref="E36:E37"/>
    <mergeCell ref="A15:A17"/>
    <mergeCell ref="B15:B17"/>
    <mergeCell ref="C15:G15"/>
    <mergeCell ref="C16:C17"/>
    <mergeCell ref="D16:D17"/>
    <mergeCell ref="F16:F17"/>
  </mergeCells>
  <pageMargins left="0.7" right="0.7" top="0.75" bottom="0.75" header="0.3" footer="0.3"/>
  <customProperties>
    <customPr name="TTBMVN.WorksheetRole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00B0F0"/>
  </sheetPr>
  <dimension ref="A1:Y47"/>
  <sheetViews>
    <sheetView view="pageBreakPreview" topLeftCell="A10" zoomScale="60" zoomScaleNormal="70" workbookViewId="0">
      <selection activeCell="Y10" sqref="Y10"/>
    </sheetView>
  </sheetViews>
  <sheetFormatPr defaultColWidth="9" defaultRowHeight="16.8" outlineLevelCol="1"/>
  <cols>
    <col min="1" max="1" width="4.59765625" style="628" customWidth="1"/>
    <col min="2" max="2" width="35.3984375" style="628" bestFit="1" customWidth="1"/>
    <col min="3" max="3" width="8.3984375" style="628" bestFit="1" customWidth="1"/>
    <col min="4" max="4" width="16.796875" style="628" bestFit="1" customWidth="1"/>
    <col min="5" max="5" width="15.796875" style="628" bestFit="1" customWidth="1"/>
    <col min="6" max="6" width="8.09765625" style="628" bestFit="1" customWidth="1"/>
    <col min="7" max="7" width="38.69921875" style="629" hidden="1" customWidth="1" outlineLevel="1"/>
    <col min="8" max="8" width="30.8984375" style="629" hidden="1" customWidth="1" outlineLevel="1"/>
    <col min="9" max="9" width="13.8984375" style="629" hidden="1" customWidth="1" outlineLevel="1"/>
    <col min="10" max="10" width="20.3984375" style="629" customWidth="1" collapsed="1"/>
    <col min="11" max="11" width="21.19921875" style="629" customWidth="1"/>
    <col min="12" max="12" width="14.59765625" style="629" customWidth="1"/>
    <col min="13" max="16384" width="9" style="629"/>
  </cols>
  <sheetData>
    <row r="1" spans="1:25" ht="18" customHeight="1"/>
    <row r="2" spans="1:25" s="630" customFormat="1" ht="22.5" customHeight="1">
      <c r="A2" s="859" t="s">
        <v>121</v>
      </c>
      <c r="B2" s="859"/>
      <c r="C2" s="859"/>
      <c r="D2" s="859"/>
      <c r="E2" s="859"/>
      <c r="F2" s="859"/>
    </row>
    <row r="3" spans="1:25" s="630" customFormat="1" ht="48" customHeight="1">
      <c r="A3" s="860" t="str">
        <f>'PL01'!C2</f>
        <v>Dự án: Cải tạo, nâng cấp  trạm bơm Trà Phương 3 tiêu thoát nước cho vùng các khu công nghiệp huyện Kim Động, Ân Thi, Yên Mỹ tỉnh Hưng Yên</v>
      </c>
      <c r="B3" s="861"/>
      <c r="C3" s="861"/>
      <c r="D3" s="861"/>
      <c r="E3" s="861"/>
      <c r="F3" s="861"/>
      <c r="H3" s="631"/>
    </row>
    <row r="4" spans="1:25" s="632" customFormat="1" ht="16.8" customHeight="1">
      <c r="A4" s="860" t="str">
        <f>'PL01'!C3</f>
        <v>Hạng mục: Rà phá bom mìn, vật nổ</v>
      </c>
      <c r="B4" s="861"/>
      <c r="C4" s="861"/>
      <c r="D4" s="861"/>
      <c r="E4" s="861"/>
      <c r="F4" s="861"/>
    </row>
    <row r="5" spans="1:25" s="630" customFormat="1" ht="22.8" customHeight="1">
      <c r="A5" s="860" t="str">
        <f>'PL01'!C4</f>
        <v>Địa điểm: Xã Hồng Quang, tỉnh Hưng Yên</v>
      </c>
      <c r="B5" s="861"/>
      <c r="C5" s="861"/>
      <c r="D5" s="861"/>
      <c r="E5" s="861"/>
      <c r="F5" s="861"/>
    </row>
    <row r="6" spans="1:25" s="632" customFormat="1" ht="21" hidden="1" customHeight="1">
      <c r="A6" s="858" t="s">
        <v>240</v>
      </c>
      <c r="B6" s="858"/>
      <c r="C6" s="858"/>
      <c r="D6" s="858"/>
      <c r="E6" s="858"/>
      <c r="F6" s="633"/>
    </row>
    <row r="7" spans="1:25" s="630" customFormat="1" ht="9.75" customHeight="1">
      <c r="A7" s="634"/>
      <c r="B7" s="634"/>
      <c r="C7" s="634"/>
      <c r="D7" s="634"/>
      <c r="E7" s="634"/>
      <c r="F7" s="634"/>
    </row>
    <row r="8" spans="1:25" ht="29.25" customHeight="1">
      <c r="A8" s="635" t="s">
        <v>0</v>
      </c>
      <c r="B8" s="636" t="s">
        <v>117</v>
      </c>
      <c r="C8" s="637" t="s">
        <v>355</v>
      </c>
      <c r="D8" s="636" t="s">
        <v>118</v>
      </c>
      <c r="E8" s="638" t="s">
        <v>79</v>
      </c>
      <c r="F8" s="452" t="s">
        <v>19</v>
      </c>
      <c r="H8" s="629" t="s">
        <v>376</v>
      </c>
    </row>
    <row r="9" spans="1:25" s="643" customFormat="1" ht="22.95" customHeight="1">
      <c r="A9" s="639" t="s">
        <v>1</v>
      </c>
      <c r="B9" s="640" t="s">
        <v>186</v>
      </c>
      <c r="C9" s="639"/>
      <c r="D9" s="641"/>
      <c r="E9" s="641"/>
      <c r="F9" s="642"/>
      <c r="G9" s="643" t="s">
        <v>380</v>
      </c>
      <c r="H9" s="643" t="s">
        <v>377</v>
      </c>
    </row>
    <row r="10" spans="1:25" s="643" customFormat="1" ht="22.95" customHeight="1">
      <c r="A10" s="644">
        <v>1</v>
      </c>
      <c r="B10" s="645" t="s">
        <v>180</v>
      </c>
      <c r="C10" s="646" t="s">
        <v>5</v>
      </c>
      <c r="D10" s="644" t="s">
        <v>354</v>
      </c>
      <c r="E10" s="647">
        <f>ROUND('Gia DT TC'!I27,0)</f>
        <v>12540586</v>
      </c>
      <c r="F10" s="648"/>
      <c r="G10" s="643">
        <v>2</v>
      </c>
      <c r="H10" s="643" t="s">
        <v>378</v>
      </c>
      <c r="Y10" s="643" t="s">
        <v>552</v>
      </c>
    </row>
    <row r="11" spans="1:25" s="643" customFormat="1" ht="22.95" customHeight="1">
      <c r="A11" s="649">
        <v>2</v>
      </c>
      <c r="B11" s="650" t="s">
        <v>181</v>
      </c>
      <c r="C11" s="651" t="s">
        <v>6</v>
      </c>
      <c r="D11" s="649" t="str">
        <f>D10</f>
        <v>Theo bảng PTDT</v>
      </c>
      <c r="E11" s="652">
        <f>ROUND('Gia DT TC'!J27,0)</f>
        <v>268414820</v>
      </c>
      <c r="F11" s="653"/>
      <c r="H11" s="654" t="s">
        <v>379</v>
      </c>
    </row>
    <row r="12" spans="1:25" s="643" customFormat="1" ht="22.95" customHeight="1">
      <c r="A12" s="655">
        <v>3</v>
      </c>
      <c r="B12" s="656" t="s">
        <v>182</v>
      </c>
      <c r="C12" s="657" t="s">
        <v>7</v>
      </c>
      <c r="D12" s="655" t="str">
        <f>D10</f>
        <v>Theo bảng PTDT</v>
      </c>
      <c r="E12" s="658">
        <f>ROUND('Gia DT TC'!K27,0)</f>
        <v>558860046</v>
      </c>
      <c r="F12" s="659"/>
      <c r="H12" s="660"/>
    </row>
    <row r="13" spans="1:25" s="665" customFormat="1" ht="22.95" customHeight="1">
      <c r="A13" s="661" t="s">
        <v>174</v>
      </c>
      <c r="B13" s="662" t="s">
        <v>50</v>
      </c>
      <c r="C13" s="639" t="s">
        <v>10</v>
      </c>
      <c r="D13" s="661" t="s">
        <v>86</v>
      </c>
      <c r="E13" s="663">
        <f>SUM(E10:E12)</f>
        <v>839815452</v>
      </c>
      <c r="F13" s="254"/>
      <c r="G13" s="664"/>
    </row>
    <row r="14" spans="1:25" s="668" customFormat="1" ht="22.95" customHeight="1">
      <c r="A14" s="639" t="s">
        <v>2</v>
      </c>
      <c r="B14" s="640" t="s">
        <v>72</v>
      </c>
      <c r="C14" s="639" t="s">
        <v>111</v>
      </c>
      <c r="D14" s="661" t="s">
        <v>122</v>
      </c>
      <c r="E14" s="666">
        <f>ROUND(40%*E11,0)</f>
        <v>107365928</v>
      </c>
      <c r="F14" s="667"/>
      <c r="G14" s="664"/>
    </row>
    <row r="15" spans="1:25" s="747" customFormat="1" ht="22.95" customHeight="1">
      <c r="A15" s="639" t="s">
        <v>3</v>
      </c>
      <c r="B15" s="640" t="s">
        <v>522</v>
      </c>
      <c r="C15" s="741" t="s">
        <v>523</v>
      </c>
      <c r="D15" s="742">
        <v>5.5</v>
      </c>
      <c r="E15" s="743">
        <f>ROUND(D15%*(E13+E14),0)</f>
        <v>52094976</v>
      </c>
      <c r="F15" s="744"/>
      <c r="G15" s="745" t="s">
        <v>524</v>
      </c>
      <c r="H15" s="746"/>
      <c r="I15" s="746"/>
      <c r="J15" s="747" t="s">
        <v>525</v>
      </c>
    </row>
    <row r="16" spans="1:25" s="643" customFormat="1" ht="22.95" customHeight="1">
      <c r="A16" s="639"/>
      <c r="B16" s="662" t="s">
        <v>126</v>
      </c>
      <c r="C16" s="669" t="s">
        <v>21</v>
      </c>
      <c r="D16" s="669" t="s">
        <v>526</v>
      </c>
      <c r="E16" s="743">
        <f>SUM(E13:E15)</f>
        <v>999276356</v>
      </c>
      <c r="F16" s="254"/>
      <c r="G16" s="664"/>
      <c r="H16" s="660"/>
    </row>
    <row r="17" spans="1:12" s="643" customFormat="1" ht="22.95" customHeight="1">
      <c r="A17" s="639" t="s">
        <v>11</v>
      </c>
      <c r="B17" s="640" t="s">
        <v>119</v>
      </c>
      <c r="C17" s="639" t="s">
        <v>27</v>
      </c>
      <c r="D17" s="661" t="s">
        <v>352</v>
      </c>
      <c r="E17" s="663">
        <f>SUM(E18:E23)</f>
        <v>114386486</v>
      </c>
      <c r="F17" s="254"/>
      <c r="G17" s="664"/>
    </row>
    <row r="18" spans="1:12" ht="22.95" customHeight="1">
      <c r="A18" s="644">
        <v>1</v>
      </c>
      <c r="B18" s="645" t="s">
        <v>353</v>
      </c>
      <c r="C18" s="670" t="s">
        <v>28</v>
      </c>
      <c r="D18" s="671">
        <v>2.5</v>
      </c>
      <c r="E18" s="647">
        <f>ROUND(D18%*E16,0)</f>
        <v>24981909</v>
      </c>
      <c r="F18" s="648"/>
      <c r="G18" s="664" t="s">
        <v>211</v>
      </c>
      <c r="H18" s="629" t="s">
        <v>371</v>
      </c>
    </row>
    <row r="19" spans="1:12" ht="22.95" customHeight="1">
      <c r="A19" s="649">
        <f>_xlfn.AGGREGATE(3,5,$B$18:B19)</f>
        <v>2</v>
      </c>
      <c r="B19" s="650" t="s">
        <v>196</v>
      </c>
      <c r="C19" s="672">
        <f>_xlfn.AGGREGATE(3,5,$B$18:B19)</f>
        <v>2</v>
      </c>
      <c r="D19" s="673">
        <v>2.2000000000000002</v>
      </c>
      <c r="E19" s="652">
        <f>ROUND(D19%*E13,0)</f>
        <v>18475940</v>
      </c>
      <c r="F19" s="653"/>
      <c r="G19" s="664" t="s">
        <v>372</v>
      </c>
    </row>
    <row r="20" spans="1:12" ht="22.95" customHeight="1">
      <c r="A20" s="649">
        <f>_xlfn.AGGREGATE(3,5,$B$18:B20)</f>
        <v>3</v>
      </c>
      <c r="B20" s="650" t="s">
        <v>109</v>
      </c>
      <c r="C20" s="672">
        <f>_xlfn.AGGREGATE(3,5,$B$18:B20)</f>
        <v>3</v>
      </c>
      <c r="D20" s="674">
        <v>0.5</v>
      </c>
      <c r="E20" s="652">
        <f>MAX(2000000,MIN(60000000,ROUND(D20%*E16,0)))</f>
        <v>4996382</v>
      </c>
      <c r="F20" s="653"/>
      <c r="G20" s="664"/>
      <c r="H20" s="629" t="s">
        <v>370</v>
      </c>
      <c r="J20" s="675"/>
    </row>
    <row r="21" spans="1:12" ht="22.95" customHeight="1">
      <c r="A21" s="649">
        <f>_xlfn.AGGREGATE(3,5,$B$18:B21)</f>
        <v>4</v>
      </c>
      <c r="B21" s="650" t="s">
        <v>162</v>
      </c>
      <c r="C21" s="672">
        <f>_xlfn.AGGREGATE(3,5,$B$18:B21)</f>
        <v>4</v>
      </c>
      <c r="D21" s="674">
        <v>1</v>
      </c>
      <c r="E21" s="652">
        <f>ROUND(D21%*E16,0)</f>
        <v>9992764</v>
      </c>
      <c r="F21" s="653"/>
      <c r="G21" s="664"/>
    </row>
    <row r="22" spans="1:12" ht="22.95" customHeight="1">
      <c r="A22" s="649">
        <f>_xlfn.AGGREGATE(3,5,$B$18:B22)</f>
        <v>5</v>
      </c>
      <c r="B22" s="650" t="s">
        <v>274</v>
      </c>
      <c r="C22" s="672">
        <f>_xlfn.AGGREGATE(3,5,$B$18:B22)</f>
        <v>5</v>
      </c>
      <c r="D22" s="676">
        <v>2.5979999999999999</v>
      </c>
      <c r="E22" s="677">
        <f>ROUND(D22%*E16,0)</f>
        <v>25961200</v>
      </c>
      <c r="F22" s="653"/>
      <c r="G22" s="664"/>
    </row>
    <row r="23" spans="1:12" ht="22.95" customHeight="1">
      <c r="A23" s="655">
        <v>6</v>
      </c>
      <c r="B23" s="656" t="s">
        <v>120</v>
      </c>
      <c r="C23" s="678" t="s">
        <v>273</v>
      </c>
      <c r="D23" s="679">
        <v>3</v>
      </c>
      <c r="E23" s="658">
        <f>ROUND(D23%*E16,0)</f>
        <v>29978291</v>
      </c>
      <c r="F23" s="659"/>
      <c r="G23" s="664"/>
    </row>
    <row r="24" spans="1:12" ht="22.95" customHeight="1">
      <c r="A24" s="639" t="s">
        <v>534</v>
      </c>
      <c r="B24" s="640" t="s">
        <v>163</v>
      </c>
      <c r="C24" s="669" t="s">
        <v>107</v>
      </c>
      <c r="D24" s="639" t="s">
        <v>185</v>
      </c>
      <c r="E24" s="663">
        <f>E16+E17</f>
        <v>1113662842</v>
      </c>
      <c r="F24" s="254"/>
      <c r="G24" s="664"/>
      <c r="I24" s="666"/>
      <c r="J24" s="675"/>
      <c r="L24" s="675">
        <f>1%*E27</f>
        <v>12015570</v>
      </c>
    </row>
    <row r="25" spans="1:12" s="751" customFormat="1" ht="22.95" customHeight="1">
      <c r="A25" s="639" t="s">
        <v>527</v>
      </c>
      <c r="B25" s="640" t="s">
        <v>528</v>
      </c>
      <c r="C25" s="669" t="s">
        <v>529</v>
      </c>
      <c r="D25" s="639" t="s">
        <v>530</v>
      </c>
      <c r="E25" s="743">
        <f>ROUND(8%*(E24-E20-E21),0)</f>
        <v>87893896</v>
      </c>
      <c r="F25" s="748"/>
      <c r="G25" s="749"/>
      <c r="H25" s="750"/>
      <c r="I25" s="750"/>
      <c r="J25" s="750"/>
    </row>
    <row r="26" spans="1:12" s="751" customFormat="1" ht="22.95" customHeight="1">
      <c r="A26" s="639" t="s">
        <v>531</v>
      </c>
      <c r="B26" s="640" t="s">
        <v>532</v>
      </c>
      <c r="C26" s="669" t="s">
        <v>107</v>
      </c>
      <c r="D26" s="639" t="s">
        <v>533</v>
      </c>
      <c r="E26" s="743">
        <f>E24+E25</f>
        <v>1201556738</v>
      </c>
      <c r="F26" s="748"/>
      <c r="G26" s="749"/>
      <c r="H26" s="750"/>
      <c r="I26" s="750"/>
      <c r="J26" s="750"/>
    </row>
    <row r="27" spans="1:12" ht="22.95" customHeight="1">
      <c r="A27" s="639"/>
      <c r="B27" s="639" t="s">
        <v>52</v>
      </c>
      <c r="C27" s="639"/>
      <c r="D27" s="641"/>
      <c r="E27" s="743">
        <f>ROUND(E26,-3)</f>
        <v>1201557000</v>
      </c>
      <c r="F27" s="254"/>
      <c r="G27" s="680"/>
      <c r="H27" s="681"/>
      <c r="I27" s="666"/>
      <c r="J27" s="666">
        <v>15564162000</v>
      </c>
      <c r="K27" s="666">
        <f>E27-J27</f>
        <v>-14362605000</v>
      </c>
    </row>
    <row r="28" spans="1:12" ht="37.950000000000003" customHeight="1">
      <c r="A28" s="864" t="s">
        <v>554</v>
      </c>
      <c r="B28" s="864"/>
      <c r="C28" s="864"/>
      <c r="D28" s="864"/>
      <c r="E28" s="864"/>
      <c r="F28" s="864"/>
      <c r="G28" s="865"/>
      <c r="H28" s="865"/>
      <c r="I28" s="865"/>
      <c r="J28" s="865"/>
      <c r="K28" s="865"/>
    </row>
    <row r="29" spans="1:12" ht="19.5" customHeight="1">
      <c r="A29" s="682"/>
      <c r="B29" s="682"/>
      <c r="C29" s="682"/>
      <c r="D29" s="683"/>
      <c r="E29" s="683"/>
      <c r="F29" s="683"/>
      <c r="G29" s="684"/>
      <c r="H29" s="684"/>
      <c r="I29" s="684"/>
      <c r="J29" s="684"/>
      <c r="K29" s="684"/>
    </row>
    <row r="30" spans="1:12" ht="24" customHeight="1">
      <c r="A30" s="866" t="s">
        <v>179</v>
      </c>
      <c r="B30" s="866"/>
      <c r="C30" s="424"/>
      <c r="D30" s="866" t="s">
        <v>123</v>
      </c>
      <c r="E30" s="866"/>
      <c r="F30" s="866"/>
    </row>
    <row r="31" spans="1:12" ht="16.95" customHeight="1">
      <c r="A31" s="866"/>
      <c r="B31" s="866"/>
      <c r="C31" s="424"/>
      <c r="D31" s="866" t="s">
        <v>550</v>
      </c>
      <c r="E31" s="866"/>
      <c r="F31" s="866"/>
    </row>
    <row r="32" spans="1:12" ht="23.25" customHeight="1">
      <c r="A32" s="426"/>
      <c r="B32" s="686"/>
      <c r="C32" s="687"/>
      <c r="D32" s="687"/>
      <c r="E32" s="687"/>
      <c r="F32" s="687"/>
    </row>
    <row r="33" spans="1:6" ht="18">
      <c r="A33" s="426"/>
      <c r="B33" s="686"/>
      <c r="C33" s="687"/>
      <c r="D33" s="687"/>
      <c r="E33" s="687"/>
      <c r="F33" s="687"/>
    </row>
    <row r="34" spans="1:6" ht="61.8" customHeight="1">
      <c r="A34" s="426"/>
      <c r="B34" s="686"/>
      <c r="C34" s="687"/>
      <c r="D34" s="687"/>
      <c r="E34" s="687"/>
      <c r="F34" s="687"/>
    </row>
    <row r="35" spans="1:6" ht="29.4" customHeight="1">
      <c r="A35" s="688"/>
      <c r="B35" s="687"/>
      <c r="C35" s="687"/>
      <c r="D35" s="866" t="s">
        <v>551</v>
      </c>
      <c r="E35" s="866"/>
      <c r="F35" s="866"/>
    </row>
    <row r="36" spans="1:6" ht="18">
      <c r="A36" s="862"/>
      <c r="B36" s="862"/>
      <c r="C36" s="687"/>
      <c r="D36" s="685"/>
      <c r="E36" s="685"/>
      <c r="F36" s="685"/>
    </row>
    <row r="37" spans="1:6" ht="15.75" customHeight="1">
      <c r="A37" s="689"/>
      <c r="B37" s="689"/>
      <c r="C37" s="689"/>
      <c r="D37" s="689"/>
      <c r="E37" s="689"/>
      <c r="F37" s="689"/>
    </row>
    <row r="38" spans="1:6" ht="15.75" customHeight="1">
      <c r="A38" s="689"/>
      <c r="B38" s="689"/>
      <c r="C38" s="689"/>
      <c r="D38" s="689"/>
      <c r="E38" s="689"/>
      <c r="F38" s="689"/>
    </row>
    <row r="39" spans="1:6" ht="15.6">
      <c r="A39" s="863"/>
      <c r="B39" s="863"/>
      <c r="C39" s="863"/>
      <c r="D39" s="863"/>
      <c r="E39" s="863"/>
      <c r="F39" s="690"/>
    </row>
    <row r="41" spans="1:6">
      <c r="A41" s="691"/>
    </row>
    <row r="47" spans="1:6">
      <c r="D47" s="691"/>
      <c r="E47" s="691"/>
      <c r="F47" s="691"/>
    </row>
  </sheetData>
  <mergeCells count="14">
    <mergeCell ref="A36:B36"/>
    <mergeCell ref="A39:E39"/>
    <mergeCell ref="A28:F28"/>
    <mergeCell ref="G28:K28"/>
    <mergeCell ref="A30:B30"/>
    <mergeCell ref="D30:F30"/>
    <mergeCell ref="A31:B31"/>
    <mergeCell ref="D35:F35"/>
    <mergeCell ref="D31:F31"/>
    <mergeCell ref="A6:E6"/>
    <mergeCell ref="A2:F2"/>
    <mergeCell ref="A3:F3"/>
    <mergeCell ref="A4:F4"/>
    <mergeCell ref="A5:F5"/>
  </mergeCells>
  <printOptions horizontalCentered="1"/>
  <pageMargins left="0.78740157480314965" right="0.39370078740157483" top="0.59055118110236227" bottom="0.19685039370078741" header="0.31496062992125984" footer="0.11811023622047245"/>
  <pageSetup paperSize="9" scale="95" orientation="portrait" blackAndWhite="1" r:id="rId1"/>
  <customProperties>
    <customPr name="TTBMVN.WorksheetRol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5" name="Drop Down 1">
              <controlPr defaultSize="0" autoLine="0" autoPict="0">
                <anchor>
                  <from>
                    <xdr:col>9</xdr:col>
                    <xdr:colOff>487680</xdr:colOff>
                    <xdr:row>9</xdr:row>
                    <xdr:rowOff>60960</xdr:rowOff>
                  </from>
                  <to>
                    <xdr:col>11</xdr:col>
                    <xdr:colOff>213360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3"/>
  <sheetViews>
    <sheetView workbookViewId="0">
      <selection activeCell="C23" sqref="A1:C23"/>
    </sheetView>
  </sheetViews>
  <sheetFormatPr defaultColWidth="8.69921875" defaultRowHeight="15.6"/>
  <cols>
    <col min="1" max="1" width="8.69921875" style="618"/>
    <col min="2" max="2" width="26.09765625" style="618" customWidth="1"/>
    <col min="3" max="3" width="25.09765625" style="618" customWidth="1"/>
    <col min="4" max="4" width="18.69921875" style="618" customWidth="1"/>
    <col min="5" max="16384" width="8.69921875" style="618"/>
  </cols>
  <sheetData>
    <row r="1" spans="1:4">
      <c r="A1" s="618">
        <v>1</v>
      </c>
      <c r="B1" s="618" t="s">
        <v>401</v>
      </c>
      <c r="C1" s="618" t="s">
        <v>402</v>
      </c>
      <c r="D1" s="618" t="s">
        <v>402</v>
      </c>
    </row>
    <row r="2" spans="1:4">
      <c r="A2" s="618">
        <v>2</v>
      </c>
      <c r="B2" s="618" t="s">
        <v>403</v>
      </c>
      <c r="C2" s="618" t="s">
        <v>404</v>
      </c>
      <c r="D2" s="618" t="s">
        <v>404</v>
      </c>
    </row>
    <row r="3" spans="1:4">
      <c r="A3" s="618">
        <v>3</v>
      </c>
      <c r="B3" s="618" t="s">
        <v>405</v>
      </c>
      <c r="C3" s="618" t="s">
        <v>428</v>
      </c>
      <c r="D3" s="618" t="s">
        <v>428</v>
      </c>
    </row>
    <row r="4" spans="1:4">
      <c r="A4" s="618">
        <v>4</v>
      </c>
      <c r="B4" s="618" t="s">
        <v>406</v>
      </c>
      <c r="C4" s="618" t="s">
        <v>423</v>
      </c>
      <c r="D4" s="618" t="s">
        <v>423</v>
      </c>
    </row>
    <row r="5" spans="1:4">
      <c r="A5" s="618">
        <v>5</v>
      </c>
      <c r="B5" s="618" t="s">
        <v>407</v>
      </c>
      <c r="C5" s="618" t="s">
        <v>423</v>
      </c>
      <c r="D5" s="618" t="s">
        <v>423</v>
      </c>
    </row>
    <row r="6" spans="1:4">
      <c r="A6" s="618">
        <v>6</v>
      </c>
      <c r="B6" s="618" t="s">
        <v>408</v>
      </c>
      <c r="C6" s="618" t="s">
        <v>423</v>
      </c>
      <c r="D6" s="618" t="s">
        <v>423</v>
      </c>
    </row>
    <row r="7" spans="1:4">
      <c r="A7" s="618">
        <v>7</v>
      </c>
      <c r="B7" s="618" t="s">
        <v>409</v>
      </c>
      <c r="C7" s="618" t="s">
        <v>423</v>
      </c>
      <c r="D7" s="618" t="s">
        <v>423</v>
      </c>
    </row>
    <row r="8" spans="1:4">
      <c r="A8" s="618">
        <v>8</v>
      </c>
      <c r="B8" s="618" t="s">
        <v>410</v>
      </c>
      <c r="C8" s="618" t="s">
        <v>423</v>
      </c>
      <c r="D8" s="618" t="s">
        <v>423</v>
      </c>
    </row>
    <row r="9" spans="1:4">
      <c r="A9" s="618">
        <v>9</v>
      </c>
      <c r="B9" s="618" t="s">
        <v>411</v>
      </c>
      <c r="C9" s="618" t="s">
        <v>423</v>
      </c>
      <c r="D9" s="618" t="s">
        <v>423</v>
      </c>
    </row>
    <row r="10" spans="1:4">
      <c r="A10" s="618">
        <v>10</v>
      </c>
      <c r="B10" s="618" t="s">
        <v>412</v>
      </c>
      <c r="C10" s="618" t="s">
        <v>423</v>
      </c>
      <c r="D10" s="618" t="s">
        <v>423</v>
      </c>
    </row>
    <row r="11" spans="1:4">
      <c r="A11" s="618">
        <v>11</v>
      </c>
      <c r="B11" s="618" t="s">
        <v>413</v>
      </c>
      <c r="C11" s="618" t="s">
        <v>423</v>
      </c>
      <c r="D11" s="618" t="s">
        <v>423</v>
      </c>
    </row>
    <row r="12" spans="1:4">
      <c r="A12" s="618">
        <v>12</v>
      </c>
      <c r="B12" s="618" t="s">
        <v>414</v>
      </c>
      <c r="C12" s="618" t="s">
        <v>423</v>
      </c>
      <c r="D12" s="618" t="s">
        <v>423</v>
      </c>
    </row>
    <row r="13" spans="1:4">
      <c r="A13" s="618">
        <v>13</v>
      </c>
      <c r="B13" s="618" t="s">
        <v>415</v>
      </c>
      <c r="C13" s="618" t="s">
        <v>423</v>
      </c>
      <c r="D13" s="618" t="s">
        <v>423</v>
      </c>
    </row>
    <row r="14" spans="1:4">
      <c r="A14" s="618">
        <v>14</v>
      </c>
      <c r="B14" s="618" t="s">
        <v>416</v>
      </c>
      <c r="C14" s="618" t="s">
        <v>423</v>
      </c>
      <c r="D14" s="618" t="s">
        <v>423</v>
      </c>
    </row>
    <row r="15" spans="1:4">
      <c r="A15" s="618">
        <v>15</v>
      </c>
      <c r="B15" s="618" t="s">
        <v>417</v>
      </c>
      <c r="C15" s="618" t="s">
        <v>423</v>
      </c>
      <c r="D15" s="618" t="s">
        <v>423</v>
      </c>
    </row>
    <row r="16" spans="1:4">
      <c r="A16" s="618">
        <v>16</v>
      </c>
      <c r="B16" s="618" t="s">
        <v>418</v>
      </c>
      <c r="C16" s="618" t="s">
        <v>423</v>
      </c>
      <c r="D16" s="618" t="s">
        <v>423</v>
      </c>
    </row>
    <row r="17" spans="1:5">
      <c r="A17" s="618">
        <v>17</v>
      </c>
      <c r="B17" s="618" t="s">
        <v>422</v>
      </c>
      <c r="C17" s="618" t="s">
        <v>423</v>
      </c>
      <c r="D17" s="618" t="s">
        <v>423</v>
      </c>
    </row>
    <row r="18" spans="1:5">
      <c r="A18" s="618">
        <v>18</v>
      </c>
      <c r="B18" s="618" t="s">
        <v>424</v>
      </c>
      <c r="C18" s="618" t="s">
        <v>423</v>
      </c>
      <c r="D18" s="618" t="s">
        <v>423</v>
      </c>
    </row>
    <row r="19" spans="1:5">
      <c r="A19" s="618">
        <v>19</v>
      </c>
      <c r="B19" s="618" t="s">
        <v>425</v>
      </c>
      <c r="C19" s="618" t="s">
        <v>429</v>
      </c>
      <c r="D19" s="618" t="s">
        <v>429</v>
      </c>
    </row>
    <row r="20" spans="1:5">
      <c r="A20" s="618">
        <v>20</v>
      </c>
      <c r="B20" s="618" t="s">
        <v>426</v>
      </c>
      <c r="C20" s="618" t="s">
        <v>430</v>
      </c>
      <c r="D20" s="618" t="s">
        <v>430</v>
      </c>
    </row>
    <row r="21" spans="1:5">
      <c r="A21" s="618">
        <v>21</v>
      </c>
      <c r="B21" s="618" t="s">
        <v>427</v>
      </c>
      <c r="C21" s="618" t="s">
        <v>432</v>
      </c>
      <c r="D21" s="618" t="s">
        <v>431</v>
      </c>
    </row>
    <row r="22" spans="1:5">
      <c r="A22" s="618">
        <v>23</v>
      </c>
      <c r="B22" s="618" t="s">
        <v>421</v>
      </c>
      <c r="C22" s="618" t="s">
        <v>431</v>
      </c>
      <c r="D22" s="618" t="s">
        <v>432</v>
      </c>
    </row>
    <row r="23" spans="1:5">
      <c r="A23" s="618">
        <v>22</v>
      </c>
      <c r="B23" s="618" t="s">
        <v>419</v>
      </c>
      <c r="C23" s="618" t="s">
        <v>420</v>
      </c>
      <c r="D23" s="618" t="s">
        <v>420</v>
      </c>
      <c r="E23" s="618" t="s">
        <v>420</v>
      </c>
    </row>
  </sheetData>
  <conditionalFormatting sqref="B1:B1048576">
    <cfRule type="duplicateValues" dxfId="2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tabColor rgb="FF92D050"/>
  </sheetPr>
  <dimension ref="A1:V32"/>
  <sheetViews>
    <sheetView tabSelected="1" view="pageBreakPreview" zoomScale="60" zoomScaleNormal="85" workbookViewId="0">
      <selection activeCell="K22" sqref="K22"/>
    </sheetView>
  </sheetViews>
  <sheetFormatPr defaultColWidth="8.8984375" defaultRowHeight="18" outlineLevelCol="1"/>
  <cols>
    <col min="1" max="1" width="5.59765625" style="3" customWidth="1"/>
    <col min="2" max="2" width="54.09765625" style="1" customWidth="1"/>
    <col min="3" max="3" width="7.3984375" style="3" customWidth="1"/>
    <col min="4" max="4" width="12.09765625" style="7" customWidth="1"/>
    <col min="5" max="5" width="8.09765625" style="7" hidden="1" customWidth="1"/>
    <col min="6" max="6" width="14" style="1" customWidth="1"/>
    <col min="7" max="7" width="13.8984375" style="1" customWidth="1"/>
    <col min="8" max="8" width="13.3984375" style="1" customWidth="1"/>
    <col min="9" max="9" width="14.8984375" style="1" customWidth="1"/>
    <col min="10" max="10" width="16" style="1" customWidth="1"/>
    <col min="11" max="11" width="15.3984375" style="1" customWidth="1"/>
    <col min="12" max="14" width="13.09765625" style="1" hidden="1" customWidth="1" outlineLevel="1"/>
    <col min="15" max="15" width="7.8984375" style="1" customWidth="1" collapsed="1"/>
    <col min="16" max="16" width="10.09765625" style="25" customWidth="1" outlineLevel="1"/>
    <col min="17" max="17" width="9.59765625" style="25" customWidth="1" outlineLevel="1"/>
    <col min="18" max="19" width="11.09765625" style="25" customWidth="1" outlineLevel="1"/>
    <col min="20" max="20" width="9.09765625" style="1" customWidth="1" outlineLevel="1"/>
    <col min="21" max="21" width="11.09765625" style="1" customWidth="1" outlineLevel="1"/>
    <col min="22" max="16384" width="8.8984375" style="1"/>
  </cols>
  <sheetData>
    <row r="1" spans="1:22" ht="20.25" customHeight="1">
      <c r="A1" s="806" t="s">
        <v>351</v>
      </c>
      <c r="B1" s="806"/>
      <c r="C1" s="806"/>
      <c r="D1" s="806"/>
      <c r="E1" s="806"/>
      <c r="F1" s="806"/>
      <c r="G1" s="806"/>
      <c r="H1" s="806"/>
      <c r="I1" s="806"/>
      <c r="J1" s="806"/>
      <c r="K1" s="806"/>
      <c r="L1" s="23"/>
      <c r="M1" s="23"/>
      <c r="N1" s="23"/>
      <c r="O1" s="23"/>
    </row>
    <row r="2" spans="1:22" ht="24" customHeight="1">
      <c r="A2" s="806" t="s">
        <v>112</v>
      </c>
      <c r="B2" s="806"/>
      <c r="C2" s="806"/>
      <c r="D2" s="806"/>
      <c r="E2" s="806"/>
      <c r="F2" s="806"/>
      <c r="G2" s="806"/>
      <c r="H2" s="806"/>
      <c r="I2" s="806"/>
      <c r="J2" s="806"/>
      <c r="K2" s="806"/>
      <c r="L2" s="23"/>
      <c r="M2" s="23"/>
      <c r="N2" s="23"/>
      <c r="O2" s="23"/>
      <c r="Q2" s="807"/>
      <c r="R2" s="807"/>
      <c r="S2" s="807"/>
      <c r="T2" s="807"/>
    </row>
    <row r="3" spans="1:22" ht="24" hidden="1" customHeight="1">
      <c r="A3" s="805" t="e">
        <f>#REF!</f>
        <v>#REF!</v>
      </c>
      <c r="B3" s="805"/>
      <c r="C3" s="805"/>
      <c r="D3" s="805"/>
      <c r="E3" s="805"/>
      <c r="F3" s="805"/>
      <c r="G3" s="805"/>
      <c r="H3" s="805"/>
      <c r="I3" s="805"/>
      <c r="J3" s="805"/>
      <c r="K3" s="805"/>
      <c r="L3" s="23"/>
      <c r="M3" s="23"/>
      <c r="N3" s="23"/>
      <c r="O3" s="23"/>
    </row>
    <row r="4" spans="1:22" s="2" customFormat="1" ht="27" customHeight="1">
      <c r="A4" s="808">
        <v>0</v>
      </c>
      <c r="B4" s="808"/>
      <c r="C4" s="808"/>
      <c r="D4" s="808"/>
      <c r="E4" s="808"/>
      <c r="F4" s="808"/>
      <c r="G4" s="808"/>
      <c r="H4" s="808"/>
      <c r="I4" s="808"/>
      <c r="J4" s="808"/>
      <c r="K4" s="808"/>
      <c r="L4" s="24"/>
      <c r="M4" s="24"/>
      <c r="N4" s="24"/>
      <c r="O4" s="24"/>
      <c r="P4" s="26"/>
      <c r="Q4" s="26"/>
      <c r="R4" s="26"/>
      <c r="S4" s="26"/>
      <c r="T4" s="79"/>
    </row>
    <row r="5" spans="1:22" s="2" customFormat="1" ht="21.75" customHeight="1">
      <c r="A5" s="805" t="s">
        <v>195</v>
      </c>
      <c r="B5" s="805"/>
      <c r="C5" s="805"/>
      <c r="D5" s="805"/>
      <c r="E5" s="805"/>
      <c r="F5" s="805"/>
      <c r="G5" s="805"/>
      <c r="H5" s="805"/>
      <c r="I5" s="805"/>
      <c r="J5" s="805"/>
      <c r="K5" s="805"/>
      <c r="L5" s="24"/>
      <c r="M5" s="24"/>
      <c r="N5" s="24"/>
      <c r="O5" s="24"/>
      <c r="P5" s="26"/>
      <c r="Q5" s="26"/>
      <c r="R5" s="26"/>
      <c r="S5" s="26"/>
    </row>
    <row r="6" spans="1:22" s="2" customFormat="1" ht="17.399999999999999">
      <c r="A6" s="808" t="str">
        <f>'THKP-TC'!A5</f>
        <v>Địa điểm: Xã Hồng Quang, tỉnh Hưng Yên</v>
      </c>
      <c r="B6" s="805"/>
      <c r="C6" s="805"/>
      <c r="D6" s="805"/>
      <c r="E6" s="805"/>
      <c r="F6" s="805"/>
      <c r="G6" s="805"/>
      <c r="H6" s="805"/>
      <c r="I6" s="805"/>
      <c r="J6" s="805"/>
      <c r="K6" s="805"/>
      <c r="L6" s="24"/>
      <c r="M6" s="24"/>
      <c r="N6" s="24"/>
      <c r="O6" s="24"/>
      <c r="P6" s="26"/>
      <c r="Q6" s="26"/>
      <c r="R6" s="26"/>
      <c r="S6" s="26"/>
    </row>
    <row r="7" spans="1:22" s="2" customFormat="1" ht="12.75" hidden="1" customHeight="1">
      <c r="A7" s="812"/>
      <c r="B7" s="812"/>
      <c r="C7" s="812"/>
      <c r="D7" s="812"/>
      <c r="E7" s="812"/>
      <c r="F7" s="812"/>
      <c r="G7" s="812"/>
      <c r="H7" s="812"/>
      <c r="I7" s="812"/>
      <c r="J7" s="812"/>
      <c r="K7" s="812"/>
      <c r="L7" s="31"/>
      <c r="M7" s="31"/>
      <c r="N7" s="31"/>
      <c r="O7" s="31"/>
      <c r="P7" s="27"/>
      <c r="Q7" s="27"/>
      <c r="R7" s="27"/>
      <c r="S7" s="26"/>
    </row>
    <row r="8" spans="1:22" ht="12.75" customHeight="1">
      <c r="B8" s="4"/>
      <c r="C8" s="4"/>
      <c r="D8" s="6"/>
      <c r="E8" s="6"/>
      <c r="F8" s="4"/>
      <c r="G8" s="4"/>
      <c r="H8" s="4"/>
      <c r="I8" s="4"/>
      <c r="J8" s="4"/>
      <c r="K8" s="4"/>
      <c r="L8" s="30"/>
      <c r="M8" s="30"/>
      <c r="N8" s="30"/>
      <c r="O8" s="30"/>
      <c r="P8" s="25">
        <f>'THKP-TC'!G10</f>
        <v>2</v>
      </c>
    </row>
    <row r="9" spans="1:22" s="5" customFormat="1" ht="21" customHeight="1">
      <c r="A9" s="813" t="s">
        <v>0</v>
      </c>
      <c r="B9" s="813" t="s">
        <v>49</v>
      </c>
      <c r="C9" s="813" t="s">
        <v>53</v>
      </c>
      <c r="D9" s="813" t="s">
        <v>22</v>
      </c>
      <c r="E9" s="813" t="s">
        <v>164</v>
      </c>
      <c r="F9" s="809" t="s">
        <v>31</v>
      </c>
      <c r="G9" s="809"/>
      <c r="H9" s="809"/>
      <c r="I9" s="809" t="s">
        <v>45</v>
      </c>
      <c r="J9" s="809"/>
      <c r="K9" s="809"/>
      <c r="L9" s="809" t="s">
        <v>167</v>
      </c>
      <c r="M9" s="809"/>
      <c r="N9" s="809"/>
      <c r="O9" s="240"/>
      <c r="P9" s="85" t="s">
        <v>198</v>
      </c>
      <c r="Q9" s="9" t="s">
        <v>199</v>
      </c>
      <c r="R9" s="9" t="s">
        <v>200</v>
      </c>
      <c r="S9" s="68" t="s">
        <v>176</v>
      </c>
    </row>
    <row r="10" spans="1:22" s="5" customFormat="1" ht="24" customHeight="1">
      <c r="A10" s="814"/>
      <c r="B10" s="814"/>
      <c r="C10" s="814"/>
      <c r="D10" s="814"/>
      <c r="E10" s="814"/>
      <c r="F10" s="498" t="s">
        <v>5</v>
      </c>
      <c r="G10" s="498" t="s">
        <v>6</v>
      </c>
      <c r="H10" s="498" t="s">
        <v>7</v>
      </c>
      <c r="I10" s="498" t="s">
        <v>5</v>
      </c>
      <c r="J10" s="498" t="s">
        <v>6</v>
      </c>
      <c r="K10" s="498" t="s">
        <v>7</v>
      </c>
      <c r="L10" s="498" t="s">
        <v>5</v>
      </c>
      <c r="M10" s="498" t="s">
        <v>6</v>
      </c>
      <c r="N10" s="498" t="s">
        <v>7</v>
      </c>
      <c r="O10" s="499"/>
      <c r="P10" s="86">
        <f>IF(OR($P$8=3,$P$8=4),$R$10,$Q$10)</f>
        <v>1</v>
      </c>
      <c r="Q10" s="498">
        <v>1</v>
      </c>
      <c r="R10" s="498">
        <v>2</v>
      </c>
      <c r="S10" s="498" t="s">
        <v>265</v>
      </c>
      <c r="T10" s="5" t="s">
        <v>294</v>
      </c>
    </row>
    <row r="11" spans="1:22" s="5" customFormat="1" ht="30" customHeight="1">
      <c r="A11" s="81" t="s">
        <v>1</v>
      </c>
      <c r="B11" s="607" t="s">
        <v>160</v>
      </c>
      <c r="C11" s="81"/>
      <c r="D11" s="208"/>
      <c r="E11" s="208"/>
      <c r="F11" s="498"/>
      <c r="G11" s="498"/>
      <c r="H11" s="498"/>
      <c r="I11" s="382">
        <f t="shared" ref="I11:N11" si="0">SUM(I12:I18)</f>
        <v>5208997.4635888003</v>
      </c>
      <c r="J11" s="382">
        <f t="shared" si="0"/>
        <v>124640248.5</v>
      </c>
      <c r="K11" s="382">
        <f t="shared" si="0"/>
        <v>49083054.229040004</v>
      </c>
      <c r="L11" s="66">
        <f t="shared" si="0"/>
        <v>0</v>
      </c>
      <c r="M11" s="66">
        <f t="shared" si="0"/>
        <v>0</v>
      </c>
      <c r="N11" s="66">
        <f t="shared" si="0"/>
        <v>0</v>
      </c>
      <c r="O11" s="500"/>
      <c r="P11" s="501"/>
      <c r="Q11" s="501"/>
      <c r="R11" s="501"/>
      <c r="S11" s="28"/>
      <c r="T11" s="208"/>
    </row>
    <row r="12" spans="1:22" s="5" customFormat="1" ht="45" customHeight="1">
      <c r="A12" s="502">
        <f>_xlfn.AGGREGATE(3,5,$B12:B$12)</f>
        <v>1</v>
      </c>
      <c r="B12" s="608" t="str">
        <f>"Phát quang mặt bằng tương đương rừng loại 1, chiếm "&amp;P12&amp;"% diện tích cạn, không phải bãi mìn"</f>
        <v>Phát quang mặt bằng tương đương rừng loại 1, chiếm 50% diện tích cạn, không phải bãi mìn</v>
      </c>
      <c r="C12" s="503" t="s">
        <v>9</v>
      </c>
      <c r="D12" s="226">
        <f>ROUND(D13*P12%,3)</f>
        <v>1.905</v>
      </c>
      <c r="E12" s="383"/>
      <c r="F12" s="384">
        <v>0</v>
      </c>
      <c r="G12" s="384">
        <v>33165000</v>
      </c>
      <c r="H12" s="384">
        <v>0</v>
      </c>
      <c r="I12" s="384">
        <f t="shared" ref="I12:I18" si="1">D12*F12</f>
        <v>0</v>
      </c>
      <c r="J12" s="384">
        <f t="shared" ref="J12:J18" si="2">D12*G12</f>
        <v>63179325</v>
      </c>
      <c r="K12" s="384">
        <f t="shared" ref="K12:K18" si="3">D12*H12</f>
        <v>0</v>
      </c>
      <c r="L12" s="241">
        <f t="shared" ref="L12:L18" si="4">E12*F12</f>
        <v>0</v>
      </c>
      <c r="M12" s="241">
        <f t="shared" ref="M12:M18" si="5">E12*G12</f>
        <v>0</v>
      </c>
      <c r="N12" s="241">
        <f t="shared" ref="N12:N18" si="6">E12*H12</f>
        <v>0</v>
      </c>
      <c r="O12" s="241"/>
      <c r="P12" s="501">
        <f t="shared" ref="P12:P14" si="7">IF($P$10=1,Q12,R12)</f>
        <v>50</v>
      </c>
      <c r="Q12" s="501">
        <v>50</v>
      </c>
      <c r="R12" s="501">
        <v>35</v>
      </c>
      <c r="S12" s="501"/>
      <c r="T12" s="67"/>
      <c r="U12" s="504">
        <v>15</v>
      </c>
      <c r="V12" s="210"/>
    </row>
    <row r="13" spans="1:22" ht="30" customHeight="1">
      <c r="A13" s="505">
        <f>_xlfn.AGGREGATE(3,5,$B$12:B13)</f>
        <v>2</v>
      </c>
      <c r="B13" s="98" t="str">
        <f>"Dò tìm trên cạn đến độ sâu 0,3m. "&amp;P13</f>
        <v>Dò tìm trên cạn đến độ sâu 0,3m. Mật độ 1</v>
      </c>
      <c r="C13" s="506" t="s">
        <v>9</v>
      </c>
      <c r="D13" s="242">
        <f>THKL!F18</f>
        <v>3.81</v>
      </c>
      <c r="E13" s="242"/>
      <c r="F13" s="385">
        <v>851550</v>
      </c>
      <c r="G13" s="385">
        <v>8593200</v>
      </c>
      <c r="H13" s="385">
        <v>8827863.7200000007</v>
      </c>
      <c r="I13" s="385">
        <f t="shared" si="1"/>
        <v>3244405.5</v>
      </c>
      <c r="J13" s="385">
        <f t="shared" si="2"/>
        <v>32740092</v>
      </c>
      <c r="K13" s="385">
        <f t="shared" si="3"/>
        <v>33634160.773200005</v>
      </c>
      <c r="L13" s="241">
        <f t="shared" si="4"/>
        <v>0</v>
      </c>
      <c r="M13" s="241">
        <f t="shared" si="5"/>
        <v>0</v>
      </c>
      <c r="N13" s="241">
        <f t="shared" si="6"/>
        <v>0</v>
      </c>
      <c r="O13" s="241"/>
      <c r="P13" s="501" t="str">
        <f t="shared" si="7"/>
        <v>Mật độ 1</v>
      </c>
      <c r="Q13" s="501" t="str">
        <f>R13</f>
        <v>Mật độ 1</v>
      </c>
      <c r="R13" s="501" t="str">
        <f>S13</f>
        <v>Mật độ 1</v>
      </c>
      <c r="S13" s="501" t="s">
        <v>266</v>
      </c>
      <c r="T13" s="242" cm="1">
        <f t="array" ref="T13">_xlfn.IFS(T10="Khu vực 1",2,T10="Khu vực 2",3,T10="Khu vực 3",4,T10="Khu vực 4",5,T10="Khu vực đặc biệt",6)</f>
        <v>2</v>
      </c>
      <c r="U13" s="504"/>
      <c r="V13" s="210"/>
    </row>
    <row r="14" spans="1:22" ht="30" customHeight="1">
      <c r="A14" s="505">
        <f>_xlfn.AGGREGATE(3,5,$B$12:B14)</f>
        <v>3</v>
      </c>
      <c r="B14" s="98" t="str">
        <f>"Đào, xử lý đến độ sâu 0,3m ("&amp;P14&amp;" TH/ha). Đất C1"</f>
        <v>Đào, xử lý đến độ sâu 0,3m (70 TH/ha). Đất C1</v>
      </c>
      <c r="C14" s="506" t="s">
        <v>239</v>
      </c>
      <c r="D14" s="243">
        <f>ROUND(D13*P14,0)</f>
        <v>267</v>
      </c>
      <c r="E14" s="243"/>
      <c r="F14" s="385">
        <v>0</v>
      </c>
      <c r="G14" s="385">
        <v>31050</v>
      </c>
      <c r="H14" s="385">
        <v>10681.944</v>
      </c>
      <c r="I14" s="385">
        <f t="shared" si="1"/>
        <v>0</v>
      </c>
      <c r="J14" s="385">
        <f t="shared" si="2"/>
        <v>8290350</v>
      </c>
      <c r="K14" s="385">
        <f t="shared" si="3"/>
        <v>2852079.048</v>
      </c>
      <c r="L14" s="241">
        <f t="shared" si="4"/>
        <v>0</v>
      </c>
      <c r="M14" s="241">
        <f t="shared" si="5"/>
        <v>0</v>
      </c>
      <c r="N14" s="241">
        <f t="shared" si="6"/>
        <v>0</v>
      </c>
      <c r="O14" s="241"/>
      <c r="P14" s="501">
        <f t="shared" si="7"/>
        <v>70</v>
      </c>
      <c r="Q14" s="501">
        <v>70</v>
      </c>
      <c r="R14" s="501">
        <v>45</v>
      </c>
      <c r="S14" s="501">
        <f>HLOOKUP(T14,Tracuu!$B$18:$G$23,T13,FALSE)</f>
        <v>70</v>
      </c>
      <c r="T14" s="243">
        <v>0.3</v>
      </c>
      <c r="U14" s="507">
        <v>35</v>
      </c>
    </row>
    <row r="15" spans="1:22" ht="30" customHeight="1">
      <c r="A15" s="505">
        <f>_xlfn.AGGREGATE(3,5,$B$12:B15)</f>
        <v>4</v>
      </c>
      <c r="B15" s="98" t="s">
        <v>359</v>
      </c>
      <c r="C15" s="506" t="s">
        <v>9</v>
      </c>
      <c r="D15" s="242">
        <f>THKL!F19</f>
        <v>2.4699999999999998</v>
      </c>
      <c r="E15" s="242"/>
      <c r="F15" s="385">
        <v>640500</v>
      </c>
      <c r="G15" s="385">
        <v>3489750</v>
      </c>
      <c r="H15" s="385">
        <v>5030522.8</v>
      </c>
      <c r="I15" s="385">
        <f t="shared" si="1"/>
        <v>1582034.9999999998</v>
      </c>
      <c r="J15" s="385">
        <f t="shared" si="2"/>
        <v>8619682.5</v>
      </c>
      <c r="K15" s="385">
        <f t="shared" si="3"/>
        <v>12425391.315999998</v>
      </c>
      <c r="L15" s="241">
        <f t="shared" si="4"/>
        <v>0</v>
      </c>
      <c r="M15" s="241">
        <f t="shared" si="5"/>
        <v>0</v>
      </c>
      <c r="N15" s="241">
        <f t="shared" si="6"/>
        <v>0</v>
      </c>
      <c r="O15" s="241"/>
      <c r="P15" s="28"/>
      <c r="Q15" s="28"/>
      <c r="R15" s="28"/>
      <c r="S15" s="28"/>
      <c r="T15" s="242"/>
      <c r="U15" s="242"/>
    </row>
    <row r="16" spans="1:22" hidden="1">
      <c r="A16" s="505">
        <f>_xlfn.AGGREGATE(3,5,$B$12:B16)</f>
        <v>4</v>
      </c>
      <c r="B16" s="98" t="s">
        <v>175</v>
      </c>
      <c r="C16" s="506" t="s">
        <v>9</v>
      </c>
      <c r="D16" s="242">
        <v>0</v>
      </c>
      <c r="E16" s="242"/>
      <c r="F16" s="385">
        <v>640500</v>
      </c>
      <c r="G16" s="385">
        <v>3841200</v>
      </c>
      <c r="H16" s="385">
        <v>5533575.0800000001</v>
      </c>
      <c r="I16" s="385">
        <f t="shared" si="1"/>
        <v>0</v>
      </c>
      <c r="J16" s="385">
        <f t="shared" si="2"/>
        <v>0</v>
      </c>
      <c r="K16" s="385">
        <f t="shared" si="3"/>
        <v>0</v>
      </c>
      <c r="L16" s="241">
        <f t="shared" si="4"/>
        <v>0</v>
      </c>
      <c r="M16" s="241">
        <f t="shared" si="5"/>
        <v>0</v>
      </c>
      <c r="N16" s="241">
        <f t="shared" si="6"/>
        <v>0</v>
      </c>
      <c r="O16" s="241"/>
      <c r="P16" s="28"/>
      <c r="Q16" s="28"/>
      <c r="R16" s="28"/>
      <c r="S16" s="28"/>
      <c r="T16" s="242"/>
      <c r="U16" s="242"/>
    </row>
    <row r="17" spans="1:22" ht="30" customHeight="1">
      <c r="A17" s="505">
        <f>_xlfn.AGGREGATE(3,5,$B$12:B17)</f>
        <v>5</v>
      </c>
      <c r="B17" s="98" t="str">
        <f>"Đào đất xử lý tín hiệu từ độ sâu 0,3m - 3m (0"&amp;P17&amp;" TH/ha). Đất C2"</f>
        <v>Đào đất xử lý tín hiệu từ độ sâu 0,3m - 3m (03 TH/ha). Đất C2</v>
      </c>
      <c r="C17" s="506" t="s">
        <v>14</v>
      </c>
      <c r="D17" s="242">
        <f>ROUND((D15+D16)*P17,0)*2.86</f>
        <v>20.02</v>
      </c>
      <c r="E17" s="242"/>
      <c r="F17" s="385">
        <v>19108.739440000001</v>
      </c>
      <c r="G17" s="385">
        <v>589950</v>
      </c>
      <c r="H17" s="385">
        <v>8562.5920000000006</v>
      </c>
      <c r="I17" s="385">
        <f t="shared" si="1"/>
        <v>382556.96358879999</v>
      </c>
      <c r="J17" s="385">
        <f t="shared" si="2"/>
        <v>11810799</v>
      </c>
      <c r="K17" s="385">
        <f t="shared" si="3"/>
        <v>171423.09184000001</v>
      </c>
      <c r="L17" s="241">
        <f t="shared" si="4"/>
        <v>0</v>
      </c>
      <c r="M17" s="241">
        <f t="shared" si="5"/>
        <v>0</v>
      </c>
      <c r="N17" s="241">
        <f t="shared" si="6"/>
        <v>0</v>
      </c>
      <c r="O17" s="241"/>
      <c r="P17" s="501">
        <f t="shared" ref="P17:P18" si="8">IF($P$10=1,Q17,R17)</f>
        <v>3</v>
      </c>
      <c r="Q17" s="501">
        <v>3</v>
      </c>
      <c r="R17" s="501">
        <v>2</v>
      </c>
      <c r="S17" s="501">
        <f>HLOOKUP(T17,Tracuu!$B$18:$G$23,T13,FALSE)</f>
        <v>3</v>
      </c>
      <c r="T17" s="242">
        <v>3</v>
      </c>
      <c r="U17" s="242"/>
    </row>
    <row r="18" spans="1:22" hidden="1">
      <c r="A18" s="505">
        <f>_xlfn.AGGREGATE(3,5,$B$12:B18)</f>
        <v>5</v>
      </c>
      <c r="B18" s="98" t="str">
        <f>"Đào đất xử lý tín hiệu từ độ sâu 3m - 5m ("&amp;TEXT(P18,"0,0")&amp;" TH/ha). Đất C2"</f>
        <v>Đào đất xử lý tín hiệu từ độ sâu 3m - 5m (0,3 TH/ha). Đất C2</v>
      </c>
      <c r="C18" s="506" t="s">
        <v>14</v>
      </c>
      <c r="D18" s="242">
        <f>ROUND(D16*P18,0)*14.67</f>
        <v>0</v>
      </c>
      <c r="E18" s="242"/>
      <c r="F18" s="385">
        <v>0</v>
      </c>
      <c r="G18" s="385">
        <v>0</v>
      </c>
      <c r="H18" s="385">
        <v>0</v>
      </c>
      <c r="I18" s="385">
        <f t="shared" si="1"/>
        <v>0</v>
      </c>
      <c r="J18" s="385">
        <f t="shared" si="2"/>
        <v>0</v>
      </c>
      <c r="K18" s="385">
        <f t="shared" si="3"/>
        <v>0</v>
      </c>
      <c r="L18" s="241">
        <f t="shared" si="4"/>
        <v>0</v>
      </c>
      <c r="M18" s="241">
        <f t="shared" si="5"/>
        <v>0</v>
      </c>
      <c r="N18" s="241">
        <f t="shared" si="6"/>
        <v>0</v>
      </c>
      <c r="O18" s="241"/>
      <c r="P18" s="501">
        <f t="shared" si="8"/>
        <v>0.3</v>
      </c>
      <c r="Q18" s="28">
        <v>0.3</v>
      </c>
      <c r="R18" s="28">
        <v>0.2</v>
      </c>
      <c r="S18" s="501">
        <f>HLOOKUP(T18,Tracuu!$B$18:$G$23,T13,FALSE)</f>
        <v>0.3</v>
      </c>
      <c r="T18" s="242">
        <v>5</v>
      </c>
      <c r="U18" s="242"/>
    </row>
    <row r="19" spans="1:22" s="5" customFormat="1" ht="30" customHeight="1">
      <c r="A19" s="81" t="s">
        <v>2</v>
      </c>
      <c r="B19" s="607" t="s">
        <v>398</v>
      </c>
      <c r="C19" s="81"/>
      <c r="D19" s="227"/>
      <c r="E19" s="208"/>
      <c r="F19" s="498"/>
      <c r="G19" s="498"/>
      <c r="H19" s="498"/>
      <c r="I19" s="382">
        <f t="shared" ref="I19:N19" si="9">SUM(I20:I26)</f>
        <v>7331588.1559999995</v>
      </c>
      <c r="J19" s="382">
        <f t="shared" si="9"/>
        <v>143774571.59999999</v>
      </c>
      <c r="K19" s="382">
        <f t="shared" si="9"/>
        <v>509776991.89318007</v>
      </c>
      <c r="L19" s="66">
        <f t="shared" si="9"/>
        <v>0</v>
      </c>
      <c r="M19" s="66">
        <f t="shared" si="9"/>
        <v>0</v>
      </c>
      <c r="N19" s="66">
        <f t="shared" si="9"/>
        <v>0</v>
      </c>
      <c r="O19" s="208"/>
      <c r="P19" s="501"/>
      <c r="Q19" s="28"/>
      <c r="R19" s="28"/>
      <c r="S19" s="28"/>
      <c r="T19" s="208"/>
    </row>
    <row r="20" spans="1:22" ht="30" customHeight="1">
      <c r="A20" s="505">
        <f>_xlfn.AGGREGATE(3,5,$B$20:B20)</f>
        <v>1</v>
      </c>
      <c r="B20" s="98" t="s">
        <v>342</v>
      </c>
      <c r="C20" s="506" t="s">
        <v>9</v>
      </c>
      <c r="D20" s="242">
        <f>THKL!F21</f>
        <v>6.65</v>
      </c>
      <c r="E20" s="242"/>
      <c r="F20" s="385">
        <v>572387.19999999995</v>
      </c>
      <c r="G20" s="385">
        <v>11790900</v>
      </c>
      <c r="H20" s="385">
        <v>39574428.280000001</v>
      </c>
      <c r="I20" s="385">
        <f t="shared" ref="I20:I25" si="10">D20*F20</f>
        <v>3806374.88</v>
      </c>
      <c r="J20" s="385">
        <f t="shared" ref="J20:J25" si="11">D20*G20</f>
        <v>78409485</v>
      </c>
      <c r="K20" s="385">
        <f t="shared" ref="K20:K25" si="12">D20*H20</f>
        <v>263169948.06200004</v>
      </c>
      <c r="L20" s="241">
        <f t="shared" ref="L20:L25" si="13">E20*F20</f>
        <v>0</v>
      </c>
      <c r="M20" s="241">
        <f t="shared" ref="M20:M25" si="14">E20*G20</f>
        <v>0</v>
      </c>
      <c r="N20" s="241">
        <f t="shared" ref="N20:N25" si="15">E20*H20</f>
        <v>0</v>
      </c>
      <c r="O20" s="241"/>
      <c r="P20" s="501"/>
      <c r="Q20" s="501"/>
      <c r="R20" s="501"/>
      <c r="S20" s="501"/>
      <c r="T20" s="242"/>
      <c r="U20" s="504"/>
      <c r="V20" s="210"/>
    </row>
    <row r="21" spans="1:22" ht="30" customHeight="1">
      <c r="A21" s="505">
        <f>_xlfn.AGGREGATE(3,5,$B$20:B21)</f>
        <v>2</v>
      </c>
      <c r="B21" s="98" t="s">
        <v>451</v>
      </c>
      <c r="C21" s="386" t="s">
        <v>9</v>
      </c>
      <c r="D21" s="242">
        <f>THKL!F22</f>
        <v>6.58</v>
      </c>
      <c r="E21" s="242"/>
      <c r="F21" s="385">
        <v>360287.2</v>
      </c>
      <c r="G21" s="385">
        <v>4855950</v>
      </c>
      <c r="H21" s="385">
        <v>19792190.91</v>
      </c>
      <c r="I21" s="385">
        <f t="shared" si="10"/>
        <v>2370689.7760000001</v>
      </c>
      <c r="J21" s="385">
        <f t="shared" si="11"/>
        <v>31952151</v>
      </c>
      <c r="K21" s="385">
        <f t="shared" si="12"/>
        <v>130232616.18780001</v>
      </c>
      <c r="L21" s="241">
        <f t="shared" si="13"/>
        <v>0</v>
      </c>
      <c r="M21" s="241">
        <f t="shared" si="14"/>
        <v>0</v>
      </c>
      <c r="N21" s="241">
        <f t="shared" si="15"/>
        <v>0</v>
      </c>
      <c r="O21" s="242"/>
      <c r="P21" s="501"/>
      <c r="Q21" s="501"/>
      <c r="R21" s="501"/>
      <c r="S21" s="501"/>
      <c r="T21" s="242"/>
      <c r="U21" s="242"/>
    </row>
    <row r="22" spans="1:22" ht="30" customHeight="1">
      <c r="A22" s="505">
        <f>_xlfn.AGGREGATE(3,5,$B$20:B22)</f>
        <v>3</v>
      </c>
      <c r="B22" s="98" t="s">
        <v>343</v>
      </c>
      <c r="C22" s="506" t="s">
        <v>239</v>
      </c>
      <c r="D22" s="243">
        <f>SUM(D23:E25)</f>
        <v>141</v>
      </c>
      <c r="E22" s="243"/>
      <c r="F22" s="385">
        <v>4393.5</v>
      </c>
      <c r="G22" s="385">
        <v>27720</v>
      </c>
      <c r="H22" s="385">
        <v>34270.800000000003</v>
      </c>
      <c r="I22" s="385">
        <f t="shared" si="10"/>
        <v>619483.5</v>
      </c>
      <c r="J22" s="385">
        <f t="shared" si="11"/>
        <v>3908520</v>
      </c>
      <c r="K22" s="385">
        <f t="shared" si="12"/>
        <v>4832182.8000000007</v>
      </c>
      <c r="L22" s="241">
        <f t="shared" si="13"/>
        <v>0</v>
      </c>
      <c r="M22" s="241">
        <f t="shared" si="14"/>
        <v>0</v>
      </c>
      <c r="N22" s="241">
        <f t="shared" si="15"/>
        <v>0</v>
      </c>
      <c r="O22" s="243"/>
      <c r="P22" s="501"/>
      <c r="Q22" s="501"/>
      <c r="R22" s="501"/>
      <c r="S22" s="501"/>
      <c r="T22" s="243"/>
      <c r="U22" s="243"/>
    </row>
    <row r="23" spans="1:22" ht="30" customHeight="1">
      <c r="A23" s="505">
        <f>_xlfn.AGGREGATE(3,5,$B$20:B23)</f>
        <v>4</v>
      </c>
      <c r="B23" s="98" t="str">
        <f>"Lặn xử lý tín hiệu đến độ sâu 0,5m ("&amp;P23&amp;" TH/ha)"</f>
        <v>Lặn xử lý tín hiệu đến độ sâu 0,5m (20 TH/ha)</v>
      </c>
      <c r="C23" s="506" t="s">
        <v>239</v>
      </c>
      <c r="D23" s="243">
        <f>ROUND(D20*P23,0)</f>
        <v>133</v>
      </c>
      <c r="E23" s="242"/>
      <c r="F23" s="385">
        <v>0</v>
      </c>
      <c r="G23" s="385">
        <v>113850</v>
      </c>
      <c r="H23" s="385">
        <v>441645.14</v>
      </c>
      <c r="I23" s="385">
        <f t="shared" si="10"/>
        <v>0</v>
      </c>
      <c r="J23" s="385">
        <f t="shared" si="11"/>
        <v>15142050</v>
      </c>
      <c r="K23" s="385">
        <f t="shared" si="12"/>
        <v>58738803.620000005</v>
      </c>
      <c r="L23" s="241">
        <f t="shared" si="13"/>
        <v>0</v>
      </c>
      <c r="M23" s="241">
        <f t="shared" si="14"/>
        <v>0</v>
      </c>
      <c r="N23" s="241">
        <f t="shared" si="15"/>
        <v>0</v>
      </c>
      <c r="O23" s="243"/>
      <c r="P23" s="501">
        <f>IF($P$10=1,Q23,R23)</f>
        <v>20</v>
      </c>
      <c r="Q23" s="28">
        <v>20</v>
      </c>
      <c r="R23" s="28">
        <v>15</v>
      </c>
      <c r="S23" s="209">
        <f>HLOOKUP(T23,Tracuu!$B$28:$G$33,T13,FALSE)</f>
        <v>20</v>
      </c>
      <c r="T23" s="242">
        <v>0.5</v>
      </c>
      <c r="U23" s="242">
        <v>10</v>
      </c>
    </row>
    <row r="24" spans="1:22" ht="30" customHeight="1">
      <c r="A24" s="505">
        <f>_xlfn.AGGREGATE(3,5,$B$20:B24)</f>
        <v>5</v>
      </c>
      <c r="B24" s="98" t="str">
        <f>"Lặn xử lý tín hiệu từ độ sâu 0,5m - 1m ("&amp;TEXT(P24,"00")&amp;"TH/ha)"</f>
        <v>Lặn xử lý tín hiệu từ độ sâu 0,5m - 1m (01TH/ha)</v>
      </c>
      <c r="C24" s="506" t="s">
        <v>239</v>
      </c>
      <c r="D24" s="243">
        <f>IF(ROUND($D21*P24,0)=0,1,ROUND(+$D21*P24,0))</f>
        <v>7</v>
      </c>
      <c r="E24" s="242"/>
      <c r="F24" s="385">
        <v>0</v>
      </c>
      <c r="G24" s="385">
        <v>113850</v>
      </c>
      <c r="H24" s="385">
        <v>764584.71299999999</v>
      </c>
      <c r="I24" s="385">
        <f t="shared" si="10"/>
        <v>0</v>
      </c>
      <c r="J24" s="385">
        <f t="shared" si="11"/>
        <v>796950</v>
      </c>
      <c r="K24" s="385">
        <f t="shared" si="12"/>
        <v>5352092.9910000004</v>
      </c>
      <c r="L24" s="241">
        <f t="shared" si="13"/>
        <v>0</v>
      </c>
      <c r="M24" s="241">
        <f t="shared" si="14"/>
        <v>0</v>
      </c>
      <c r="N24" s="241">
        <f t="shared" si="15"/>
        <v>0</v>
      </c>
      <c r="O24" s="243"/>
      <c r="P24" s="501">
        <f>IF($P$10=1,Q24,R24)</f>
        <v>1</v>
      </c>
      <c r="Q24" s="28">
        <v>1</v>
      </c>
      <c r="R24" s="28">
        <v>1</v>
      </c>
      <c r="S24" s="28">
        <f>HLOOKUP(T24,Tracuu!$B$28:$G$33,T13,FALSE)</f>
        <v>1</v>
      </c>
      <c r="T24" s="242">
        <v>1</v>
      </c>
      <c r="U24" s="242"/>
    </row>
    <row r="25" spans="1:22" ht="30" customHeight="1">
      <c r="A25" s="505">
        <f>_xlfn.AGGREGATE(3,5,$B$20:B25)</f>
        <v>6</v>
      </c>
      <c r="B25" s="609" t="str">
        <f>"Lặn xử lý tín hiệu từ độ sâu 1m - 3m ( "&amp;P25&amp;" TH/ha)"</f>
        <v>Lặn xử lý tín hiệu từ độ sâu 1m - 3m ( 0,1 TH/ha)</v>
      </c>
      <c r="C25" s="506" t="s">
        <v>239</v>
      </c>
      <c r="D25" s="243">
        <f>IF(ROUND($D21*P25,0)=0,1,ROUND($D21*P25,0))</f>
        <v>1</v>
      </c>
      <c r="E25" s="242"/>
      <c r="F25" s="385">
        <v>535040</v>
      </c>
      <c r="G25" s="385">
        <v>495000</v>
      </c>
      <c r="H25" s="385">
        <v>1107985.3330000001</v>
      </c>
      <c r="I25" s="385">
        <f t="shared" si="10"/>
        <v>535040</v>
      </c>
      <c r="J25" s="385">
        <f t="shared" si="11"/>
        <v>495000</v>
      </c>
      <c r="K25" s="385">
        <f t="shared" si="12"/>
        <v>1107985.3330000001</v>
      </c>
      <c r="L25" s="241">
        <f t="shared" si="13"/>
        <v>0</v>
      </c>
      <c r="M25" s="241">
        <f t="shared" si="14"/>
        <v>0</v>
      </c>
      <c r="N25" s="241">
        <f t="shared" si="15"/>
        <v>0</v>
      </c>
      <c r="O25" s="243"/>
      <c r="P25" s="501">
        <f>IF($P$10=1,Q25,R25)</f>
        <v>0.1</v>
      </c>
      <c r="Q25" s="501">
        <v>0.1</v>
      </c>
      <c r="R25" s="501">
        <v>0.05</v>
      </c>
      <c r="S25" s="501">
        <f>HLOOKUP(T25,Tracuu!$B$28:$G$33,T13,FALSE)</f>
        <v>0.1</v>
      </c>
      <c r="T25" s="242">
        <v>10</v>
      </c>
      <c r="U25" s="242"/>
    </row>
    <row r="26" spans="1:22" ht="30" customHeight="1" collapsed="1">
      <c r="A26" s="505"/>
      <c r="B26" s="377" t="s">
        <v>350</v>
      </c>
      <c r="C26" s="508"/>
      <c r="D26" s="376"/>
      <c r="E26" s="387"/>
      <c r="F26" s="388"/>
      <c r="G26" s="388"/>
      <c r="H26" s="388"/>
      <c r="I26" s="388">
        <v>0</v>
      </c>
      <c r="J26" s="388">
        <f>SUM(J20:J25)*0.1</f>
        <v>13070415.600000001</v>
      </c>
      <c r="K26" s="388">
        <f>SUM(K20:K25)*0.1</f>
        <v>46343362.899380006</v>
      </c>
      <c r="L26" s="241">
        <v>0</v>
      </c>
      <c r="M26" s="241">
        <f>SUM(M20:M25)*0.1</f>
        <v>0</v>
      </c>
      <c r="N26" s="241">
        <f>SUM(N20:N25)*0.1</f>
        <v>0</v>
      </c>
      <c r="O26" s="241"/>
      <c r="P26" s="509"/>
      <c r="Q26" s="509"/>
      <c r="R26" s="509"/>
      <c r="S26" s="509"/>
    </row>
    <row r="27" spans="1:22" ht="30" customHeight="1">
      <c r="A27" s="510"/>
      <c r="B27" s="510" t="s">
        <v>178</v>
      </c>
      <c r="C27" s="510" t="s">
        <v>553</v>
      </c>
      <c r="D27" s="511" t="s">
        <v>553</v>
      </c>
      <c r="E27" s="511" t="s">
        <v>553</v>
      </c>
      <c r="F27" s="511" t="s">
        <v>553</v>
      </c>
      <c r="G27" s="511" t="s">
        <v>553</v>
      </c>
      <c r="H27" s="511" t="s">
        <v>553</v>
      </c>
      <c r="I27" s="512">
        <f t="shared" ref="I27:N27" si="16">I11+I19</f>
        <v>12540585.6195888</v>
      </c>
      <c r="J27" s="512">
        <f t="shared" si="16"/>
        <v>268414820.09999999</v>
      </c>
      <c r="K27" s="512">
        <f t="shared" si="16"/>
        <v>558860046.12222004</v>
      </c>
      <c r="L27" s="512">
        <f t="shared" si="16"/>
        <v>0</v>
      </c>
      <c r="M27" s="512">
        <f t="shared" si="16"/>
        <v>0</v>
      </c>
      <c r="N27" s="512">
        <f t="shared" si="16"/>
        <v>0</v>
      </c>
      <c r="O27" s="513"/>
      <c r="P27" s="29"/>
      <c r="Q27" s="29"/>
      <c r="R27" s="29"/>
      <c r="S27" s="29"/>
      <c r="T27" s="511"/>
    </row>
    <row r="28" spans="1:22">
      <c r="D28" s="244"/>
      <c r="F28" s="205"/>
    </row>
    <row r="29" spans="1:22">
      <c r="I29" s="20"/>
      <c r="J29" s="206"/>
      <c r="K29" s="20"/>
      <c r="P29" s="207"/>
    </row>
    <row r="30" spans="1:22">
      <c r="C30" s="810"/>
      <c r="D30" s="811"/>
      <c r="I30" s="206"/>
      <c r="J30" s="206"/>
      <c r="K30" s="206"/>
      <c r="P30" s="207"/>
    </row>
    <row r="31" spans="1:22">
      <c r="C31" s="810"/>
      <c r="D31" s="811"/>
    </row>
    <row r="32" spans="1:22">
      <c r="D32" s="19"/>
      <c r="E32" s="19"/>
    </row>
  </sheetData>
  <mergeCells count="18">
    <mergeCell ref="L9:N9"/>
    <mergeCell ref="C30:D30"/>
    <mergeCell ref="C31:D31"/>
    <mergeCell ref="A6:K6"/>
    <mergeCell ref="A7:K7"/>
    <mergeCell ref="A9:A10"/>
    <mergeCell ref="B9:B10"/>
    <mergeCell ref="C9:C10"/>
    <mergeCell ref="D9:D10"/>
    <mergeCell ref="E9:E10"/>
    <mergeCell ref="F9:H9"/>
    <mergeCell ref="I9:K9"/>
    <mergeCell ref="A5:K5"/>
    <mergeCell ref="A1:K1"/>
    <mergeCell ref="A2:K2"/>
    <mergeCell ref="Q2:T2"/>
    <mergeCell ref="A3:K3"/>
    <mergeCell ref="A4:K4"/>
  </mergeCells>
  <dataValidations disablePrompts="1" count="1">
    <dataValidation type="list" allowBlank="1" showInputMessage="1" showErrorMessage="1" sqref="Q2:T2" xr:uid="{00000000-0002-0000-0500-000000000000}">
      <formula1>#REF!</formula1>
    </dataValidation>
  </dataValidations>
  <printOptions horizontalCentered="1"/>
  <pageMargins left="0.39370078740157483" right="0.39370078740157483" top="0.78740157480314965" bottom="0.59055118110236227" header="0.31496062992125984" footer="0.31496062992125984"/>
  <pageSetup paperSize="9" scale="77" orientation="landscape" r:id="rId1"/>
  <headerFooter>
    <oddFooter>&amp;C&amp;P</oddFooter>
  </headerFooter>
  <colBreaks count="2" manualBreakCount="2">
    <brk id="11" max="1048575" man="1"/>
    <brk id="14" max="22" man="1"/>
  </colBreaks>
  <customProperties>
    <customPr name="TTBMVN.WorksheetRole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U170"/>
  <sheetViews>
    <sheetView view="pageBreakPreview" topLeftCell="A9" zoomScale="60" zoomScaleNormal="85" workbookViewId="0">
      <selection activeCell="F90" sqref="F90"/>
    </sheetView>
  </sheetViews>
  <sheetFormatPr defaultColWidth="9" defaultRowHeight="15.6" outlineLevelRow="1" outlineLevelCol="1"/>
  <cols>
    <col min="1" max="1" width="4.3984375" style="412" customWidth="1"/>
    <col min="2" max="2" width="33.19921875" style="504" bestFit="1" customWidth="1"/>
    <col min="3" max="3" width="7.3984375" style="514" customWidth="1"/>
    <col min="4" max="4" width="8.8984375" style="245" customWidth="1"/>
    <col min="5" max="5" width="11.09765625" style="245" customWidth="1"/>
    <col min="6" max="6" width="11.8984375" style="245" customWidth="1"/>
    <col min="7" max="7" width="13.8984375" style="245" customWidth="1"/>
    <col min="8" max="8" width="12.69921875" style="245" customWidth="1"/>
    <col min="9" max="9" width="9" style="504" hidden="1" customWidth="1" outlineLevel="1"/>
    <col min="10" max="10" width="13.3984375" style="504" hidden="1" customWidth="1" outlineLevel="1"/>
    <col min="11" max="11" width="9" style="504" hidden="1" customWidth="1" outlineLevel="1"/>
    <col min="12" max="12" width="9" style="504" collapsed="1"/>
    <col min="13" max="18" width="9" style="504" customWidth="1" outlineLevel="1"/>
    <col min="19" max="16384" width="9" style="504"/>
  </cols>
  <sheetData>
    <row r="1" spans="1:21" ht="29.4" customHeight="1">
      <c r="A1" s="861" t="s">
        <v>191</v>
      </c>
      <c r="B1" s="829"/>
      <c r="C1" s="829"/>
      <c r="D1" s="829"/>
      <c r="E1" s="829"/>
      <c r="F1" s="829"/>
      <c r="G1" s="829"/>
      <c r="H1" s="829"/>
    </row>
    <row r="2" spans="1:21">
      <c r="A2" s="830" t="str">
        <f>"Dọn mặt bằng thủ công cho một ha rừng "&amp;M11&amp;", khu vực không phải là bãi mìn"</f>
        <v>Dọn mặt bằng thủ công cho một ha rừng loại 1, khu vực không phải là bãi mìn</v>
      </c>
      <c r="B2" s="830"/>
      <c r="C2" s="830"/>
      <c r="D2" s="830"/>
      <c r="E2" s="830"/>
      <c r="F2" s="830"/>
      <c r="G2" s="830"/>
      <c r="H2" s="830"/>
    </row>
    <row r="3" spans="1:21">
      <c r="A3" s="830" t="str" cm="1">
        <f t="array" aca="1" ref="A3" ca="1">"Số hiệu định mức: 010.0200."&amp;INDIRECT(ADDRESS(ROW(M6),COLUMN(M6)+M6,1,1))</f>
        <v>Số hiệu định mức: 010.0200.1</v>
      </c>
      <c r="B3" s="830"/>
      <c r="C3" s="830"/>
      <c r="D3" s="830"/>
      <c r="E3" s="830"/>
      <c r="F3" s="830"/>
      <c r="G3" s="830"/>
      <c r="H3" s="830"/>
      <c r="J3" s="504" t="s">
        <v>165</v>
      </c>
      <c r="K3" s="504" t="s">
        <v>166</v>
      </c>
    </row>
    <row r="4" spans="1:21" s="515" customFormat="1" ht="15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customHeight="1">
      <c r="A5" s="867" t="s">
        <v>18</v>
      </c>
      <c r="B5" s="868" t="s">
        <v>43</v>
      </c>
      <c r="C5" s="870" t="s">
        <v>42</v>
      </c>
      <c r="D5" s="870" t="s">
        <v>20</v>
      </c>
      <c r="E5" s="872" t="s">
        <v>80</v>
      </c>
      <c r="F5" s="874" t="s">
        <v>17</v>
      </c>
      <c r="G5" s="874"/>
      <c r="H5" s="874"/>
      <c r="M5" s="520" t="s">
        <v>254</v>
      </c>
      <c r="N5" s="836" t="s">
        <v>255</v>
      </c>
      <c r="O5" s="837"/>
      <c r="P5" s="837"/>
      <c r="Q5" s="837"/>
      <c r="R5" s="838"/>
    </row>
    <row r="6" spans="1:21" s="519" customFormat="1" ht="16.2">
      <c r="A6" s="834"/>
      <c r="B6" s="869"/>
      <c r="C6" s="871"/>
      <c r="D6" s="871"/>
      <c r="E6" s="873"/>
      <c r="F6" s="413" t="s">
        <v>59</v>
      </c>
      <c r="G6" s="413" t="s">
        <v>25</v>
      </c>
      <c r="H6" s="413" t="s">
        <v>81</v>
      </c>
      <c r="J6" s="519">
        <f>'Gia DT TC'!D12</f>
        <v>1.905</v>
      </c>
      <c r="K6" s="519">
        <f>'Gia DT TC'!E12</f>
        <v>0</v>
      </c>
      <c r="M6" s="521">
        <v>1</v>
      </c>
      <c r="N6" s="522">
        <v>1</v>
      </c>
      <c r="O6" s="522">
        <v>2</v>
      </c>
      <c r="P6" s="522">
        <v>3</v>
      </c>
      <c r="Q6" s="522">
        <v>4</v>
      </c>
      <c r="R6" s="522">
        <v>5</v>
      </c>
    </row>
    <row r="7" spans="1:21" s="519" customFormat="1" ht="18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M7" s="524">
        <f>$N$7</f>
        <v>0</v>
      </c>
      <c r="N7" s="525"/>
      <c r="O7" s="524"/>
      <c r="P7" s="524"/>
      <c r="Q7" s="524"/>
      <c r="R7" s="524"/>
      <c r="S7" s="515"/>
      <c r="T7" s="515"/>
      <c r="U7" s="515"/>
    </row>
    <row r="8" spans="1:21" s="519" customFormat="1" ht="18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M8" s="524">
        <f>$N$8</f>
        <v>0</v>
      </c>
      <c r="N8" s="525"/>
      <c r="O8" s="524"/>
      <c r="P8" s="524"/>
      <c r="Q8" s="524"/>
      <c r="R8" s="524"/>
      <c r="S8" s="515"/>
      <c r="T8" s="515"/>
      <c r="U8" s="515"/>
    </row>
    <row r="9" spans="1:21" s="519" customFormat="1" ht="18" customHeight="1">
      <c r="A9" s="526"/>
      <c r="B9" s="530" t="s">
        <v>60</v>
      </c>
      <c r="C9" s="531" t="s">
        <v>40</v>
      </c>
      <c r="D9" s="250">
        <f>M9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</f>
        <v>127.63500000000001</v>
      </c>
      <c r="K9" s="519">
        <f>+$D9*K$6</f>
        <v>0</v>
      </c>
      <c r="M9" s="524">
        <f>$N$9</f>
        <v>67</v>
      </c>
      <c r="N9" s="525">
        <v>67</v>
      </c>
      <c r="O9" s="524">
        <v>73</v>
      </c>
      <c r="P9" s="524">
        <v>83</v>
      </c>
      <c r="Q9" s="524">
        <v>101</v>
      </c>
      <c r="R9" s="524">
        <v>0</v>
      </c>
      <c r="S9" s="515"/>
      <c r="T9" s="515"/>
      <c r="U9" s="515"/>
    </row>
    <row r="10" spans="1:21" s="519" customFormat="1" ht="18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M10" s="524">
        <f>$N$10</f>
        <v>0</v>
      </c>
      <c r="N10" s="525"/>
      <c r="O10" s="524"/>
      <c r="P10" s="524"/>
      <c r="Q10" s="524"/>
      <c r="R10" s="524"/>
      <c r="S10" s="515"/>
      <c r="T10" s="515"/>
      <c r="U10" s="515"/>
    </row>
    <row r="11" spans="1:21" s="519" customFormat="1" ht="18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M11" s="536" t="str">
        <f>$N$11</f>
        <v>loại 1</v>
      </c>
      <c r="N11" s="537" t="s">
        <v>184</v>
      </c>
      <c r="O11" s="536" t="s">
        <v>256</v>
      </c>
      <c r="P11" s="536" t="s">
        <v>257</v>
      </c>
      <c r="Q11" s="536" t="s">
        <v>258</v>
      </c>
      <c r="R11" s="536" t="s">
        <v>259</v>
      </c>
      <c r="S11" s="515"/>
      <c r="T11" s="515"/>
      <c r="U11" s="515"/>
    </row>
    <row r="12" spans="1:21" s="519" customFormat="1" ht="18" customHeight="1">
      <c r="A12" s="412"/>
      <c r="B12" s="538"/>
      <c r="C12" s="412"/>
      <c r="D12" s="255"/>
      <c r="E12" s="256"/>
      <c r="F12" s="256"/>
      <c r="G12" s="256"/>
      <c r="H12" s="256"/>
    </row>
    <row r="13" spans="1:21" ht="41.4" customHeight="1">
      <c r="B13" s="538"/>
      <c r="C13" s="247"/>
      <c r="D13" s="257"/>
      <c r="E13" s="257"/>
      <c r="F13" s="257"/>
      <c r="G13" s="257"/>
      <c r="H13" s="257"/>
    </row>
    <row r="14" spans="1:21" ht="18" customHeight="1">
      <c r="A14" s="832" t="str">
        <f>"Dò bằng máy đến độ sâu 0,3 m cho 1 ha - Mật độ tín hiệu "&amp;M29</f>
        <v>Dò bằng máy đến độ sâu 0,3 m cho 1 ha - Mật độ tín hiệu loại 1</v>
      </c>
      <c r="B14" s="830"/>
      <c r="C14" s="830"/>
      <c r="D14" s="830"/>
      <c r="E14" s="830"/>
      <c r="F14" s="830"/>
      <c r="G14" s="830"/>
      <c r="H14" s="830"/>
    </row>
    <row r="15" spans="1:21" ht="20.100000000000001" customHeight="1">
      <c r="A15" s="830" t="str" cm="1">
        <f t="array" aca="1" ref="A15" ca="1">"Số hiệu định mức: 020.0200."&amp;INDIRECT(ADDRESS(ROW(M18),COLUMN(M18)+M18,1,1))</f>
        <v>Số hiệu định mức: 020.0200.1</v>
      </c>
      <c r="B15" s="830"/>
      <c r="C15" s="830"/>
      <c r="D15" s="830"/>
      <c r="E15" s="830"/>
      <c r="F15" s="830"/>
      <c r="G15" s="830"/>
      <c r="H15" s="830"/>
    </row>
    <row r="16" spans="1:21" s="515" customFormat="1" ht="15" customHeight="1">
      <c r="A16" s="412"/>
      <c r="B16" s="504"/>
      <c r="C16" s="514"/>
      <c r="D16" s="245"/>
      <c r="E16" s="247"/>
      <c r="F16" s="247"/>
      <c r="G16" s="248" t="s">
        <v>129</v>
      </c>
      <c r="H16" s="247"/>
    </row>
    <row r="17" spans="1:18" s="519" customFormat="1" ht="15.75" customHeight="1">
      <c r="A17" s="867" t="s">
        <v>18</v>
      </c>
      <c r="B17" s="867" t="s">
        <v>43</v>
      </c>
      <c r="C17" s="874" t="s">
        <v>42</v>
      </c>
      <c r="D17" s="874" t="s">
        <v>20</v>
      </c>
      <c r="E17" s="874" t="s">
        <v>80</v>
      </c>
      <c r="F17" s="874" t="s">
        <v>17</v>
      </c>
      <c r="G17" s="874"/>
      <c r="H17" s="874"/>
      <c r="M17" s="520" t="s">
        <v>254</v>
      </c>
      <c r="N17" s="836" t="s">
        <v>255</v>
      </c>
      <c r="O17" s="837"/>
      <c r="P17" s="837"/>
      <c r="Q17" s="837"/>
      <c r="R17" s="838"/>
    </row>
    <row r="18" spans="1:18" s="519" customFormat="1" ht="16.2">
      <c r="A18" s="867"/>
      <c r="B18" s="867"/>
      <c r="C18" s="874"/>
      <c r="D18" s="874"/>
      <c r="E18" s="874"/>
      <c r="F18" s="414" t="s">
        <v>59</v>
      </c>
      <c r="G18" s="414" t="s">
        <v>25</v>
      </c>
      <c r="H18" s="414" t="s">
        <v>81</v>
      </c>
      <c r="J18" s="539">
        <f>'Gia DT TC'!D13</f>
        <v>3.81</v>
      </c>
      <c r="K18" s="539">
        <f>'Gia DT TC'!E13</f>
        <v>0</v>
      </c>
      <c r="M18" s="521">
        <v>1</v>
      </c>
      <c r="N18" s="522">
        <v>1</v>
      </c>
      <c r="O18" s="522">
        <v>2</v>
      </c>
      <c r="P18" s="522">
        <v>3</v>
      </c>
      <c r="Q18" s="522">
        <v>4</v>
      </c>
      <c r="R18" s="522">
        <v>5</v>
      </c>
    </row>
    <row r="19" spans="1:18" ht="20.100000000000001" customHeight="1">
      <c r="A19" s="517" t="s">
        <v>1</v>
      </c>
      <c r="B19" s="523" t="s">
        <v>59</v>
      </c>
      <c r="C19" s="517" t="s">
        <v>5</v>
      </c>
      <c r="D19" s="258"/>
      <c r="E19" s="258"/>
      <c r="F19" s="258"/>
      <c r="G19" s="258"/>
      <c r="H19" s="258"/>
      <c r="M19" s="524"/>
      <c r="N19" s="524"/>
      <c r="O19" s="524"/>
      <c r="P19" s="524"/>
      <c r="Q19" s="524"/>
      <c r="R19" s="524"/>
    </row>
    <row r="20" spans="1:18" ht="20.100000000000001" customHeight="1">
      <c r="A20" s="531">
        <v>1</v>
      </c>
      <c r="B20" s="540" t="s">
        <v>62</v>
      </c>
      <c r="C20" s="531" t="s">
        <v>41</v>
      </c>
      <c r="D20" s="259">
        <f>M20</f>
        <v>4</v>
      </c>
      <c r="E20" s="162">
        <f>VLOOKUP($B20,'VL-NC-M'!$B$6:$F$101,5,0)</f>
        <v>100000</v>
      </c>
      <c r="F20" s="162">
        <f>+D20*E20</f>
        <v>400000</v>
      </c>
      <c r="G20" s="162"/>
      <c r="H20" s="162"/>
      <c r="J20" s="519">
        <f>+$D20*J$18</f>
        <v>15.24</v>
      </c>
      <c r="K20" s="519">
        <f>+$D20*K$18</f>
        <v>0</v>
      </c>
      <c r="M20" s="524">
        <f>$N$20</f>
        <v>4</v>
      </c>
      <c r="N20" s="525">
        <v>4</v>
      </c>
      <c r="O20" s="524">
        <v>4</v>
      </c>
      <c r="P20" s="524">
        <v>4</v>
      </c>
      <c r="Q20" s="524">
        <v>4</v>
      </c>
      <c r="R20" s="524">
        <v>0</v>
      </c>
    </row>
    <row r="21" spans="1:18" ht="19.95" customHeight="1">
      <c r="A21" s="531">
        <v>2</v>
      </c>
      <c r="B21" s="540" t="s">
        <v>56</v>
      </c>
      <c r="C21" s="531" t="s">
        <v>41</v>
      </c>
      <c r="D21" s="259">
        <f>M21</f>
        <v>34</v>
      </c>
      <c r="E21" s="162">
        <f>VLOOKUP($B21,'VL-NC-M'!$B$6:$F$101,5,0)</f>
        <v>8000</v>
      </c>
      <c r="F21" s="162">
        <f>+D21*E21</f>
        <v>272000</v>
      </c>
      <c r="G21" s="162"/>
      <c r="H21" s="162"/>
      <c r="J21" s="519">
        <f t="shared" ref="J21:K23" si="0">+$D21*J$18</f>
        <v>129.54</v>
      </c>
      <c r="K21" s="519">
        <f t="shared" si="0"/>
        <v>0</v>
      </c>
      <c r="M21" s="524">
        <f>$N$21</f>
        <v>34</v>
      </c>
      <c r="N21" s="525">
        <v>34</v>
      </c>
      <c r="O21" s="524">
        <v>34</v>
      </c>
      <c r="P21" s="524">
        <v>34</v>
      </c>
      <c r="Q21" s="524">
        <v>34</v>
      </c>
      <c r="R21" s="524">
        <v>0</v>
      </c>
    </row>
    <row r="22" spans="1:18" ht="20.100000000000001" customHeight="1">
      <c r="A22" s="531">
        <v>3</v>
      </c>
      <c r="B22" s="540" t="s">
        <v>54</v>
      </c>
      <c r="C22" s="531" t="s">
        <v>4</v>
      </c>
      <c r="D22" s="259">
        <f>M22</f>
        <v>67</v>
      </c>
      <c r="E22" s="162">
        <f>VLOOKUP($B22,'VL-NC-M'!$B$6:$F$101,5,0)</f>
        <v>2000</v>
      </c>
      <c r="F22" s="162">
        <f>+D22*E22</f>
        <v>134000</v>
      </c>
      <c r="G22" s="162"/>
      <c r="H22" s="162"/>
      <c r="J22" s="519">
        <f t="shared" si="0"/>
        <v>255.27</v>
      </c>
      <c r="K22" s="519">
        <f t="shared" si="0"/>
        <v>0</v>
      </c>
      <c r="M22" s="524">
        <f>$N$22</f>
        <v>67</v>
      </c>
      <c r="N22" s="525">
        <v>67</v>
      </c>
      <c r="O22" s="524">
        <v>67</v>
      </c>
      <c r="P22" s="524">
        <v>67</v>
      </c>
      <c r="Q22" s="524">
        <v>67</v>
      </c>
      <c r="R22" s="524">
        <v>0</v>
      </c>
    </row>
    <row r="23" spans="1:18" ht="20.100000000000001" customHeight="1">
      <c r="A23" s="531">
        <v>4</v>
      </c>
      <c r="B23" s="540" t="s">
        <v>55</v>
      </c>
      <c r="C23" s="531" t="s">
        <v>41</v>
      </c>
      <c r="D23" s="259">
        <f>M23</f>
        <v>2</v>
      </c>
      <c r="E23" s="162">
        <f>VLOOKUP($B23,'VL-NC-M'!$B$6:$F$101,5,0)</f>
        <v>2500</v>
      </c>
      <c r="F23" s="162">
        <f>+D23*E23</f>
        <v>5000</v>
      </c>
      <c r="G23" s="162"/>
      <c r="H23" s="162"/>
      <c r="J23" s="519">
        <f t="shared" si="0"/>
        <v>7.62</v>
      </c>
      <c r="K23" s="519">
        <f t="shared" si="0"/>
        <v>0</v>
      </c>
      <c r="M23" s="524">
        <f>$N$23</f>
        <v>2</v>
      </c>
      <c r="N23" s="525">
        <v>2</v>
      </c>
      <c r="O23" s="524">
        <v>4</v>
      </c>
      <c r="P23" s="524">
        <v>6</v>
      </c>
      <c r="Q23" s="524">
        <v>8</v>
      </c>
      <c r="R23" s="524">
        <v>0</v>
      </c>
    </row>
    <row r="24" spans="1:18" ht="20.100000000000001" customHeight="1">
      <c r="A24" s="531">
        <v>5</v>
      </c>
      <c r="B24" s="540" t="s">
        <v>63</v>
      </c>
      <c r="C24" s="531" t="s">
        <v>8</v>
      </c>
      <c r="D24" s="259">
        <f>M24</f>
        <v>5</v>
      </c>
      <c r="E24" s="250"/>
      <c r="F24" s="250">
        <f>5%*SUM(F20:F23)</f>
        <v>40550</v>
      </c>
      <c r="G24" s="250"/>
      <c r="H24" s="250"/>
      <c r="J24" s="519">
        <f>+$F24*J$18</f>
        <v>154495.5</v>
      </c>
      <c r="K24" s="519">
        <f>+$F24*K$18</f>
        <v>0</v>
      </c>
      <c r="M24" s="524">
        <f>$N$24</f>
        <v>5</v>
      </c>
      <c r="N24" s="525">
        <v>5</v>
      </c>
      <c r="O24" s="524">
        <v>5</v>
      </c>
      <c r="P24" s="524">
        <v>5</v>
      </c>
      <c r="Q24" s="524">
        <v>5</v>
      </c>
      <c r="R24" s="524">
        <v>0</v>
      </c>
    </row>
    <row r="25" spans="1:18" s="437" customFormat="1" ht="20.100000000000001" customHeight="1">
      <c r="A25" s="526" t="s">
        <v>2</v>
      </c>
      <c r="B25" s="527" t="s">
        <v>25</v>
      </c>
      <c r="C25" s="526" t="s">
        <v>6</v>
      </c>
      <c r="D25" s="260"/>
      <c r="E25" s="260"/>
      <c r="F25" s="260"/>
      <c r="G25" s="260"/>
      <c r="H25" s="260"/>
      <c r="M25" s="524"/>
      <c r="N25" s="524"/>
      <c r="O25" s="524"/>
      <c r="P25" s="524"/>
      <c r="Q25" s="524"/>
      <c r="R25" s="524"/>
    </row>
    <row r="26" spans="1:18" ht="20.100000000000001" customHeight="1">
      <c r="A26" s="526"/>
      <c r="B26" s="530" t="s">
        <v>60</v>
      </c>
      <c r="C26" s="531" t="s">
        <v>40</v>
      </c>
      <c r="D26" s="261">
        <f>M26</f>
        <v>17.36</v>
      </c>
      <c r="E26" s="162">
        <f>VLOOKUP($B26,'VL-NC-M'!$B$6:$F$101,5,0)</f>
        <v>495000</v>
      </c>
      <c r="F26" s="162"/>
      <c r="G26" s="162">
        <f>+D26*E26</f>
        <v>8593200</v>
      </c>
      <c r="H26" s="162"/>
      <c r="J26" s="519">
        <f>+$D26*J$18</f>
        <v>66.141599999999997</v>
      </c>
      <c r="K26" s="519">
        <f>+$D26*K$18</f>
        <v>0</v>
      </c>
      <c r="M26" s="524">
        <f>$N$26</f>
        <v>17.36</v>
      </c>
      <c r="N26" s="525">
        <v>17.36</v>
      </c>
      <c r="O26" s="524">
        <v>19.100000000000001</v>
      </c>
      <c r="P26" s="524">
        <v>21</v>
      </c>
      <c r="Q26" s="524">
        <v>23.1</v>
      </c>
      <c r="R26" s="524">
        <v>0</v>
      </c>
    </row>
    <row r="27" spans="1:18" s="437" customFormat="1" ht="20.100000000000001" customHeight="1">
      <c r="A27" s="526" t="s">
        <v>3</v>
      </c>
      <c r="B27" s="527" t="s">
        <v>61</v>
      </c>
      <c r="C27" s="526" t="s">
        <v>7</v>
      </c>
      <c r="D27" s="262"/>
      <c r="E27" s="263"/>
      <c r="F27" s="260"/>
      <c r="G27" s="260"/>
      <c r="H27" s="260"/>
      <c r="M27" s="524"/>
      <c r="N27" s="524"/>
      <c r="O27" s="524"/>
      <c r="P27" s="524"/>
      <c r="Q27" s="524"/>
      <c r="R27" s="524"/>
    </row>
    <row r="28" spans="1:18" ht="20.100000000000001" customHeight="1">
      <c r="A28" s="532"/>
      <c r="B28" s="541" t="s">
        <v>65</v>
      </c>
      <c r="C28" s="542" t="s">
        <v>13</v>
      </c>
      <c r="D28" s="264">
        <f>M28</f>
        <v>11.57</v>
      </c>
      <c r="E28" s="265">
        <f>VLOOKUP($B28,'VL-NC-M'!$B$6:$F$101,5,0)</f>
        <v>762996</v>
      </c>
      <c r="F28" s="265"/>
      <c r="G28" s="265"/>
      <c r="H28" s="265">
        <f>D28*E28</f>
        <v>8827863.7200000007</v>
      </c>
      <c r="J28" s="519">
        <f>+$D28*J$18</f>
        <v>44.081700000000005</v>
      </c>
      <c r="K28" s="519">
        <f>+$D28*K$18</f>
        <v>0</v>
      </c>
      <c r="M28" s="524">
        <f>$N$28</f>
        <v>11.57</v>
      </c>
      <c r="N28" s="525">
        <v>11.57</v>
      </c>
      <c r="O28" s="524">
        <v>12.73</v>
      </c>
      <c r="P28" s="524">
        <v>14</v>
      </c>
      <c r="Q28" s="524">
        <v>15.4</v>
      </c>
      <c r="R28" s="524">
        <v>0</v>
      </c>
    </row>
    <row r="29" spans="1:18" ht="16.5" customHeight="1">
      <c r="A29" s="534"/>
      <c r="B29" s="535" t="s">
        <v>127</v>
      </c>
      <c r="C29" s="516" t="s">
        <v>10</v>
      </c>
      <c r="D29" s="253"/>
      <c r="E29" s="254"/>
      <c r="F29" s="254">
        <f>SUM(F20:F28)</f>
        <v>851550</v>
      </c>
      <c r="G29" s="254">
        <f>SUM(G20:G28)</f>
        <v>8593200</v>
      </c>
      <c r="H29" s="254">
        <f>SUM(H20:H28)</f>
        <v>8827863.7200000007</v>
      </c>
      <c r="M29" s="536" t="str">
        <f>$N$29</f>
        <v>loại 1</v>
      </c>
      <c r="N29" s="537" t="s">
        <v>184</v>
      </c>
      <c r="O29" s="536" t="s">
        <v>256</v>
      </c>
      <c r="P29" s="536" t="s">
        <v>257</v>
      </c>
      <c r="Q29" s="536" t="s">
        <v>258</v>
      </c>
      <c r="R29" s="536" t="s">
        <v>259</v>
      </c>
    </row>
    <row r="30" spans="1:18" ht="16.5" hidden="1" customHeight="1" outlineLevel="1">
      <c r="B30" s="412"/>
      <c r="C30" s="412"/>
      <c r="D30" s="266"/>
      <c r="E30" s="255"/>
      <c r="F30" s="255"/>
      <c r="G30" s="255"/>
      <c r="H30" s="255"/>
    </row>
    <row r="31" spans="1:18" ht="18" hidden="1" customHeight="1" outlineLevel="1">
      <c r="A31" s="832" t="str">
        <f>"Dò bằng máy đến độ sâu 0,3 m cho 1 ha - Mật độ tín hiệu "&amp;M46</f>
        <v>Dò bằng máy đến độ sâu 0,3 m cho 1 ha - Mật độ tín hiệu Không có</v>
      </c>
      <c r="B31" s="830"/>
      <c r="C31" s="830"/>
      <c r="D31" s="830"/>
      <c r="E31" s="830"/>
      <c r="F31" s="830"/>
      <c r="G31" s="830"/>
      <c r="H31" s="830"/>
    </row>
    <row r="32" spans="1:18" ht="20.100000000000001" hidden="1" customHeight="1" outlineLevel="1">
      <c r="A32" s="830" t="str" cm="1">
        <f t="array" aca="1" ref="A32" ca="1">"Số hiệu định mức: 020.0200."&amp;INDIRECT(ADDRESS(ROW(M35),COLUMN(M35)+M35,1,1))</f>
        <v>Số hiệu định mức: 020.0200.5</v>
      </c>
      <c r="B32" s="830"/>
      <c r="C32" s="830"/>
      <c r="D32" s="830"/>
      <c r="E32" s="830"/>
      <c r="F32" s="830"/>
      <c r="G32" s="830"/>
      <c r="H32" s="830"/>
    </row>
    <row r="33" spans="1:18" s="515" customFormat="1" ht="15" hidden="1" customHeight="1" outlineLevel="1">
      <c r="A33" s="412"/>
      <c r="B33" s="504"/>
      <c r="C33" s="514"/>
      <c r="D33" s="245"/>
      <c r="E33" s="247"/>
      <c r="F33" s="247"/>
      <c r="G33" s="248" t="s">
        <v>129</v>
      </c>
      <c r="H33" s="247"/>
    </row>
    <row r="34" spans="1:18" s="519" customFormat="1" ht="15.75" hidden="1" customHeight="1" outlineLevel="1">
      <c r="A34" s="867" t="s">
        <v>18</v>
      </c>
      <c r="B34" s="867" t="s">
        <v>43</v>
      </c>
      <c r="C34" s="874" t="s">
        <v>42</v>
      </c>
      <c r="D34" s="874" t="s">
        <v>20</v>
      </c>
      <c r="E34" s="874" t="s">
        <v>80</v>
      </c>
      <c r="F34" s="874" t="s">
        <v>17</v>
      </c>
      <c r="G34" s="874"/>
      <c r="H34" s="874"/>
      <c r="M34" s="520" t="s">
        <v>254</v>
      </c>
      <c r="N34" s="836" t="s">
        <v>255</v>
      </c>
      <c r="O34" s="837"/>
      <c r="P34" s="837"/>
      <c r="Q34" s="837"/>
      <c r="R34" s="838"/>
    </row>
    <row r="35" spans="1:18" s="519" customFormat="1" ht="16.2" hidden="1" outlineLevel="1">
      <c r="A35" s="867"/>
      <c r="B35" s="867"/>
      <c r="C35" s="874"/>
      <c r="D35" s="874"/>
      <c r="E35" s="874"/>
      <c r="F35" s="414" t="s">
        <v>59</v>
      </c>
      <c r="G35" s="414" t="s">
        <v>25</v>
      </c>
      <c r="H35" s="414" t="s">
        <v>81</v>
      </c>
      <c r="J35" s="539"/>
      <c r="K35" s="519" t="e">
        <f>'Gia DT TC'!#REF!</f>
        <v>#REF!</v>
      </c>
      <c r="M35" s="521">
        <v>5</v>
      </c>
      <c r="N35" s="522">
        <v>1</v>
      </c>
      <c r="O35" s="522">
        <v>2</v>
      </c>
      <c r="P35" s="522">
        <v>3</v>
      </c>
      <c r="Q35" s="522">
        <v>4</v>
      </c>
      <c r="R35" s="522">
        <v>5</v>
      </c>
    </row>
    <row r="36" spans="1:18" ht="20.100000000000001" hidden="1" customHeight="1" outlineLevel="1">
      <c r="A36" s="517" t="s">
        <v>1</v>
      </c>
      <c r="B36" s="523" t="s">
        <v>59</v>
      </c>
      <c r="C36" s="517" t="s">
        <v>5</v>
      </c>
      <c r="D36" s="258"/>
      <c r="E36" s="258"/>
      <c r="F36" s="258"/>
      <c r="G36" s="258"/>
      <c r="H36" s="258"/>
      <c r="M36" s="524"/>
      <c r="N36" s="524"/>
      <c r="O36" s="524"/>
      <c r="P36" s="524"/>
      <c r="Q36" s="524"/>
      <c r="R36" s="524"/>
    </row>
    <row r="37" spans="1:18" ht="20.100000000000001" hidden="1" customHeight="1" outlineLevel="1">
      <c r="A37" s="531">
        <v>1</v>
      </c>
      <c r="B37" s="540" t="s">
        <v>62</v>
      </c>
      <c r="C37" s="531" t="s">
        <v>41</v>
      </c>
      <c r="D37" s="259">
        <f>M37</f>
        <v>0</v>
      </c>
      <c r="E37" s="162">
        <f>VLOOKUP($B37,'VL-NC-M'!$B$6:$F$101,5,0)</f>
        <v>100000</v>
      </c>
      <c r="F37" s="162">
        <f>+D37*E37</f>
        <v>0</v>
      </c>
      <c r="G37" s="162"/>
      <c r="H37" s="162"/>
      <c r="J37" s="539">
        <f>+$D37*J$35</f>
        <v>0</v>
      </c>
      <c r="K37" s="519">
        <f>+$D37*K$18</f>
        <v>0</v>
      </c>
      <c r="M37" s="524">
        <f>$R$37</f>
        <v>0</v>
      </c>
      <c r="N37" s="524">
        <v>4</v>
      </c>
      <c r="O37" s="524">
        <v>4</v>
      </c>
      <c r="P37" s="524">
        <v>4</v>
      </c>
      <c r="Q37" s="524">
        <v>4</v>
      </c>
      <c r="R37" s="525">
        <v>0</v>
      </c>
    </row>
    <row r="38" spans="1:18" ht="19.95" hidden="1" customHeight="1" outlineLevel="1">
      <c r="A38" s="531">
        <v>2</v>
      </c>
      <c r="B38" s="540" t="s">
        <v>56</v>
      </c>
      <c r="C38" s="531" t="s">
        <v>41</v>
      </c>
      <c r="D38" s="259">
        <f>M38</f>
        <v>0</v>
      </c>
      <c r="E38" s="162">
        <f>VLOOKUP($B38,'VL-NC-M'!$B$6:$F$101,5,0)</f>
        <v>8000</v>
      </c>
      <c r="F38" s="162">
        <f>+D38*E38</f>
        <v>0</v>
      </c>
      <c r="G38" s="162"/>
      <c r="H38" s="162"/>
      <c r="J38" s="519">
        <f t="shared" ref="J38:J45" si="1">+$D38*J$35</f>
        <v>0</v>
      </c>
      <c r="K38" s="519">
        <f t="shared" ref="K38:K40" si="2">+$D38*K$18</f>
        <v>0</v>
      </c>
      <c r="M38" s="524">
        <f>$R$38</f>
        <v>0</v>
      </c>
      <c r="N38" s="524">
        <v>34</v>
      </c>
      <c r="O38" s="524">
        <v>34</v>
      </c>
      <c r="P38" s="524">
        <v>34</v>
      </c>
      <c r="Q38" s="524">
        <v>34</v>
      </c>
      <c r="R38" s="525">
        <v>0</v>
      </c>
    </row>
    <row r="39" spans="1:18" ht="20.100000000000001" hidden="1" customHeight="1" outlineLevel="1">
      <c r="A39" s="531">
        <v>3</v>
      </c>
      <c r="B39" s="540" t="s">
        <v>54</v>
      </c>
      <c r="C39" s="531" t="s">
        <v>4</v>
      </c>
      <c r="D39" s="259">
        <f>M39</f>
        <v>0</v>
      </c>
      <c r="E39" s="162">
        <f>VLOOKUP($B39,'VL-NC-M'!$B$6:$F$101,5,0)</f>
        <v>2000</v>
      </c>
      <c r="F39" s="162">
        <f>+D39*E39</f>
        <v>0</v>
      </c>
      <c r="G39" s="162"/>
      <c r="H39" s="162"/>
      <c r="J39" s="519">
        <f t="shared" si="1"/>
        <v>0</v>
      </c>
      <c r="K39" s="519">
        <f t="shared" si="2"/>
        <v>0</v>
      </c>
      <c r="M39" s="524">
        <f>$R$39</f>
        <v>0</v>
      </c>
      <c r="N39" s="524">
        <v>67</v>
      </c>
      <c r="O39" s="524">
        <v>67</v>
      </c>
      <c r="P39" s="524">
        <v>67</v>
      </c>
      <c r="Q39" s="524">
        <v>67</v>
      </c>
      <c r="R39" s="525">
        <v>0</v>
      </c>
    </row>
    <row r="40" spans="1:18" ht="20.100000000000001" hidden="1" customHeight="1" outlineLevel="1">
      <c r="A40" s="531">
        <v>4</v>
      </c>
      <c r="B40" s="540" t="s">
        <v>55</v>
      </c>
      <c r="C40" s="531" t="s">
        <v>41</v>
      </c>
      <c r="D40" s="259">
        <f>M40</f>
        <v>0</v>
      </c>
      <c r="E40" s="162">
        <f>VLOOKUP($B40,'VL-NC-M'!$B$6:$F$101,5,0)</f>
        <v>2500</v>
      </c>
      <c r="F40" s="162">
        <f>+D40*E40</f>
        <v>0</v>
      </c>
      <c r="G40" s="162"/>
      <c r="H40" s="162"/>
      <c r="J40" s="519">
        <f t="shared" si="1"/>
        <v>0</v>
      </c>
      <c r="K40" s="519">
        <f t="shared" si="2"/>
        <v>0</v>
      </c>
      <c r="M40" s="524">
        <f>$R$40</f>
        <v>0</v>
      </c>
      <c r="N40" s="524">
        <v>2</v>
      </c>
      <c r="O40" s="524">
        <v>4</v>
      </c>
      <c r="P40" s="524">
        <v>6</v>
      </c>
      <c r="Q40" s="524">
        <v>8</v>
      </c>
      <c r="R40" s="525">
        <v>0</v>
      </c>
    </row>
    <row r="41" spans="1:18" ht="20.100000000000001" hidden="1" customHeight="1" outlineLevel="1">
      <c r="A41" s="531">
        <v>5</v>
      </c>
      <c r="B41" s="540" t="s">
        <v>63</v>
      </c>
      <c r="C41" s="531" t="s">
        <v>8</v>
      </c>
      <c r="D41" s="259">
        <f>M41</f>
        <v>0</v>
      </c>
      <c r="E41" s="250"/>
      <c r="F41" s="250">
        <f>5%*SUM(F37:F40)</f>
        <v>0</v>
      </c>
      <c r="G41" s="250"/>
      <c r="H41" s="250"/>
      <c r="J41" s="539">
        <f>+$F41*J$35</f>
        <v>0</v>
      </c>
      <c r="K41" s="519">
        <f>+$F41*K$18</f>
        <v>0</v>
      </c>
      <c r="M41" s="524">
        <f>$R$41</f>
        <v>0</v>
      </c>
      <c r="N41" s="524">
        <v>5</v>
      </c>
      <c r="O41" s="524">
        <v>5</v>
      </c>
      <c r="P41" s="524">
        <v>5</v>
      </c>
      <c r="Q41" s="524">
        <v>5</v>
      </c>
      <c r="R41" s="525">
        <v>0</v>
      </c>
    </row>
    <row r="42" spans="1:18" s="437" customFormat="1" ht="20.100000000000001" hidden="1" customHeight="1" outlineLevel="1">
      <c r="A42" s="526" t="s">
        <v>2</v>
      </c>
      <c r="B42" s="527" t="s">
        <v>25</v>
      </c>
      <c r="C42" s="526" t="s">
        <v>6</v>
      </c>
      <c r="D42" s="260"/>
      <c r="E42" s="260"/>
      <c r="F42" s="260"/>
      <c r="G42" s="260"/>
      <c r="H42" s="260"/>
      <c r="J42" s="437">
        <f t="shared" si="1"/>
        <v>0</v>
      </c>
      <c r="M42" s="524"/>
      <c r="N42" s="524"/>
      <c r="O42" s="524"/>
      <c r="P42" s="524"/>
      <c r="Q42" s="524"/>
      <c r="R42" s="524"/>
    </row>
    <row r="43" spans="1:18" ht="20.100000000000001" hidden="1" customHeight="1" outlineLevel="1">
      <c r="A43" s="526"/>
      <c r="B43" s="530" t="s">
        <v>60</v>
      </c>
      <c r="C43" s="531" t="s">
        <v>40</v>
      </c>
      <c r="D43" s="261">
        <f>M43</f>
        <v>0</v>
      </c>
      <c r="E43" s="162">
        <f>VLOOKUP($B43,'VL-NC-M'!$B$6:$F$101,5,0)</f>
        <v>495000</v>
      </c>
      <c r="F43" s="162"/>
      <c r="G43" s="162">
        <f>+D43*E43</f>
        <v>0</v>
      </c>
      <c r="H43" s="162"/>
      <c r="J43" s="519">
        <f t="shared" si="1"/>
        <v>0</v>
      </c>
      <c r="K43" s="519">
        <f>+$D43*K$18</f>
        <v>0</v>
      </c>
      <c r="M43" s="524">
        <f>$R$43</f>
        <v>0</v>
      </c>
      <c r="N43" s="524">
        <v>17.36</v>
      </c>
      <c r="O43" s="524">
        <v>19.100000000000001</v>
      </c>
      <c r="P43" s="524">
        <v>21</v>
      </c>
      <c r="Q43" s="524">
        <v>23.1</v>
      </c>
      <c r="R43" s="525">
        <v>0</v>
      </c>
    </row>
    <row r="44" spans="1:18" s="437" customFormat="1" ht="20.100000000000001" hidden="1" customHeight="1" outlineLevel="1">
      <c r="A44" s="526" t="s">
        <v>3</v>
      </c>
      <c r="B44" s="527" t="s">
        <v>61</v>
      </c>
      <c r="C44" s="526" t="s">
        <v>7</v>
      </c>
      <c r="D44" s="262"/>
      <c r="E44" s="263"/>
      <c r="F44" s="260"/>
      <c r="G44" s="260"/>
      <c r="H44" s="260"/>
      <c r="J44" s="437">
        <f t="shared" si="1"/>
        <v>0</v>
      </c>
      <c r="M44" s="524"/>
      <c r="N44" s="524"/>
      <c r="O44" s="524"/>
      <c r="P44" s="524"/>
      <c r="Q44" s="524"/>
      <c r="R44" s="524"/>
    </row>
    <row r="45" spans="1:18" ht="20.100000000000001" hidden="1" customHeight="1" outlineLevel="1">
      <c r="A45" s="532"/>
      <c r="B45" s="541" t="s">
        <v>65</v>
      </c>
      <c r="C45" s="542" t="s">
        <v>13</v>
      </c>
      <c r="D45" s="264">
        <f>M45</f>
        <v>0</v>
      </c>
      <c r="E45" s="265">
        <f>VLOOKUP($B45,'VL-NC-M'!$B$6:$F$101,5,0)</f>
        <v>762996</v>
      </c>
      <c r="F45" s="265"/>
      <c r="G45" s="265"/>
      <c r="H45" s="265">
        <f>D45*E45</f>
        <v>0</v>
      </c>
      <c r="J45" s="519">
        <f t="shared" si="1"/>
        <v>0</v>
      </c>
      <c r="K45" s="519">
        <f>+$D45*K$18</f>
        <v>0</v>
      </c>
      <c r="M45" s="524">
        <f>$R$45</f>
        <v>0</v>
      </c>
      <c r="N45" s="524">
        <v>11.57</v>
      </c>
      <c r="O45" s="524">
        <v>12.73</v>
      </c>
      <c r="P45" s="524">
        <v>14</v>
      </c>
      <c r="Q45" s="524">
        <v>15.4</v>
      </c>
      <c r="R45" s="525">
        <v>0</v>
      </c>
    </row>
    <row r="46" spans="1:18" ht="16.5" hidden="1" customHeight="1" outlineLevel="1">
      <c r="A46" s="534"/>
      <c r="B46" s="535" t="s">
        <v>127</v>
      </c>
      <c r="C46" s="516" t="s">
        <v>10</v>
      </c>
      <c r="D46" s="253"/>
      <c r="E46" s="254"/>
      <c r="F46" s="254">
        <f>SUM(F37:F45)</f>
        <v>0</v>
      </c>
      <c r="G46" s="254">
        <f>SUM(G37:G45)</f>
        <v>0</v>
      </c>
      <c r="H46" s="254">
        <f>SUM(H37:H45)</f>
        <v>0</v>
      </c>
      <c r="M46" s="536" t="str">
        <f>$R$46</f>
        <v>Không có</v>
      </c>
      <c r="N46" s="536" t="s">
        <v>184</v>
      </c>
      <c r="O46" s="536" t="s">
        <v>256</v>
      </c>
      <c r="P46" s="536" t="s">
        <v>257</v>
      </c>
      <c r="Q46" s="536" t="s">
        <v>258</v>
      </c>
      <c r="R46" s="537" t="s">
        <v>259</v>
      </c>
    </row>
    <row r="47" spans="1:18" ht="19.95" hidden="1" customHeight="1" outlineLevel="1">
      <c r="B47" s="412"/>
      <c r="C47" s="412"/>
      <c r="D47" s="266"/>
      <c r="E47" s="255"/>
      <c r="F47" s="255"/>
      <c r="G47" s="255"/>
      <c r="H47" s="255"/>
    </row>
    <row r="48" spans="1:18" ht="18" hidden="1" customHeight="1" outlineLevel="1">
      <c r="A48" s="832" t="str">
        <f>"Dò bằng máy đến độ sâu 0,3 m cho 1 ha - Mật độ tín hiệu "&amp;M63</f>
        <v>Dò bằng máy đến độ sâu 0,3 m cho 1 ha - Mật độ tín hiệu Không có</v>
      </c>
      <c r="B48" s="830"/>
      <c r="C48" s="830"/>
      <c r="D48" s="830"/>
      <c r="E48" s="830"/>
      <c r="F48" s="830"/>
      <c r="G48" s="830"/>
      <c r="H48" s="830"/>
    </row>
    <row r="49" spans="1:18" ht="20.100000000000001" hidden="1" customHeight="1" outlineLevel="1">
      <c r="A49" s="830" t="str" cm="1">
        <f t="array" aca="1" ref="A49" ca="1">"Số hiệu định mức: 020.0200."&amp;INDIRECT(ADDRESS(ROW(M52),COLUMN(M52)+M52,1,1))</f>
        <v>Số hiệu định mức: 020.0200.5</v>
      </c>
      <c r="B49" s="830"/>
      <c r="C49" s="830"/>
      <c r="D49" s="830"/>
      <c r="E49" s="830"/>
      <c r="F49" s="830"/>
      <c r="G49" s="830"/>
      <c r="H49" s="830"/>
    </row>
    <row r="50" spans="1:18" s="515" customFormat="1" ht="15" hidden="1" customHeight="1" outlineLevel="1">
      <c r="A50" s="412"/>
      <c r="B50" s="504"/>
      <c r="C50" s="514"/>
      <c r="D50" s="245"/>
      <c r="E50" s="247"/>
      <c r="F50" s="247"/>
      <c r="G50" s="248" t="s">
        <v>129</v>
      </c>
      <c r="H50" s="247"/>
    </row>
    <row r="51" spans="1:18" s="519" customFormat="1" ht="15.75" hidden="1" customHeight="1" outlineLevel="1">
      <c r="A51" s="867" t="s">
        <v>18</v>
      </c>
      <c r="B51" s="867" t="s">
        <v>43</v>
      </c>
      <c r="C51" s="874" t="s">
        <v>42</v>
      </c>
      <c r="D51" s="874" t="s">
        <v>20</v>
      </c>
      <c r="E51" s="874" t="s">
        <v>80</v>
      </c>
      <c r="F51" s="874" t="s">
        <v>17</v>
      </c>
      <c r="G51" s="874"/>
      <c r="H51" s="874"/>
      <c r="M51" s="520" t="s">
        <v>254</v>
      </c>
      <c r="N51" s="836" t="s">
        <v>255</v>
      </c>
      <c r="O51" s="837"/>
      <c r="P51" s="837"/>
      <c r="Q51" s="837"/>
      <c r="R51" s="838"/>
    </row>
    <row r="52" spans="1:18" s="519" customFormat="1" ht="16.2" hidden="1" outlineLevel="1">
      <c r="A52" s="867"/>
      <c r="B52" s="867"/>
      <c r="C52" s="874"/>
      <c r="D52" s="874"/>
      <c r="E52" s="874"/>
      <c r="F52" s="414" t="s">
        <v>59</v>
      </c>
      <c r="G52" s="414" t="s">
        <v>25</v>
      </c>
      <c r="H52" s="414" t="s">
        <v>81</v>
      </c>
      <c r="J52" s="539">
        <v>0</v>
      </c>
      <c r="K52" s="519" t="e">
        <f>'Gia DT TC'!#REF!</f>
        <v>#REF!</v>
      </c>
      <c r="M52" s="521">
        <v>5</v>
      </c>
      <c r="N52" s="522">
        <v>1</v>
      </c>
      <c r="O52" s="522">
        <v>2</v>
      </c>
      <c r="P52" s="522">
        <v>3</v>
      </c>
      <c r="Q52" s="522">
        <v>4</v>
      </c>
      <c r="R52" s="522">
        <v>5</v>
      </c>
    </row>
    <row r="53" spans="1:18" ht="20.100000000000001" hidden="1" customHeight="1" outlineLevel="1">
      <c r="A53" s="517" t="s">
        <v>1</v>
      </c>
      <c r="B53" s="523" t="s">
        <v>59</v>
      </c>
      <c r="C53" s="517" t="s">
        <v>5</v>
      </c>
      <c r="D53" s="258"/>
      <c r="E53" s="258"/>
      <c r="F53" s="258"/>
      <c r="G53" s="258"/>
      <c r="H53" s="258"/>
      <c r="M53" s="524"/>
      <c r="N53" s="524"/>
      <c r="O53" s="524"/>
      <c r="P53" s="524"/>
      <c r="Q53" s="524"/>
      <c r="R53" s="524"/>
    </row>
    <row r="54" spans="1:18" ht="20.100000000000001" hidden="1" customHeight="1" outlineLevel="1">
      <c r="A54" s="531">
        <v>1</v>
      </c>
      <c r="B54" s="540" t="s">
        <v>62</v>
      </c>
      <c r="C54" s="531" t="s">
        <v>41</v>
      </c>
      <c r="D54" s="259">
        <f>M54</f>
        <v>0</v>
      </c>
      <c r="E54" s="162">
        <f>VLOOKUP($B54,'VL-NC-M'!$B$6:$F$101,5,0)</f>
        <v>100000</v>
      </c>
      <c r="F54" s="162">
        <f>+D54*E54</f>
        <v>0</v>
      </c>
      <c r="G54" s="162"/>
      <c r="H54" s="162"/>
      <c r="J54" s="539">
        <f>+$D54*J$52</f>
        <v>0</v>
      </c>
      <c r="K54" s="519">
        <f>+$D54*K$18</f>
        <v>0</v>
      </c>
      <c r="M54" s="524">
        <f>$R$54</f>
        <v>0</v>
      </c>
      <c r="N54" s="524">
        <v>4</v>
      </c>
      <c r="O54" s="524">
        <v>4</v>
      </c>
      <c r="P54" s="524">
        <v>4</v>
      </c>
      <c r="Q54" s="524">
        <v>4</v>
      </c>
      <c r="R54" s="525">
        <v>0</v>
      </c>
    </row>
    <row r="55" spans="1:18" ht="19.95" hidden="1" customHeight="1" outlineLevel="1">
      <c r="A55" s="531">
        <v>2</v>
      </c>
      <c r="B55" s="540" t="s">
        <v>56</v>
      </c>
      <c r="C55" s="531" t="s">
        <v>41</v>
      </c>
      <c r="D55" s="259">
        <f>M55</f>
        <v>0</v>
      </c>
      <c r="E55" s="162">
        <f>VLOOKUP($B55,'VL-NC-M'!$B$6:$F$101,5,0)</f>
        <v>8000</v>
      </c>
      <c r="F55" s="162">
        <f>+D55*E55</f>
        <v>0</v>
      </c>
      <c r="G55" s="162"/>
      <c r="H55" s="162"/>
      <c r="J55" s="519">
        <f t="shared" ref="J55:J62" si="3">+$D55*J$52</f>
        <v>0</v>
      </c>
      <c r="K55" s="519">
        <f t="shared" ref="K55:K57" si="4">+$D55*K$18</f>
        <v>0</v>
      </c>
      <c r="M55" s="524">
        <f>$R$55</f>
        <v>0</v>
      </c>
      <c r="N55" s="524">
        <v>34</v>
      </c>
      <c r="O55" s="524">
        <v>34</v>
      </c>
      <c r="P55" s="524">
        <v>34</v>
      </c>
      <c r="Q55" s="524">
        <v>34</v>
      </c>
      <c r="R55" s="525">
        <v>0</v>
      </c>
    </row>
    <row r="56" spans="1:18" ht="20.100000000000001" hidden="1" customHeight="1" outlineLevel="1">
      <c r="A56" s="531">
        <v>3</v>
      </c>
      <c r="B56" s="540" t="s">
        <v>54</v>
      </c>
      <c r="C56" s="531" t="s">
        <v>4</v>
      </c>
      <c r="D56" s="259">
        <f>M56</f>
        <v>0</v>
      </c>
      <c r="E56" s="162">
        <f>VLOOKUP($B56,'VL-NC-M'!$B$6:$F$101,5,0)</f>
        <v>2000</v>
      </c>
      <c r="F56" s="162">
        <f>+D56*E56</f>
        <v>0</v>
      </c>
      <c r="G56" s="162"/>
      <c r="H56" s="162"/>
      <c r="J56" s="519">
        <f t="shared" si="3"/>
        <v>0</v>
      </c>
      <c r="K56" s="519">
        <f t="shared" si="4"/>
        <v>0</v>
      </c>
      <c r="M56" s="524">
        <f>$R$56</f>
        <v>0</v>
      </c>
      <c r="N56" s="524">
        <v>67</v>
      </c>
      <c r="O56" s="524">
        <v>67</v>
      </c>
      <c r="P56" s="524">
        <v>67</v>
      </c>
      <c r="Q56" s="524">
        <v>67</v>
      </c>
      <c r="R56" s="525">
        <v>0</v>
      </c>
    </row>
    <row r="57" spans="1:18" ht="20.100000000000001" hidden="1" customHeight="1" outlineLevel="1">
      <c r="A57" s="531">
        <v>4</v>
      </c>
      <c r="B57" s="540" t="s">
        <v>55</v>
      </c>
      <c r="C57" s="531" t="s">
        <v>41</v>
      </c>
      <c r="D57" s="259">
        <f>M57</f>
        <v>0</v>
      </c>
      <c r="E57" s="162">
        <f>VLOOKUP($B57,'VL-NC-M'!$B$6:$F$101,5,0)</f>
        <v>2500</v>
      </c>
      <c r="F57" s="162">
        <f>+D57*E57</f>
        <v>0</v>
      </c>
      <c r="G57" s="162"/>
      <c r="H57" s="162"/>
      <c r="J57" s="519">
        <f t="shared" si="3"/>
        <v>0</v>
      </c>
      <c r="K57" s="519">
        <f t="shared" si="4"/>
        <v>0</v>
      </c>
      <c r="M57" s="524">
        <f>$R$57</f>
        <v>0</v>
      </c>
      <c r="N57" s="524">
        <v>2</v>
      </c>
      <c r="O57" s="524">
        <v>4</v>
      </c>
      <c r="P57" s="524">
        <v>6</v>
      </c>
      <c r="Q57" s="524">
        <v>8</v>
      </c>
      <c r="R57" s="525">
        <v>0</v>
      </c>
    </row>
    <row r="58" spans="1:18" ht="20.100000000000001" hidden="1" customHeight="1" outlineLevel="1">
      <c r="A58" s="531">
        <v>5</v>
      </c>
      <c r="B58" s="540" t="s">
        <v>63</v>
      </c>
      <c r="C58" s="531" t="s">
        <v>8</v>
      </c>
      <c r="D58" s="259">
        <f>M58</f>
        <v>0</v>
      </c>
      <c r="E58" s="250"/>
      <c r="F58" s="250">
        <f>5%*SUM(F54:F57)</f>
        <v>0</v>
      </c>
      <c r="G58" s="250"/>
      <c r="H58" s="250"/>
      <c r="J58" s="539">
        <f>+$F58*J$52</f>
        <v>0</v>
      </c>
      <c r="K58" s="519">
        <f>+$F58*K$18</f>
        <v>0</v>
      </c>
      <c r="M58" s="524">
        <f>$R$58</f>
        <v>0</v>
      </c>
      <c r="N58" s="524">
        <v>5</v>
      </c>
      <c r="O58" s="524">
        <v>5</v>
      </c>
      <c r="P58" s="524">
        <v>5</v>
      </c>
      <c r="Q58" s="524">
        <v>5</v>
      </c>
      <c r="R58" s="525">
        <v>0</v>
      </c>
    </row>
    <row r="59" spans="1:18" s="437" customFormat="1" ht="20.100000000000001" hidden="1" customHeight="1" outlineLevel="1">
      <c r="A59" s="526" t="s">
        <v>2</v>
      </c>
      <c r="B59" s="527" t="s">
        <v>25</v>
      </c>
      <c r="C59" s="526" t="s">
        <v>6</v>
      </c>
      <c r="D59" s="260"/>
      <c r="E59" s="260"/>
      <c r="F59" s="260"/>
      <c r="G59" s="260"/>
      <c r="H59" s="260"/>
      <c r="J59" s="437">
        <f t="shared" si="3"/>
        <v>0</v>
      </c>
      <c r="M59" s="524"/>
      <c r="N59" s="524"/>
      <c r="O59" s="524"/>
      <c r="P59" s="524"/>
      <c r="Q59" s="524"/>
      <c r="R59" s="524"/>
    </row>
    <row r="60" spans="1:18" ht="20.100000000000001" hidden="1" customHeight="1" outlineLevel="1">
      <c r="A60" s="526"/>
      <c r="B60" s="530" t="s">
        <v>60</v>
      </c>
      <c r="C60" s="531" t="s">
        <v>40</v>
      </c>
      <c r="D60" s="261">
        <f>M60</f>
        <v>0</v>
      </c>
      <c r="E60" s="162">
        <f>VLOOKUP($B60,'VL-NC-M'!$B$6:$F$101,5,0)</f>
        <v>495000</v>
      </c>
      <c r="F60" s="162"/>
      <c r="G60" s="162">
        <f>+D60*E60</f>
        <v>0</v>
      </c>
      <c r="H60" s="162"/>
      <c r="J60" s="519">
        <f t="shared" si="3"/>
        <v>0</v>
      </c>
      <c r="K60" s="519">
        <f>+$D60*K$18</f>
        <v>0</v>
      </c>
      <c r="M60" s="524">
        <f>$R$60</f>
        <v>0</v>
      </c>
      <c r="N60" s="524">
        <v>17.36</v>
      </c>
      <c r="O60" s="524">
        <v>19.100000000000001</v>
      </c>
      <c r="P60" s="524">
        <v>21</v>
      </c>
      <c r="Q60" s="524">
        <v>23.1</v>
      </c>
      <c r="R60" s="525">
        <v>0</v>
      </c>
    </row>
    <row r="61" spans="1:18" s="437" customFormat="1" ht="20.100000000000001" hidden="1" customHeight="1" outlineLevel="1">
      <c r="A61" s="526" t="s">
        <v>3</v>
      </c>
      <c r="B61" s="527" t="s">
        <v>61</v>
      </c>
      <c r="C61" s="526" t="s">
        <v>7</v>
      </c>
      <c r="D61" s="262"/>
      <c r="E61" s="263"/>
      <c r="F61" s="260"/>
      <c r="G61" s="260"/>
      <c r="H61" s="260"/>
      <c r="J61" s="437">
        <f t="shared" si="3"/>
        <v>0</v>
      </c>
      <c r="M61" s="524"/>
      <c r="N61" s="524"/>
      <c r="O61" s="524"/>
      <c r="P61" s="524"/>
      <c r="Q61" s="524"/>
      <c r="R61" s="524"/>
    </row>
    <row r="62" spans="1:18" ht="20.100000000000001" hidden="1" customHeight="1" outlineLevel="1">
      <c r="A62" s="532"/>
      <c r="B62" s="541" t="s">
        <v>65</v>
      </c>
      <c r="C62" s="542" t="s">
        <v>13</v>
      </c>
      <c r="D62" s="264">
        <f>M62</f>
        <v>0</v>
      </c>
      <c r="E62" s="265">
        <f>VLOOKUP($B62,'VL-NC-M'!$B$6:$F$101,5,0)</f>
        <v>762996</v>
      </c>
      <c r="F62" s="265"/>
      <c r="G62" s="265"/>
      <c r="H62" s="265">
        <f>D62*E62</f>
        <v>0</v>
      </c>
      <c r="J62" s="519">
        <f t="shared" si="3"/>
        <v>0</v>
      </c>
      <c r="K62" s="519">
        <f>+$D62*K$18</f>
        <v>0</v>
      </c>
      <c r="M62" s="524">
        <f>$R$62</f>
        <v>0</v>
      </c>
      <c r="N62" s="524">
        <v>11.57</v>
      </c>
      <c r="O62" s="524">
        <v>12.73</v>
      </c>
      <c r="P62" s="524">
        <v>14</v>
      </c>
      <c r="Q62" s="524">
        <v>15.4</v>
      </c>
      <c r="R62" s="525">
        <v>0</v>
      </c>
    </row>
    <row r="63" spans="1:18" ht="16.5" hidden="1" customHeight="1" outlineLevel="1">
      <c r="A63" s="534"/>
      <c r="B63" s="535" t="s">
        <v>127</v>
      </c>
      <c r="C63" s="516" t="s">
        <v>10</v>
      </c>
      <c r="D63" s="253"/>
      <c r="E63" s="254"/>
      <c r="F63" s="254">
        <f>SUM(F54:F62)</f>
        <v>0</v>
      </c>
      <c r="G63" s="254">
        <f>SUM(G54:G62)</f>
        <v>0</v>
      </c>
      <c r="H63" s="254">
        <f>SUM(H54:H62)</f>
        <v>0</v>
      </c>
      <c r="M63" s="536" t="str">
        <f>$R$63</f>
        <v>Không có</v>
      </c>
      <c r="N63" s="536" t="s">
        <v>184</v>
      </c>
      <c r="O63" s="536" t="s">
        <v>256</v>
      </c>
      <c r="P63" s="536" t="s">
        <v>257</v>
      </c>
      <c r="Q63" s="536" t="s">
        <v>258</v>
      </c>
      <c r="R63" s="537" t="s">
        <v>259</v>
      </c>
    </row>
    <row r="64" spans="1:18" ht="56.4" customHeight="1" collapsed="1">
      <c r="A64" s="514"/>
      <c r="B64" s="538"/>
      <c r="C64" s="412"/>
      <c r="D64" s="266"/>
      <c r="E64" s="255"/>
      <c r="F64" s="255"/>
      <c r="G64" s="255"/>
      <c r="H64" s="255"/>
      <c r="M64" s="543"/>
      <c r="N64" s="543"/>
      <c r="O64" s="543"/>
      <c r="P64" s="543"/>
      <c r="Q64" s="543"/>
      <c r="R64" s="543"/>
    </row>
    <row r="65" spans="1:21" ht="20.100000000000001" customHeight="1">
      <c r="A65" s="830" t="str">
        <f>"Xử lý tín hiệu cho 1 ha trên cạn ở độ sâu 0,3 m - "&amp;M75</f>
        <v>Xử lý tín hiệu cho 1 ha trên cạn ở độ sâu 0,3 m - Đất cấp 1</v>
      </c>
      <c r="B65" s="830"/>
      <c r="C65" s="830"/>
      <c r="D65" s="830"/>
      <c r="E65" s="830"/>
      <c r="F65" s="830"/>
      <c r="G65" s="830"/>
      <c r="H65" s="830"/>
    </row>
    <row r="66" spans="1:21" ht="15.6" customHeight="1">
      <c r="A66" s="830" t="str" cm="1">
        <f t="array" aca="1" ref="A66" ca="1">"Số hiệu định mức: 020.0300."&amp;INDIRECT(ADDRESS(ROW(M69),COLUMN(M69)+M69,1,1))</f>
        <v>Số hiệu định mức: 020.0300.1</v>
      </c>
      <c r="B66" s="830"/>
      <c r="C66" s="830"/>
      <c r="D66" s="830"/>
      <c r="E66" s="830"/>
      <c r="F66" s="830"/>
      <c r="G66" s="830"/>
      <c r="H66" s="830"/>
    </row>
    <row r="67" spans="1:21" s="515" customFormat="1" ht="15.6" customHeight="1">
      <c r="A67" s="412"/>
      <c r="B67" s="504"/>
      <c r="C67" s="514"/>
      <c r="D67" s="245"/>
      <c r="E67" s="247"/>
      <c r="F67" s="247"/>
      <c r="G67" s="248" t="s">
        <v>130</v>
      </c>
      <c r="H67" s="247"/>
    </row>
    <row r="68" spans="1:21" s="519" customFormat="1" ht="15.75" customHeight="1">
      <c r="A68" s="867" t="s">
        <v>18</v>
      </c>
      <c r="B68" s="867" t="s">
        <v>43</v>
      </c>
      <c r="C68" s="874" t="s">
        <v>42</v>
      </c>
      <c r="D68" s="874" t="s">
        <v>20</v>
      </c>
      <c r="E68" s="874" t="s">
        <v>80</v>
      </c>
      <c r="F68" s="874" t="s">
        <v>17</v>
      </c>
      <c r="G68" s="874"/>
      <c r="H68" s="874"/>
      <c r="M68" s="520" t="s">
        <v>254</v>
      </c>
      <c r="N68" s="836" t="s">
        <v>255</v>
      </c>
      <c r="O68" s="837"/>
      <c r="P68" s="837"/>
      <c r="Q68" s="837"/>
      <c r="R68" s="838"/>
    </row>
    <row r="69" spans="1:21" s="519" customFormat="1" ht="16.2">
      <c r="A69" s="867"/>
      <c r="B69" s="867"/>
      <c r="C69" s="874"/>
      <c r="D69" s="874"/>
      <c r="E69" s="874"/>
      <c r="F69" s="414" t="s">
        <v>59</v>
      </c>
      <c r="G69" s="414" t="s">
        <v>25</v>
      </c>
      <c r="H69" s="414" t="s">
        <v>81</v>
      </c>
      <c r="J69" s="519">
        <f>'Gia DT TC'!D14</f>
        <v>267</v>
      </c>
      <c r="K69" s="519">
        <f>'Gia DT TC'!E14</f>
        <v>0</v>
      </c>
      <c r="M69" s="521">
        <v>1</v>
      </c>
      <c r="N69" s="522">
        <v>1</v>
      </c>
      <c r="O69" s="522">
        <v>2</v>
      </c>
      <c r="P69" s="522">
        <v>3</v>
      </c>
      <c r="Q69" s="522">
        <v>4</v>
      </c>
      <c r="R69" s="522">
        <v>5</v>
      </c>
    </row>
    <row r="70" spans="1:21" ht="20.100000000000001" customHeight="1">
      <c r="A70" s="517" t="s">
        <v>1</v>
      </c>
      <c r="B70" s="523" t="s">
        <v>59</v>
      </c>
      <c r="C70" s="517" t="s">
        <v>5</v>
      </c>
      <c r="D70" s="258"/>
      <c r="E70" s="258"/>
      <c r="F70" s="258"/>
      <c r="G70" s="258"/>
      <c r="H70" s="258"/>
      <c r="M70" s="524"/>
      <c r="N70" s="524"/>
      <c r="O70" s="524"/>
      <c r="P70" s="524"/>
      <c r="Q70" s="524"/>
      <c r="R70" s="524"/>
    </row>
    <row r="71" spans="1:21" s="519" customFormat="1" ht="20.100000000000001" customHeight="1">
      <c r="A71" s="526" t="s">
        <v>2</v>
      </c>
      <c r="B71" s="527" t="s">
        <v>25</v>
      </c>
      <c r="C71" s="528" t="s">
        <v>6</v>
      </c>
      <c r="D71" s="528"/>
      <c r="E71" s="528"/>
      <c r="F71" s="528"/>
      <c r="G71" s="528"/>
      <c r="H71" s="528"/>
      <c r="M71" s="524"/>
      <c r="N71" s="524"/>
      <c r="O71" s="524"/>
      <c r="P71" s="524"/>
      <c r="Q71" s="524"/>
      <c r="R71" s="524"/>
    </row>
    <row r="72" spans="1:21" s="515" customFormat="1" ht="20.100000000000001" customHeight="1">
      <c r="A72" s="526"/>
      <c r="B72" s="530" t="s">
        <v>64</v>
      </c>
      <c r="C72" s="531" t="s">
        <v>40</v>
      </c>
      <c r="D72" s="261">
        <f>M72</f>
        <v>0.06</v>
      </c>
      <c r="E72" s="162">
        <f>VLOOKUP($B72,'VL-NC-M'!$B$6:$F$101,5,0)</f>
        <v>517500</v>
      </c>
      <c r="F72" s="162"/>
      <c r="G72" s="162">
        <f>+D72*E72</f>
        <v>31050</v>
      </c>
      <c r="H72" s="162"/>
      <c r="J72" s="519">
        <f>+$D72*J$69</f>
        <v>16.02</v>
      </c>
      <c r="K72" s="519">
        <f>+$D72*K$69</f>
        <v>0</v>
      </c>
      <c r="M72" s="524">
        <f>$N$72</f>
        <v>0.06</v>
      </c>
      <c r="N72" s="525">
        <v>0.06</v>
      </c>
      <c r="O72" s="524">
        <v>7.8E-2</v>
      </c>
      <c r="P72" s="524">
        <v>0.107</v>
      </c>
      <c r="Q72" s="524">
        <v>0.16</v>
      </c>
      <c r="R72" s="524">
        <v>0</v>
      </c>
    </row>
    <row r="73" spans="1:21" s="519" customFormat="1" ht="20.100000000000001" customHeight="1">
      <c r="A73" s="526" t="s">
        <v>3</v>
      </c>
      <c r="B73" s="527" t="s">
        <v>61</v>
      </c>
      <c r="C73" s="526" t="s">
        <v>7</v>
      </c>
      <c r="D73" s="262"/>
      <c r="E73" s="260"/>
      <c r="F73" s="260"/>
      <c r="G73" s="260"/>
      <c r="H73" s="260"/>
      <c r="M73" s="524"/>
      <c r="N73" s="524"/>
      <c r="O73" s="524"/>
      <c r="P73" s="524"/>
      <c r="Q73" s="524"/>
      <c r="R73" s="524"/>
    </row>
    <row r="74" spans="1:21" s="519" customFormat="1" ht="20.100000000000001" customHeight="1">
      <c r="A74" s="532"/>
      <c r="B74" s="541" t="s">
        <v>65</v>
      </c>
      <c r="C74" s="542" t="s">
        <v>13</v>
      </c>
      <c r="D74" s="267">
        <f>M74</f>
        <v>1.4E-2</v>
      </c>
      <c r="E74" s="265">
        <f>VLOOKUP($B74,'VL-NC-M'!$B$6:$F$101,5,0)</f>
        <v>762996</v>
      </c>
      <c r="F74" s="265"/>
      <c r="G74" s="265"/>
      <c r="H74" s="265">
        <f>D74*E74</f>
        <v>10681.944</v>
      </c>
      <c r="J74" s="519">
        <f>+$D74*J$69</f>
        <v>3.738</v>
      </c>
      <c r="K74" s="519">
        <f>+$D74*K$69</f>
        <v>0</v>
      </c>
      <c r="M74" s="544">
        <f>$N$74</f>
        <v>1.4E-2</v>
      </c>
      <c r="N74" s="545">
        <v>1.4E-2</v>
      </c>
      <c r="O74" s="544">
        <v>1.4E-2</v>
      </c>
      <c r="P74" s="544">
        <v>1.4E-2</v>
      </c>
      <c r="Q74" s="544">
        <v>1.4E-2</v>
      </c>
      <c r="R74" s="544">
        <v>0</v>
      </c>
      <c r="S74" s="515"/>
      <c r="T74" s="515"/>
      <c r="U74" s="515"/>
    </row>
    <row r="75" spans="1:21" ht="20.100000000000001" customHeight="1">
      <c r="A75" s="534"/>
      <c r="B75" s="535" t="s">
        <v>127</v>
      </c>
      <c r="C75" s="516" t="s">
        <v>10</v>
      </c>
      <c r="D75" s="253"/>
      <c r="E75" s="254"/>
      <c r="F75" s="254">
        <f>SUM(F70:F74)</f>
        <v>0</v>
      </c>
      <c r="G75" s="254">
        <f>SUM(G71:G74)</f>
        <v>31050</v>
      </c>
      <c r="H75" s="254">
        <f>SUM(H71:H74)</f>
        <v>10681.944</v>
      </c>
      <c r="M75" s="536" t="str">
        <f>$N$75</f>
        <v>Đất cấp 1</v>
      </c>
      <c r="N75" s="537" t="s">
        <v>260</v>
      </c>
      <c r="O75" s="536" t="s">
        <v>261</v>
      </c>
      <c r="P75" s="536" t="s">
        <v>262</v>
      </c>
      <c r="Q75" s="536" t="s">
        <v>263</v>
      </c>
      <c r="R75" s="536" t="s">
        <v>259</v>
      </c>
    </row>
    <row r="76" spans="1:21" ht="20.100000000000001" customHeight="1">
      <c r="B76" s="538"/>
      <c r="C76" s="437"/>
      <c r="D76" s="437"/>
      <c r="E76" s="437"/>
      <c r="F76" s="256"/>
      <c r="G76" s="256"/>
      <c r="H76" s="256"/>
    </row>
    <row r="77" spans="1:21" ht="20.100000000000001" hidden="1" customHeight="1">
      <c r="B77" s="538"/>
      <c r="C77" s="437"/>
      <c r="D77" s="437"/>
      <c r="E77" s="437"/>
      <c r="F77" s="256"/>
      <c r="G77" s="256"/>
      <c r="H77" s="256"/>
    </row>
    <row r="78" spans="1:21">
      <c r="B78" s="538"/>
      <c r="C78" s="437"/>
      <c r="D78" s="437"/>
      <c r="E78" s="437"/>
      <c r="F78" s="256"/>
      <c r="G78" s="256"/>
      <c r="H78" s="256"/>
    </row>
    <row r="79" spans="1:21" ht="37.5" customHeight="1">
      <c r="A79" s="832" t="s">
        <v>128</v>
      </c>
      <c r="B79" s="830"/>
      <c r="C79" s="830"/>
      <c r="D79" s="830"/>
      <c r="E79" s="830"/>
      <c r="F79" s="830"/>
      <c r="G79" s="830"/>
      <c r="H79" s="830"/>
    </row>
    <row r="80" spans="1:21">
      <c r="A80" s="830" t="str" cm="1">
        <f t="array" aca="1" ref="A80" ca="1">"Số hiệu định mức: 020.0500."&amp;INDIRECT(ADDRESS(ROW(M83),COLUMN(M83)+M83,1,1))</f>
        <v>Số hiệu định mức: 020.0500.2</v>
      </c>
      <c r="B80" s="830"/>
      <c r="C80" s="830"/>
      <c r="D80" s="830"/>
      <c r="E80" s="830"/>
      <c r="F80" s="830"/>
      <c r="G80" s="830"/>
      <c r="H80" s="830"/>
    </row>
    <row r="81" spans="1:18" ht="18.75" customHeight="1">
      <c r="E81" s="247"/>
      <c r="F81" s="247"/>
      <c r="G81" s="248" t="s">
        <v>129</v>
      </c>
      <c r="H81" s="247"/>
    </row>
    <row r="82" spans="1:18" ht="15.75" customHeight="1">
      <c r="A82" s="867" t="s">
        <v>18</v>
      </c>
      <c r="B82" s="867" t="s">
        <v>43</v>
      </c>
      <c r="C82" s="874" t="s">
        <v>42</v>
      </c>
      <c r="D82" s="874" t="s">
        <v>20</v>
      </c>
      <c r="E82" s="874" t="s">
        <v>80</v>
      </c>
      <c r="F82" s="874" t="s">
        <v>17</v>
      </c>
      <c r="G82" s="874"/>
      <c r="H82" s="874"/>
      <c r="M82" s="520" t="s">
        <v>254</v>
      </c>
      <c r="N82" s="836" t="s">
        <v>255</v>
      </c>
      <c r="O82" s="837"/>
      <c r="P82" s="837"/>
      <c r="Q82" s="837"/>
      <c r="R82" s="838"/>
    </row>
    <row r="83" spans="1:18">
      <c r="A83" s="867"/>
      <c r="B83" s="867"/>
      <c r="C83" s="874"/>
      <c r="D83" s="874"/>
      <c r="E83" s="874"/>
      <c r="F83" s="414" t="s">
        <v>59</v>
      </c>
      <c r="G83" s="414" t="s">
        <v>25</v>
      </c>
      <c r="H83" s="414" t="s">
        <v>81</v>
      </c>
      <c r="J83" s="546">
        <f>'Gia DT TC'!D15</f>
        <v>2.4699999999999998</v>
      </c>
      <c r="K83" s="546">
        <f>'Gia DT TC'!E15</f>
        <v>0</v>
      </c>
      <c r="M83" s="521">
        <v>1</v>
      </c>
      <c r="N83" s="522">
        <v>2</v>
      </c>
      <c r="O83" s="522">
        <v>3</v>
      </c>
      <c r="P83" s="522">
        <v>4</v>
      </c>
      <c r="Q83" s="522">
        <v>5</v>
      </c>
      <c r="R83" s="522">
        <v>6</v>
      </c>
    </row>
    <row r="84" spans="1:18">
      <c r="A84" s="517" t="s">
        <v>1</v>
      </c>
      <c r="B84" s="523" t="s">
        <v>59</v>
      </c>
      <c r="C84" s="517" t="s">
        <v>5</v>
      </c>
      <c r="D84" s="258"/>
      <c r="E84" s="258"/>
      <c r="F84" s="258"/>
      <c r="G84" s="258"/>
      <c r="H84" s="258"/>
      <c r="M84" s="524">
        <f>$N$84</f>
        <v>0</v>
      </c>
      <c r="N84" s="525"/>
      <c r="O84" s="524"/>
      <c r="P84" s="524"/>
      <c r="Q84" s="524"/>
      <c r="R84" s="524"/>
    </row>
    <row r="85" spans="1:18" ht="16.2">
      <c r="A85" s="531">
        <v>1</v>
      </c>
      <c r="B85" s="540" t="s">
        <v>56</v>
      </c>
      <c r="C85" s="531" t="s">
        <v>41</v>
      </c>
      <c r="D85" s="250">
        <f>M85</f>
        <v>50</v>
      </c>
      <c r="E85" s="162">
        <f>VLOOKUP($B85,'VL-NC-M'!$B$6:$F$101,5,0)</f>
        <v>8000</v>
      </c>
      <c r="F85" s="162">
        <f>+D85*E85</f>
        <v>400000</v>
      </c>
      <c r="G85" s="162"/>
      <c r="H85" s="162"/>
      <c r="J85" s="519">
        <f t="shared" ref="J85:K87" si="5">+$D85*J$83</f>
        <v>123.49999999999999</v>
      </c>
      <c r="K85" s="519">
        <f t="shared" si="5"/>
        <v>0</v>
      </c>
      <c r="M85" s="524">
        <f>$N$85</f>
        <v>50</v>
      </c>
      <c r="N85" s="525">
        <v>50</v>
      </c>
      <c r="O85" s="524">
        <v>0</v>
      </c>
      <c r="P85" s="524"/>
      <c r="Q85" s="524"/>
      <c r="R85" s="524"/>
    </row>
    <row r="86" spans="1:18" ht="16.2">
      <c r="A86" s="531">
        <v>2</v>
      </c>
      <c r="B86" s="540" t="s">
        <v>54</v>
      </c>
      <c r="C86" s="531" t="s">
        <v>4</v>
      </c>
      <c r="D86" s="250">
        <f>M86</f>
        <v>100</v>
      </c>
      <c r="E86" s="162">
        <f>VLOOKUP($B86,'VL-NC-M'!$B$6:$F$101,5,0)</f>
        <v>2000</v>
      </c>
      <c r="F86" s="162">
        <f>+D86*E86</f>
        <v>200000</v>
      </c>
      <c r="G86" s="162"/>
      <c r="H86" s="162"/>
      <c r="J86" s="519">
        <f t="shared" si="5"/>
        <v>246.99999999999997</v>
      </c>
      <c r="K86" s="519">
        <f t="shared" si="5"/>
        <v>0</v>
      </c>
      <c r="M86" s="524">
        <f>$N$86</f>
        <v>100</v>
      </c>
      <c r="N86" s="525">
        <v>100</v>
      </c>
      <c r="O86" s="524">
        <v>0</v>
      </c>
      <c r="P86" s="524"/>
      <c r="Q86" s="524"/>
      <c r="R86" s="524"/>
    </row>
    <row r="87" spans="1:18" ht="16.2">
      <c r="A87" s="531">
        <v>3</v>
      </c>
      <c r="B87" s="540" t="s">
        <v>57</v>
      </c>
      <c r="C87" s="531" t="s">
        <v>41</v>
      </c>
      <c r="D87" s="250">
        <f>M87</f>
        <v>1</v>
      </c>
      <c r="E87" s="162">
        <f>VLOOKUP($B87,'VL-NC-M'!$B$6:$F$101,5,0)</f>
        <v>10000</v>
      </c>
      <c r="F87" s="162">
        <f>+D87*E87</f>
        <v>10000</v>
      </c>
      <c r="G87" s="162"/>
      <c r="H87" s="162"/>
      <c r="J87" s="519">
        <f t="shared" si="5"/>
        <v>2.4699999999999998</v>
      </c>
      <c r="K87" s="519">
        <f t="shared" si="5"/>
        <v>0</v>
      </c>
      <c r="M87" s="524">
        <f>$N$87</f>
        <v>1</v>
      </c>
      <c r="N87" s="525">
        <v>1</v>
      </c>
      <c r="O87" s="524">
        <v>0</v>
      </c>
      <c r="P87" s="524"/>
      <c r="Q87" s="524"/>
      <c r="R87" s="524"/>
    </row>
    <row r="88" spans="1:18" ht="16.2">
      <c r="A88" s="531">
        <v>4</v>
      </c>
      <c r="B88" s="540" t="s">
        <v>63</v>
      </c>
      <c r="C88" s="531" t="s">
        <v>8</v>
      </c>
      <c r="D88" s="250">
        <f>M88</f>
        <v>5</v>
      </c>
      <c r="E88" s="250"/>
      <c r="F88" s="250">
        <f>5%*SUM(F85:F87)</f>
        <v>30500</v>
      </c>
      <c r="G88" s="250"/>
      <c r="H88" s="250"/>
      <c r="J88" s="519">
        <f>+$F88*J$83</f>
        <v>75334.999999999985</v>
      </c>
      <c r="K88" s="519">
        <f>+$F88*K$83</f>
        <v>0</v>
      </c>
      <c r="M88" s="524">
        <f>$N$88</f>
        <v>5</v>
      </c>
      <c r="N88" s="525">
        <v>5</v>
      </c>
      <c r="O88" s="524">
        <v>0</v>
      </c>
      <c r="P88" s="524"/>
      <c r="Q88" s="524"/>
      <c r="R88" s="524"/>
    </row>
    <row r="89" spans="1:18">
      <c r="A89" s="526" t="s">
        <v>2</v>
      </c>
      <c r="B89" s="527" t="s">
        <v>25</v>
      </c>
      <c r="C89" s="526" t="s">
        <v>6</v>
      </c>
      <c r="D89" s="260"/>
      <c r="E89" s="260"/>
      <c r="F89" s="260"/>
      <c r="G89" s="260"/>
      <c r="H89" s="260"/>
      <c r="M89" s="524">
        <f>$N$89</f>
        <v>0</v>
      </c>
      <c r="N89" s="525"/>
      <c r="O89" s="524"/>
      <c r="P89" s="524"/>
      <c r="Q89" s="524"/>
      <c r="R89" s="524"/>
    </row>
    <row r="90" spans="1:18" ht="16.2">
      <c r="A90" s="526"/>
      <c r="B90" s="530" t="s">
        <v>60</v>
      </c>
      <c r="C90" s="531" t="s">
        <v>40</v>
      </c>
      <c r="D90" s="261">
        <f>M90</f>
        <v>7.05</v>
      </c>
      <c r="E90" s="162">
        <f>VLOOKUP($B90,'VL-NC-M'!$B$6:$F$101,5,0)</f>
        <v>495000</v>
      </c>
      <c r="F90" s="162"/>
      <c r="G90" s="162">
        <f>+D90*E90</f>
        <v>3489750</v>
      </c>
      <c r="H90" s="162"/>
      <c r="J90" s="519">
        <f>+$D90*J$83</f>
        <v>17.413499999999999</v>
      </c>
      <c r="K90" s="519">
        <f>+$D90*K$83</f>
        <v>0</v>
      </c>
      <c r="M90" s="524">
        <f>$N$90</f>
        <v>7.05</v>
      </c>
      <c r="N90" s="525">
        <v>7.05</v>
      </c>
      <c r="O90" s="524">
        <v>0</v>
      </c>
      <c r="P90" s="524"/>
      <c r="Q90" s="524"/>
      <c r="R90" s="524"/>
    </row>
    <row r="91" spans="1:18">
      <c r="A91" s="526" t="s">
        <v>3</v>
      </c>
      <c r="B91" s="527" t="s">
        <v>61</v>
      </c>
      <c r="C91" s="526"/>
      <c r="D91" s="262"/>
      <c r="E91" s="260"/>
      <c r="F91" s="260"/>
      <c r="G91" s="260"/>
      <c r="H91" s="260"/>
      <c r="M91" s="524">
        <f>$N$91</f>
        <v>0</v>
      </c>
      <c r="N91" s="525"/>
      <c r="O91" s="524"/>
      <c r="P91" s="524"/>
      <c r="Q91" s="524"/>
      <c r="R91" s="524"/>
    </row>
    <row r="92" spans="1:18" ht="16.2">
      <c r="A92" s="532"/>
      <c r="B92" s="541" t="s">
        <v>47</v>
      </c>
      <c r="C92" s="542" t="s">
        <v>13</v>
      </c>
      <c r="D92" s="264">
        <f>M92</f>
        <v>4.7</v>
      </c>
      <c r="E92" s="265">
        <f>VLOOKUP($B92,'VL-NC-M'!$B$6:$F$101,5,0)</f>
        <v>1070324</v>
      </c>
      <c r="F92" s="265"/>
      <c r="G92" s="265"/>
      <c r="H92" s="265">
        <f>D92*E92</f>
        <v>5030522.8</v>
      </c>
      <c r="J92" s="519">
        <f>+$D92*J$83</f>
        <v>11.609</v>
      </c>
      <c r="K92" s="519">
        <f>+$D92*K$83</f>
        <v>0</v>
      </c>
      <c r="M92" s="524">
        <f>$N$92</f>
        <v>4.7</v>
      </c>
      <c r="N92" s="525">
        <v>4.7</v>
      </c>
      <c r="O92" s="524">
        <v>0</v>
      </c>
      <c r="P92" s="524"/>
      <c r="Q92" s="524"/>
      <c r="R92" s="524"/>
    </row>
    <row r="93" spans="1:18">
      <c r="A93" s="534"/>
      <c r="B93" s="535" t="s">
        <v>127</v>
      </c>
      <c r="C93" s="516" t="s">
        <v>10</v>
      </c>
      <c r="D93" s="253"/>
      <c r="E93" s="254"/>
      <c r="F93" s="254">
        <f>SUM(F85:F92)</f>
        <v>640500</v>
      </c>
      <c r="G93" s="254">
        <f>SUM(G85:G92)</f>
        <v>3489750</v>
      </c>
      <c r="H93" s="254">
        <f>SUM(H85:H92)</f>
        <v>5030522.8</v>
      </c>
      <c r="M93" s="536" t="str">
        <f>$N$93</f>
        <v>Đất cấp 2</v>
      </c>
      <c r="N93" s="537" t="s">
        <v>261</v>
      </c>
      <c r="O93" s="536" t="s">
        <v>259</v>
      </c>
      <c r="P93" s="459"/>
      <c r="Q93" s="459"/>
      <c r="R93" s="459"/>
    </row>
    <row r="94" spans="1:18">
      <c r="B94" s="538"/>
      <c r="D94" s="268"/>
      <c r="E94" s="247"/>
      <c r="F94" s="256"/>
      <c r="G94" s="256"/>
      <c r="H94" s="256"/>
    </row>
    <row r="95" spans="1:18" ht="20.100000000000001" customHeight="1">
      <c r="B95" s="538"/>
      <c r="C95" s="437"/>
      <c r="D95" s="437"/>
      <c r="E95" s="437"/>
      <c r="F95" s="256"/>
      <c r="G95" s="256"/>
      <c r="H95" s="256"/>
    </row>
    <row r="96" spans="1:18" ht="20.100000000000001" customHeight="1">
      <c r="B96" s="437"/>
      <c r="C96" s="437"/>
      <c r="D96" s="437"/>
      <c r="E96" s="437"/>
      <c r="F96" s="437"/>
      <c r="G96" s="437"/>
      <c r="H96" s="437"/>
    </row>
    <row r="97" spans="1:18" ht="37.5" hidden="1" customHeight="1" outlineLevel="1">
      <c r="A97" s="832" t="s">
        <v>168</v>
      </c>
      <c r="B97" s="830"/>
      <c r="C97" s="830"/>
      <c r="D97" s="830"/>
      <c r="E97" s="830"/>
      <c r="F97" s="830"/>
      <c r="G97" s="830"/>
      <c r="H97" s="830"/>
    </row>
    <row r="98" spans="1:18" hidden="1" outlineLevel="1">
      <c r="A98" s="830" t="str" cm="1">
        <f t="array" aca="1" ref="A98" ca="1">"Số hiệu định mức: 020.0500."&amp;INDIRECT(ADDRESS(ROW(M101),COLUMN(M101)+M101,1,1))</f>
        <v>Số hiệu định mức: 020.0500.4</v>
      </c>
      <c r="B98" s="830"/>
      <c r="C98" s="830"/>
      <c r="D98" s="830"/>
      <c r="E98" s="830"/>
      <c r="F98" s="830"/>
      <c r="G98" s="830"/>
      <c r="H98" s="830"/>
    </row>
    <row r="99" spans="1:18" ht="18.75" hidden="1" customHeight="1" outlineLevel="1">
      <c r="E99" s="247"/>
      <c r="F99" s="247"/>
      <c r="G99" s="248" t="s">
        <v>129</v>
      </c>
      <c r="H99" s="247"/>
    </row>
    <row r="100" spans="1:18" ht="15.75" hidden="1" customHeight="1" outlineLevel="1">
      <c r="A100" s="867" t="s">
        <v>18</v>
      </c>
      <c r="B100" s="867" t="s">
        <v>43</v>
      </c>
      <c r="C100" s="874" t="s">
        <v>42</v>
      </c>
      <c r="D100" s="874" t="s">
        <v>20</v>
      </c>
      <c r="E100" s="874" t="s">
        <v>80</v>
      </c>
      <c r="F100" s="874" t="s">
        <v>17</v>
      </c>
      <c r="G100" s="874"/>
      <c r="H100" s="874"/>
      <c r="M100" s="520" t="s">
        <v>254</v>
      </c>
      <c r="N100" s="836" t="s">
        <v>255</v>
      </c>
      <c r="O100" s="837"/>
      <c r="P100" s="837"/>
      <c r="Q100" s="837"/>
      <c r="R100" s="838"/>
    </row>
    <row r="101" spans="1:18" hidden="1" outlineLevel="1">
      <c r="A101" s="867"/>
      <c r="B101" s="867"/>
      <c r="C101" s="874"/>
      <c r="D101" s="874"/>
      <c r="E101" s="874"/>
      <c r="F101" s="414" t="s">
        <v>59</v>
      </c>
      <c r="G101" s="414" t="s">
        <v>25</v>
      </c>
      <c r="H101" s="414" t="s">
        <v>81</v>
      </c>
      <c r="J101" s="547">
        <f>'Gia DT TC'!D16</f>
        <v>0</v>
      </c>
      <c r="K101" s="547">
        <f>'Gia DT TC'!E16</f>
        <v>0</v>
      </c>
      <c r="M101" s="522">
        <v>2</v>
      </c>
      <c r="N101" s="522">
        <v>3</v>
      </c>
      <c r="O101" s="522">
        <v>4</v>
      </c>
      <c r="P101" s="522">
        <v>5</v>
      </c>
      <c r="Q101" s="522">
        <v>6</v>
      </c>
      <c r="R101" s="522">
        <v>7</v>
      </c>
    </row>
    <row r="102" spans="1:18" hidden="1" outlineLevel="1">
      <c r="A102" s="517" t="s">
        <v>1</v>
      </c>
      <c r="B102" s="523" t="s">
        <v>59</v>
      </c>
      <c r="C102" s="517" t="s">
        <v>5</v>
      </c>
      <c r="D102" s="258"/>
      <c r="E102" s="258"/>
      <c r="F102" s="258"/>
      <c r="G102" s="258"/>
      <c r="H102" s="258"/>
      <c r="M102" s="524"/>
      <c r="N102" s="524"/>
      <c r="O102" s="524"/>
      <c r="P102" s="524"/>
      <c r="Q102" s="524"/>
      <c r="R102" s="524"/>
    </row>
    <row r="103" spans="1:18" ht="16.2" hidden="1" outlineLevel="1">
      <c r="A103" s="531">
        <v>1</v>
      </c>
      <c r="B103" s="540" t="s">
        <v>56</v>
      </c>
      <c r="C103" s="531" t="s">
        <v>41</v>
      </c>
      <c r="D103" s="250">
        <f>M103</f>
        <v>0</v>
      </c>
      <c r="E103" s="162">
        <f>VLOOKUP($B103,'VL-NC-M'!$B$6:$F$101,5,0)</f>
        <v>8000</v>
      </c>
      <c r="F103" s="162">
        <f>+D103*E103</f>
        <v>0</v>
      </c>
      <c r="G103" s="162"/>
      <c r="H103" s="162"/>
      <c r="J103" s="519">
        <f t="shared" ref="J103:K105" si="6">+$D103*J$101</f>
        <v>0</v>
      </c>
      <c r="K103" s="519">
        <f t="shared" si="6"/>
        <v>0</v>
      </c>
      <c r="M103" s="524">
        <f>$O$103</f>
        <v>0</v>
      </c>
      <c r="N103" s="524">
        <v>50</v>
      </c>
      <c r="O103" s="525">
        <v>0</v>
      </c>
      <c r="P103" s="524"/>
      <c r="Q103" s="524"/>
      <c r="R103" s="524"/>
    </row>
    <row r="104" spans="1:18" ht="16.2" hidden="1" outlineLevel="1">
      <c r="A104" s="531">
        <v>2</v>
      </c>
      <c r="B104" s="540" t="s">
        <v>54</v>
      </c>
      <c r="C104" s="531" t="s">
        <v>4</v>
      </c>
      <c r="D104" s="250">
        <f>M104</f>
        <v>0</v>
      </c>
      <c r="E104" s="162">
        <f>VLOOKUP($B104,'VL-NC-M'!$B$6:$F$101,5,0)</f>
        <v>2000</v>
      </c>
      <c r="F104" s="162">
        <f>+D104*E104</f>
        <v>0</v>
      </c>
      <c r="G104" s="162"/>
      <c r="H104" s="162"/>
      <c r="J104" s="519">
        <f t="shared" si="6"/>
        <v>0</v>
      </c>
      <c r="K104" s="519">
        <f t="shared" si="6"/>
        <v>0</v>
      </c>
      <c r="M104" s="524">
        <f>$O$104</f>
        <v>0</v>
      </c>
      <c r="N104" s="524">
        <v>100</v>
      </c>
      <c r="O104" s="525">
        <v>0</v>
      </c>
      <c r="P104" s="524"/>
      <c r="Q104" s="524"/>
      <c r="R104" s="524"/>
    </row>
    <row r="105" spans="1:18" ht="16.2" hidden="1" outlineLevel="1">
      <c r="A105" s="531">
        <v>3</v>
      </c>
      <c r="B105" s="540" t="s">
        <v>57</v>
      </c>
      <c r="C105" s="531" t="s">
        <v>41</v>
      </c>
      <c r="D105" s="250">
        <f>M105</f>
        <v>0</v>
      </c>
      <c r="E105" s="162">
        <f>VLOOKUP($B105,'VL-NC-M'!$B$6:$F$101,5,0)</f>
        <v>10000</v>
      </c>
      <c r="F105" s="162">
        <f>+D105*E105</f>
        <v>0</v>
      </c>
      <c r="G105" s="162"/>
      <c r="H105" s="162"/>
      <c r="J105" s="519">
        <f t="shared" si="6"/>
        <v>0</v>
      </c>
      <c r="K105" s="519">
        <f t="shared" si="6"/>
        <v>0</v>
      </c>
      <c r="M105" s="524">
        <f>$O$105</f>
        <v>0</v>
      </c>
      <c r="N105" s="524">
        <v>1</v>
      </c>
      <c r="O105" s="525">
        <v>0</v>
      </c>
      <c r="P105" s="524"/>
      <c r="Q105" s="524"/>
      <c r="R105" s="524"/>
    </row>
    <row r="106" spans="1:18" ht="16.2" hidden="1" outlineLevel="1">
      <c r="A106" s="531">
        <v>4</v>
      </c>
      <c r="B106" s="540" t="s">
        <v>63</v>
      </c>
      <c r="C106" s="531" t="s">
        <v>8</v>
      </c>
      <c r="D106" s="250">
        <f>M106</f>
        <v>0</v>
      </c>
      <c r="E106" s="250"/>
      <c r="F106" s="250">
        <f>5%*SUM(F103:F105)</f>
        <v>0</v>
      </c>
      <c r="G106" s="250"/>
      <c r="H106" s="250"/>
      <c r="J106" s="519">
        <f>+$F106*J$101</f>
        <v>0</v>
      </c>
      <c r="K106" s="519">
        <f>+$F106*K$101</f>
        <v>0</v>
      </c>
      <c r="M106" s="524">
        <f>$O$106</f>
        <v>0</v>
      </c>
      <c r="N106" s="524">
        <v>5</v>
      </c>
      <c r="O106" s="525">
        <v>0</v>
      </c>
      <c r="P106" s="524"/>
      <c r="Q106" s="524"/>
      <c r="R106" s="524"/>
    </row>
    <row r="107" spans="1:18" hidden="1" outlineLevel="1">
      <c r="A107" s="526" t="s">
        <v>2</v>
      </c>
      <c r="B107" s="527" t="s">
        <v>25</v>
      </c>
      <c r="C107" s="526" t="s">
        <v>6</v>
      </c>
      <c r="D107" s="260"/>
      <c r="E107" s="260"/>
      <c r="F107" s="260"/>
      <c r="G107" s="260"/>
      <c r="H107" s="260"/>
      <c r="M107" s="524"/>
      <c r="N107" s="524"/>
      <c r="O107" s="524"/>
      <c r="P107" s="524"/>
      <c r="Q107" s="524"/>
      <c r="R107" s="524"/>
    </row>
    <row r="108" spans="1:18" ht="16.2" hidden="1" outlineLevel="1">
      <c r="A108" s="526"/>
      <c r="B108" s="530" t="s">
        <v>60</v>
      </c>
      <c r="C108" s="531" t="s">
        <v>40</v>
      </c>
      <c r="D108" s="261">
        <f>M108</f>
        <v>0</v>
      </c>
      <c r="E108" s="162">
        <f>VLOOKUP($B108,'VL-NC-M'!$B$6:$F$101,5,0)</f>
        <v>495000</v>
      </c>
      <c r="F108" s="162"/>
      <c r="G108" s="162">
        <f>+D108*E108</f>
        <v>0</v>
      </c>
      <c r="H108" s="162"/>
      <c r="J108" s="519">
        <f>+$D108*J$101</f>
        <v>0</v>
      </c>
      <c r="K108" s="519">
        <f>+$D108*K$101</f>
        <v>0</v>
      </c>
      <c r="M108" s="524">
        <f>$O$108</f>
        <v>0</v>
      </c>
      <c r="N108" s="524">
        <v>7.76</v>
      </c>
      <c r="O108" s="525">
        <v>0</v>
      </c>
      <c r="P108" s="524"/>
      <c r="Q108" s="524"/>
      <c r="R108" s="524"/>
    </row>
    <row r="109" spans="1:18" hidden="1" outlineLevel="1">
      <c r="A109" s="526" t="s">
        <v>3</v>
      </c>
      <c r="B109" s="527" t="s">
        <v>61</v>
      </c>
      <c r="C109" s="526"/>
      <c r="D109" s="262"/>
      <c r="E109" s="263"/>
      <c r="F109" s="260"/>
      <c r="G109" s="260"/>
      <c r="H109" s="260"/>
      <c r="M109" s="524"/>
      <c r="N109" s="524"/>
      <c r="O109" s="524"/>
      <c r="P109" s="524"/>
      <c r="Q109" s="524"/>
      <c r="R109" s="524"/>
    </row>
    <row r="110" spans="1:18" ht="16.2" hidden="1" outlineLevel="1">
      <c r="A110" s="532"/>
      <c r="B110" s="541" t="s">
        <v>47</v>
      </c>
      <c r="C110" s="542" t="s">
        <v>13</v>
      </c>
      <c r="D110" s="264">
        <f>M110</f>
        <v>0</v>
      </c>
      <c r="E110" s="162">
        <f>VLOOKUP($B110,'VL-NC-M'!$B$6:$F$101,5,0)</f>
        <v>1070324</v>
      </c>
      <c r="F110" s="265"/>
      <c r="G110" s="265"/>
      <c r="H110" s="265">
        <f>D110*E110</f>
        <v>0</v>
      </c>
      <c r="J110" s="519">
        <f>+$D110*J$101</f>
        <v>0</v>
      </c>
      <c r="K110" s="519">
        <f>+$D110*K$101</f>
        <v>0</v>
      </c>
      <c r="M110" s="524">
        <f>$O$110</f>
        <v>0</v>
      </c>
      <c r="N110" s="524">
        <v>5.17</v>
      </c>
      <c r="O110" s="525">
        <v>0</v>
      </c>
      <c r="P110" s="524"/>
      <c r="Q110" s="524"/>
      <c r="R110" s="524"/>
    </row>
    <row r="111" spans="1:18" ht="18.75" hidden="1" customHeight="1" outlineLevel="1">
      <c r="A111" s="534"/>
      <c r="B111" s="535" t="s">
        <v>127</v>
      </c>
      <c r="C111" s="516" t="s">
        <v>10</v>
      </c>
      <c r="D111" s="253"/>
      <c r="E111" s="254"/>
      <c r="F111" s="254">
        <f>SUM(F103:F110)</f>
        <v>0</v>
      </c>
      <c r="G111" s="254">
        <f>SUM(G103:G110)</f>
        <v>0</v>
      </c>
      <c r="H111" s="254">
        <f>SUM(H103:H110)</f>
        <v>0</v>
      </c>
      <c r="M111" s="536" t="str">
        <f>$O$111</f>
        <v>Không có</v>
      </c>
      <c r="N111" s="536" t="s">
        <v>261</v>
      </c>
      <c r="O111" s="537" t="s">
        <v>259</v>
      </c>
      <c r="P111" s="459"/>
      <c r="Q111" s="459"/>
      <c r="R111" s="459"/>
    </row>
    <row r="112" spans="1:18" ht="12.6" customHeight="1" collapsed="1">
      <c r="E112" s="269"/>
      <c r="F112" s="269"/>
      <c r="G112" s="269"/>
      <c r="H112" s="269"/>
    </row>
    <row r="113" spans="1:21" ht="38.25" customHeight="1">
      <c r="A113" s="832" t="str">
        <f>"Đào xử lý tín hiệu trên cạn đến độ sâu 3m.
"&amp;M127&amp;" cho 1 m3"</f>
        <v>Đào xử lý tín hiệu trên cạn đến độ sâu 3m.
Đất cấp 2 cho 1 m3</v>
      </c>
      <c r="B113" s="830"/>
      <c r="C113" s="830"/>
      <c r="D113" s="830"/>
      <c r="E113" s="830"/>
      <c r="F113" s="830"/>
      <c r="G113" s="830"/>
      <c r="H113" s="830"/>
    </row>
    <row r="114" spans="1:21" ht="20.100000000000001" customHeight="1">
      <c r="A114" s="830" t="str" cm="1">
        <f t="array" aca="1" ref="A114" ca="1">"Số hiệu định mức: 020.0700."&amp;INDIRECT(ADDRESS(ROW(M117),COLUMN(M117)+M117,1,1))</f>
        <v>Số hiệu định mức: 020.0700.2</v>
      </c>
      <c r="B114" s="830"/>
      <c r="C114" s="830"/>
      <c r="D114" s="830"/>
      <c r="E114" s="830"/>
      <c r="F114" s="830"/>
      <c r="G114" s="830"/>
      <c r="H114" s="830"/>
    </row>
    <row r="115" spans="1:21" s="515" customFormat="1" ht="15.6" customHeight="1">
      <c r="A115" s="412"/>
      <c r="B115" s="504"/>
      <c r="C115" s="514"/>
      <c r="D115" s="245"/>
      <c r="E115" s="270"/>
      <c r="F115" s="270"/>
      <c r="G115" s="271" t="s">
        <v>131</v>
      </c>
      <c r="H115" s="270"/>
    </row>
    <row r="116" spans="1:21" s="519" customFormat="1" ht="15.75" customHeight="1">
      <c r="A116" s="867" t="s">
        <v>18</v>
      </c>
      <c r="B116" s="867" t="s">
        <v>43</v>
      </c>
      <c r="C116" s="874" t="s">
        <v>42</v>
      </c>
      <c r="D116" s="874" t="s">
        <v>20</v>
      </c>
      <c r="E116" s="874" t="s">
        <v>80</v>
      </c>
      <c r="F116" s="874" t="s">
        <v>17</v>
      </c>
      <c r="G116" s="874"/>
      <c r="H116" s="874"/>
      <c r="M116" s="520" t="s">
        <v>254</v>
      </c>
      <c r="N116" s="836" t="s">
        <v>255</v>
      </c>
      <c r="O116" s="837"/>
      <c r="P116" s="837"/>
      <c r="Q116" s="837"/>
      <c r="R116" s="838"/>
    </row>
    <row r="117" spans="1:21" s="519" customFormat="1" ht="16.2">
      <c r="A117" s="867"/>
      <c r="B117" s="867"/>
      <c r="C117" s="874"/>
      <c r="D117" s="874"/>
      <c r="E117" s="874"/>
      <c r="F117" s="414" t="s">
        <v>59</v>
      </c>
      <c r="G117" s="414" t="s">
        <v>25</v>
      </c>
      <c r="H117" s="414" t="s">
        <v>81</v>
      </c>
      <c r="J117" s="548">
        <f>'Gia DT TC'!D17</f>
        <v>20.02</v>
      </c>
      <c r="K117" s="548">
        <f>'Gia DT TC'!E17</f>
        <v>0</v>
      </c>
      <c r="M117" s="521">
        <v>2</v>
      </c>
      <c r="N117" s="522">
        <v>1</v>
      </c>
      <c r="O117" s="522">
        <v>2</v>
      </c>
      <c r="P117" s="522">
        <v>3</v>
      </c>
      <c r="Q117" s="522">
        <v>4</v>
      </c>
      <c r="R117" s="522">
        <v>5</v>
      </c>
    </row>
    <row r="118" spans="1:21" s="437" customFormat="1" ht="20.100000000000001" customHeight="1">
      <c r="A118" s="517" t="s">
        <v>1</v>
      </c>
      <c r="B118" s="523" t="s">
        <v>59</v>
      </c>
      <c r="C118" s="517" t="s">
        <v>5</v>
      </c>
      <c r="D118" s="258"/>
      <c r="E118" s="258"/>
      <c r="F118" s="258"/>
      <c r="G118" s="258"/>
      <c r="H118" s="258"/>
      <c r="M118" s="524">
        <f>$O$118</f>
        <v>0</v>
      </c>
      <c r="N118" s="524"/>
      <c r="O118" s="525"/>
      <c r="P118" s="524"/>
      <c r="Q118" s="524"/>
      <c r="R118" s="524"/>
      <c r="S118" s="504"/>
      <c r="T118" s="504"/>
      <c r="U118" s="504"/>
    </row>
    <row r="119" spans="1:21" ht="18.600000000000001" customHeight="1">
      <c r="A119" s="531">
        <v>1</v>
      </c>
      <c r="B119" s="540" t="s">
        <v>58</v>
      </c>
      <c r="C119" s="531" t="s">
        <v>41</v>
      </c>
      <c r="D119" s="272">
        <f>M119</f>
        <v>0.2</v>
      </c>
      <c r="E119" s="162">
        <f>VLOOKUP($B119,'VL-NC-M'!$B$6:$F$101,5,0)</f>
        <v>10000</v>
      </c>
      <c r="F119" s="162">
        <f>+D119*E119</f>
        <v>2000</v>
      </c>
      <c r="G119" s="162"/>
      <c r="H119" s="162"/>
      <c r="J119" s="519">
        <f t="shared" ref="J119:K121" si="7">+$D119*J$117</f>
        <v>4.0040000000000004</v>
      </c>
      <c r="K119" s="519">
        <f t="shared" si="7"/>
        <v>0</v>
      </c>
      <c r="M119" s="524">
        <f>$O$119</f>
        <v>0.2</v>
      </c>
      <c r="N119" s="524">
        <v>0.2</v>
      </c>
      <c r="O119" s="525">
        <v>0.2</v>
      </c>
      <c r="P119" s="524">
        <v>0</v>
      </c>
      <c r="Q119" s="524">
        <v>0</v>
      </c>
      <c r="R119" s="524">
        <v>0</v>
      </c>
    </row>
    <row r="120" spans="1:21" ht="18" customHeight="1">
      <c r="A120" s="531">
        <v>2</v>
      </c>
      <c r="B120" s="540" t="s">
        <v>66</v>
      </c>
      <c r="C120" s="531" t="s">
        <v>14</v>
      </c>
      <c r="D120" s="273">
        <f>M120</f>
        <v>4.0000000000000001E-3</v>
      </c>
      <c r="E120" s="162">
        <f>VLOOKUP($B120,'VL-NC-M'!$B$6:$F$101,5,0)</f>
        <v>3363636</v>
      </c>
      <c r="F120" s="162">
        <f>+D120*E120</f>
        <v>13454.544</v>
      </c>
      <c r="G120" s="162"/>
      <c r="H120" s="162"/>
      <c r="J120" s="519">
        <f t="shared" si="7"/>
        <v>8.0079999999999998E-2</v>
      </c>
      <c r="K120" s="519">
        <f t="shared" si="7"/>
        <v>0</v>
      </c>
      <c r="M120" s="544">
        <f>$O$120</f>
        <v>4.0000000000000001E-3</v>
      </c>
      <c r="N120" s="544">
        <v>4.0000000000000001E-3</v>
      </c>
      <c r="O120" s="545">
        <v>4.0000000000000001E-3</v>
      </c>
      <c r="P120" s="544">
        <v>0</v>
      </c>
      <c r="Q120" s="544">
        <v>0</v>
      </c>
      <c r="R120" s="544">
        <v>0</v>
      </c>
    </row>
    <row r="121" spans="1:21" ht="17.399999999999999" customHeight="1">
      <c r="A121" s="531">
        <v>3</v>
      </c>
      <c r="B121" s="540" t="s">
        <v>46</v>
      </c>
      <c r="C121" s="531" t="s">
        <v>12</v>
      </c>
      <c r="D121" s="274">
        <f>M121</f>
        <v>0.15</v>
      </c>
      <c r="E121" s="162">
        <f>VLOOKUP($B121,'VL-NC-M'!$B$6:$F$101,5,0)</f>
        <v>23100</v>
      </c>
      <c r="F121" s="162">
        <f>+D121*E121</f>
        <v>3465</v>
      </c>
      <c r="G121" s="162"/>
      <c r="H121" s="162"/>
      <c r="J121" s="519">
        <f t="shared" si="7"/>
        <v>3.0029999999999997</v>
      </c>
      <c r="K121" s="519">
        <f t="shared" si="7"/>
        <v>0</v>
      </c>
      <c r="M121" s="524">
        <f>$O$121</f>
        <v>0.15</v>
      </c>
      <c r="N121" s="524">
        <v>0.15</v>
      </c>
      <c r="O121" s="525">
        <v>0.15</v>
      </c>
      <c r="P121" s="524">
        <v>0</v>
      </c>
      <c r="Q121" s="524">
        <v>0</v>
      </c>
      <c r="R121" s="524">
        <v>0</v>
      </c>
    </row>
    <row r="122" spans="1:21" ht="17.399999999999999" customHeight="1">
      <c r="A122" s="549">
        <v>4</v>
      </c>
      <c r="B122" s="550" t="s">
        <v>63</v>
      </c>
      <c r="C122" s="549" t="s">
        <v>8</v>
      </c>
      <c r="D122" s="259">
        <f>M122</f>
        <v>1</v>
      </c>
      <c r="E122" s="259"/>
      <c r="F122" s="259">
        <f>D122%*SUM(F119:F121)</f>
        <v>189.19544000000002</v>
      </c>
      <c r="G122" s="162"/>
      <c r="H122" s="162"/>
      <c r="J122" s="519">
        <f>+$F122*J$117</f>
        <v>3787.6927088000002</v>
      </c>
      <c r="K122" s="519">
        <f>+$F122*K$117</f>
        <v>0</v>
      </c>
      <c r="M122" s="524">
        <f>$O$122</f>
        <v>1</v>
      </c>
      <c r="N122" s="524">
        <v>1</v>
      </c>
      <c r="O122" s="525">
        <v>1</v>
      </c>
      <c r="P122" s="524">
        <v>1</v>
      </c>
      <c r="Q122" s="524">
        <v>1</v>
      </c>
      <c r="R122" s="524">
        <v>0</v>
      </c>
    </row>
    <row r="123" spans="1:21" s="437" customFormat="1" ht="20.100000000000001" customHeight="1">
      <c r="A123" s="526" t="s">
        <v>2</v>
      </c>
      <c r="B123" s="527" t="s">
        <v>25</v>
      </c>
      <c r="C123" s="526" t="s">
        <v>6</v>
      </c>
      <c r="D123" s="275"/>
      <c r="E123" s="260"/>
      <c r="F123" s="260"/>
      <c r="G123" s="260"/>
      <c r="H123" s="260"/>
      <c r="M123" s="524">
        <f>$O$123</f>
        <v>0</v>
      </c>
      <c r="N123" s="524"/>
      <c r="O123" s="525"/>
      <c r="P123" s="524"/>
      <c r="Q123" s="524"/>
      <c r="R123" s="524"/>
      <c r="S123" s="504"/>
      <c r="T123" s="504"/>
      <c r="U123" s="504"/>
    </row>
    <row r="124" spans="1:21" s="515" customFormat="1" ht="20.100000000000001" customHeight="1">
      <c r="A124" s="526"/>
      <c r="B124" s="530" t="s">
        <v>64</v>
      </c>
      <c r="C124" s="531" t="s">
        <v>40</v>
      </c>
      <c r="D124" s="274">
        <f>M124</f>
        <v>1.1399999999999999</v>
      </c>
      <c r="E124" s="162">
        <f>VLOOKUP($B124,'VL-NC-M'!$B$6:$F$101,5,0)</f>
        <v>517500</v>
      </c>
      <c r="F124" s="162"/>
      <c r="G124" s="162">
        <f>+D124*E124</f>
        <v>589950</v>
      </c>
      <c r="H124" s="162"/>
      <c r="J124" s="519">
        <f>+$D124*J$117</f>
        <v>22.822799999999997</v>
      </c>
      <c r="K124" s="519">
        <f>+$D124*K$117</f>
        <v>0</v>
      </c>
      <c r="M124" s="524">
        <f>$O$124</f>
        <v>1.1399999999999999</v>
      </c>
      <c r="N124" s="524">
        <v>0.78</v>
      </c>
      <c r="O124" s="525">
        <v>1.1399999999999999</v>
      </c>
      <c r="P124" s="524">
        <v>1.66</v>
      </c>
      <c r="Q124" s="524">
        <v>2.57</v>
      </c>
      <c r="R124" s="524">
        <v>0</v>
      </c>
    </row>
    <row r="125" spans="1:21" s="519" customFormat="1" ht="20.100000000000001" customHeight="1">
      <c r="A125" s="526" t="s">
        <v>3</v>
      </c>
      <c r="B125" s="551" t="s">
        <v>61</v>
      </c>
      <c r="C125" s="526"/>
      <c r="D125" s="275"/>
      <c r="E125" s="260"/>
      <c r="F125" s="260"/>
      <c r="G125" s="260"/>
      <c r="H125" s="260"/>
      <c r="M125" s="524">
        <f>$O$125</f>
        <v>0</v>
      </c>
      <c r="N125" s="524"/>
      <c r="O125" s="525"/>
      <c r="P125" s="524"/>
      <c r="Q125" s="524"/>
      <c r="R125" s="524"/>
      <c r="S125" s="515"/>
      <c r="T125" s="515"/>
      <c r="U125" s="515"/>
    </row>
    <row r="126" spans="1:21" s="515" customFormat="1" ht="20.100000000000001" customHeight="1">
      <c r="A126" s="532"/>
      <c r="B126" s="541" t="s">
        <v>47</v>
      </c>
      <c r="C126" s="542" t="s">
        <v>13</v>
      </c>
      <c r="D126" s="276">
        <f>M126</f>
        <v>8.0000000000000002E-3</v>
      </c>
      <c r="E126" s="265">
        <f>VLOOKUP($B126,'VL-NC-M'!$B$6:$F$101,5,0)</f>
        <v>1070324</v>
      </c>
      <c r="F126" s="265"/>
      <c r="G126" s="265"/>
      <c r="H126" s="265">
        <f>D126*E126</f>
        <v>8562.5920000000006</v>
      </c>
      <c r="J126" s="519">
        <f>+$D126*J$117</f>
        <v>0.16016</v>
      </c>
      <c r="K126" s="519">
        <f>+$D126*K$117</f>
        <v>0</v>
      </c>
      <c r="M126" s="544">
        <f>$O$126</f>
        <v>8.0000000000000002E-3</v>
      </c>
      <c r="N126" s="544">
        <v>8.0000000000000002E-3</v>
      </c>
      <c r="O126" s="545">
        <v>8.0000000000000002E-3</v>
      </c>
      <c r="P126" s="544">
        <v>8.0000000000000002E-3</v>
      </c>
      <c r="Q126" s="544">
        <v>8.0000000000000002E-3</v>
      </c>
      <c r="R126" s="544">
        <v>0</v>
      </c>
    </row>
    <row r="127" spans="1:21" s="515" customFormat="1" ht="20.100000000000001" customHeight="1">
      <c r="A127" s="534"/>
      <c r="B127" s="535" t="s">
        <v>127</v>
      </c>
      <c r="C127" s="516" t="s">
        <v>10</v>
      </c>
      <c r="D127" s="253"/>
      <c r="E127" s="254"/>
      <c r="F127" s="254">
        <f>SUM(F119:F126)</f>
        <v>19108.739440000001</v>
      </c>
      <c r="G127" s="254">
        <f>SUM(G119:G126)</f>
        <v>589950</v>
      </c>
      <c r="H127" s="254">
        <f>SUM(H119:H126)</f>
        <v>8562.5920000000006</v>
      </c>
      <c r="M127" s="536" t="str">
        <f>$O$127</f>
        <v>Đất cấp 2</v>
      </c>
      <c r="N127" s="536" t="s">
        <v>260</v>
      </c>
      <c r="O127" s="537" t="s">
        <v>261</v>
      </c>
      <c r="P127" s="536" t="s">
        <v>262</v>
      </c>
      <c r="Q127" s="536" t="s">
        <v>263</v>
      </c>
      <c r="R127" s="536" t="s">
        <v>259</v>
      </c>
    </row>
    <row r="128" spans="1:21" s="515" customFormat="1" ht="20.100000000000001" customHeight="1">
      <c r="A128" s="412"/>
      <c r="B128" s="538"/>
      <c r="C128" s="514"/>
      <c r="D128" s="277"/>
      <c r="E128" s="257"/>
      <c r="F128" s="256"/>
      <c r="G128" s="256"/>
      <c r="H128" s="256"/>
    </row>
    <row r="129" spans="1:18" ht="36" customHeight="1">
      <c r="A129" s="832" t="str">
        <f>"Đào xử lý tín hiệu trên cạn đến độ sâu 5m.
"&amp;M145&amp;" cho 1 ha"</f>
        <v>Đào xử lý tín hiệu trên cạn đến độ sâu 5m.
Không có cho 1 ha</v>
      </c>
      <c r="B129" s="832"/>
      <c r="C129" s="832"/>
      <c r="D129" s="832"/>
      <c r="E129" s="832"/>
      <c r="F129" s="832"/>
      <c r="G129" s="832"/>
      <c r="H129" s="832"/>
    </row>
    <row r="130" spans="1:18" ht="15.75" customHeight="1">
      <c r="A130" s="830" t="str" cm="1">
        <f t="array" aca="1" ref="A130" ca="1">"Số hiệu định mức: 020.0800."&amp;INDIRECT(ADDRESS(ROW(M133),COLUMN(M133)+M133,1,1))</f>
        <v>Số hiệu định mức: 020.0800.5</v>
      </c>
      <c r="B130" s="830"/>
      <c r="C130" s="830"/>
      <c r="D130" s="830"/>
      <c r="E130" s="830"/>
      <c r="F130" s="830"/>
      <c r="G130" s="830"/>
      <c r="H130" s="830"/>
    </row>
    <row r="131" spans="1:18" ht="15.75" customHeight="1">
      <c r="E131" s="270"/>
      <c r="F131" s="270"/>
      <c r="G131" s="271" t="s">
        <v>131</v>
      </c>
      <c r="H131" s="270"/>
    </row>
    <row r="132" spans="1:18" ht="15.75" customHeight="1">
      <c r="A132" s="834" t="s">
        <v>18</v>
      </c>
      <c r="B132" s="834" t="s">
        <v>43</v>
      </c>
      <c r="C132" s="839" t="s">
        <v>42</v>
      </c>
      <c r="D132" s="839" t="s">
        <v>20</v>
      </c>
      <c r="E132" s="839" t="s">
        <v>80</v>
      </c>
      <c r="F132" s="836" t="s">
        <v>17</v>
      </c>
      <c r="G132" s="837"/>
      <c r="H132" s="838"/>
      <c r="M132" s="520" t="s">
        <v>254</v>
      </c>
      <c r="N132" s="836" t="s">
        <v>255</v>
      </c>
      <c r="O132" s="837"/>
      <c r="P132" s="837"/>
      <c r="Q132" s="837"/>
      <c r="R132" s="838"/>
    </row>
    <row r="133" spans="1:18" ht="15.75" customHeight="1">
      <c r="A133" s="835"/>
      <c r="B133" s="835"/>
      <c r="C133" s="840"/>
      <c r="D133" s="840"/>
      <c r="E133" s="840"/>
      <c r="F133" s="414" t="s">
        <v>59</v>
      </c>
      <c r="G133" s="414" t="s">
        <v>25</v>
      </c>
      <c r="H133" s="414" t="s">
        <v>81</v>
      </c>
      <c r="J133" s="552">
        <f>'Gia DT TC'!D18</f>
        <v>0</v>
      </c>
      <c r="K133" s="552">
        <f>'Gia DT TC'!E18</f>
        <v>0</v>
      </c>
      <c r="M133" s="522">
        <v>5</v>
      </c>
      <c r="N133" s="522">
        <v>1</v>
      </c>
      <c r="O133" s="522">
        <v>2</v>
      </c>
      <c r="P133" s="522">
        <v>3</v>
      </c>
      <c r="Q133" s="522">
        <v>4</v>
      </c>
      <c r="R133" s="522">
        <v>5</v>
      </c>
    </row>
    <row r="134" spans="1:18" ht="15.75" customHeight="1">
      <c r="A134" s="517" t="s">
        <v>1</v>
      </c>
      <c r="B134" s="523" t="s">
        <v>59</v>
      </c>
      <c r="C134" s="517" t="s">
        <v>5</v>
      </c>
      <c r="D134" s="258"/>
      <c r="E134" s="258"/>
      <c r="F134" s="258"/>
      <c r="G134" s="258"/>
      <c r="H134" s="258"/>
      <c r="M134" s="524"/>
      <c r="N134" s="524"/>
      <c r="O134" s="524"/>
      <c r="P134" s="524"/>
      <c r="Q134" s="524"/>
      <c r="R134" s="524"/>
    </row>
    <row r="135" spans="1:18" ht="15.75" customHeight="1">
      <c r="A135" s="531">
        <v>1</v>
      </c>
      <c r="B135" s="540" t="s">
        <v>58</v>
      </c>
      <c r="C135" s="531" t="s">
        <v>41</v>
      </c>
      <c r="D135" s="272">
        <f t="shared" ref="D135:D140" si="8">M135</f>
        <v>0</v>
      </c>
      <c r="E135" s="162">
        <f>VLOOKUP($B135,'VL-NC-M'!$B$6:$F$101,5,0)</f>
        <v>10000</v>
      </c>
      <c r="F135" s="162">
        <f>+D135*E135</f>
        <v>0</v>
      </c>
      <c r="G135" s="162"/>
      <c r="H135" s="162"/>
      <c r="J135" s="519">
        <f t="shared" ref="J135:K139" si="9">+$D135*J$133</f>
        <v>0</v>
      </c>
      <c r="K135" s="519">
        <f t="shared" si="9"/>
        <v>0</v>
      </c>
      <c r="M135" s="524">
        <f>$R$135</f>
        <v>0</v>
      </c>
      <c r="N135" s="524">
        <v>0.4</v>
      </c>
      <c r="O135" s="524">
        <v>0.4</v>
      </c>
      <c r="P135" s="524">
        <v>0.2</v>
      </c>
      <c r="Q135" s="524">
        <v>0.1</v>
      </c>
      <c r="R135" s="525">
        <v>0</v>
      </c>
    </row>
    <row r="136" spans="1:18" ht="15.75" customHeight="1">
      <c r="A136" s="531">
        <v>2</v>
      </c>
      <c r="B136" s="540" t="s">
        <v>66</v>
      </c>
      <c r="C136" s="531" t="s">
        <v>14</v>
      </c>
      <c r="D136" s="273">
        <f t="shared" si="8"/>
        <v>0</v>
      </c>
      <c r="E136" s="162">
        <f>VLOOKUP($B136,'VL-NC-M'!$B$6:$F$101,5,0)</f>
        <v>3363636</v>
      </c>
      <c r="F136" s="162">
        <f>+D136*E136</f>
        <v>0</v>
      </c>
      <c r="G136" s="162"/>
      <c r="H136" s="162"/>
      <c r="J136" s="519">
        <f t="shared" si="9"/>
        <v>0</v>
      </c>
      <c r="K136" s="519">
        <f t="shared" si="9"/>
        <v>0</v>
      </c>
      <c r="M136" s="544">
        <f>$R$136</f>
        <v>0</v>
      </c>
      <c r="N136" s="544">
        <v>8.0000000000000002E-3</v>
      </c>
      <c r="O136" s="544">
        <v>8.0000000000000002E-3</v>
      </c>
      <c r="P136" s="544">
        <v>4.0000000000000001E-3</v>
      </c>
      <c r="Q136" s="544">
        <v>2E-3</v>
      </c>
      <c r="R136" s="545">
        <v>0</v>
      </c>
    </row>
    <row r="137" spans="1:18" ht="15.75" customHeight="1">
      <c r="A137" s="531">
        <v>3</v>
      </c>
      <c r="B137" s="540" t="s">
        <v>89</v>
      </c>
      <c r="C137" s="531" t="s">
        <v>41</v>
      </c>
      <c r="D137" s="273">
        <f t="shared" si="8"/>
        <v>0</v>
      </c>
      <c r="E137" s="162">
        <f>VLOOKUP($B137,'VL-NC-M'!$B$6:$F$101,5,0)</f>
        <v>6000</v>
      </c>
      <c r="F137" s="162">
        <f>+D137*E137</f>
        <v>0</v>
      </c>
      <c r="G137" s="162"/>
      <c r="H137" s="162"/>
      <c r="J137" s="519">
        <f t="shared" si="9"/>
        <v>0</v>
      </c>
      <c r="K137" s="519">
        <f t="shared" si="9"/>
        <v>0</v>
      </c>
      <c r="M137" s="524">
        <f>$R$137</f>
        <v>0</v>
      </c>
      <c r="N137" s="524">
        <v>0.4</v>
      </c>
      <c r="O137" s="524">
        <v>0.4</v>
      </c>
      <c r="P137" s="524">
        <v>0.2</v>
      </c>
      <c r="Q137" s="524">
        <v>0</v>
      </c>
      <c r="R137" s="525">
        <v>0</v>
      </c>
    </row>
    <row r="138" spans="1:18" ht="15.75" customHeight="1">
      <c r="A138" s="531">
        <v>4</v>
      </c>
      <c r="B138" s="540" t="s">
        <v>46</v>
      </c>
      <c r="C138" s="531" t="s">
        <v>12</v>
      </c>
      <c r="D138" s="274">
        <f t="shared" si="8"/>
        <v>0</v>
      </c>
      <c r="E138" s="162">
        <f>VLOOKUP($B138,'VL-NC-M'!$B$6:$F$101,5,0)</f>
        <v>23100</v>
      </c>
      <c r="F138" s="162">
        <f>+D138*E138</f>
        <v>0</v>
      </c>
      <c r="G138" s="162"/>
      <c r="H138" s="162"/>
      <c r="J138" s="519">
        <f t="shared" si="9"/>
        <v>0</v>
      </c>
      <c r="K138" s="519">
        <f t="shared" si="9"/>
        <v>0</v>
      </c>
      <c r="M138" s="524">
        <f>$R$138</f>
        <v>0</v>
      </c>
      <c r="N138" s="524">
        <v>0.15</v>
      </c>
      <c r="O138" s="524">
        <v>0.15</v>
      </c>
      <c r="P138" s="524">
        <v>0.1</v>
      </c>
      <c r="Q138" s="524">
        <v>0.05</v>
      </c>
      <c r="R138" s="525">
        <v>0</v>
      </c>
    </row>
    <row r="139" spans="1:18" ht="15.75" customHeight="1">
      <c r="A139" s="531">
        <v>5</v>
      </c>
      <c r="B139" s="540" t="s">
        <v>90</v>
      </c>
      <c r="C139" s="531" t="s">
        <v>12</v>
      </c>
      <c r="D139" s="274">
        <f t="shared" si="8"/>
        <v>0</v>
      </c>
      <c r="E139" s="162">
        <f>VLOOKUP($B139,'VL-NC-M'!$B$6:$F$101,5,0)</f>
        <v>18500</v>
      </c>
      <c r="F139" s="162">
        <f>+D139*E139</f>
        <v>0</v>
      </c>
      <c r="G139" s="162"/>
      <c r="H139" s="162"/>
      <c r="J139" s="519">
        <f t="shared" si="9"/>
        <v>0</v>
      </c>
      <c r="K139" s="519">
        <f t="shared" si="9"/>
        <v>0</v>
      </c>
      <c r="M139" s="524">
        <f>$R$139</f>
        <v>0</v>
      </c>
      <c r="N139" s="524">
        <v>0.2</v>
      </c>
      <c r="O139" s="524">
        <v>0.15</v>
      </c>
      <c r="P139" s="524">
        <v>0.12</v>
      </c>
      <c r="Q139" s="524">
        <v>0.01</v>
      </c>
      <c r="R139" s="525">
        <v>0</v>
      </c>
    </row>
    <row r="140" spans="1:18" ht="17.25" customHeight="1">
      <c r="A140" s="531">
        <v>6</v>
      </c>
      <c r="B140" s="540" t="s">
        <v>63</v>
      </c>
      <c r="C140" s="531" t="s">
        <v>91</v>
      </c>
      <c r="D140" s="274">
        <f t="shared" si="8"/>
        <v>0</v>
      </c>
      <c r="E140" s="162"/>
      <c r="F140" s="278">
        <f>1%*SUM(F135:F139)</f>
        <v>0</v>
      </c>
      <c r="G140" s="162"/>
      <c r="H140" s="162"/>
      <c r="J140" s="519">
        <f>+$F140*J$133</f>
        <v>0</v>
      </c>
      <c r="K140" s="519">
        <f>+$F140*K$133</f>
        <v>0</v>
      </c>
      <c r="M140" s="524">
        <f>$R$140</f>
        <v>0</v>
      </c>
      <c r="N140" s="524">
        <v>1</v>
      </c>
      <c r="O140" s="524">
        <v>1</v>
      </c>
      <c r="P140" s="524">
        <v>1</v>
      </c>
      <c r="Q140" s="524">
        <v>1</v>
      </c>
      <c r="R140" s="525">
        <v>0</v>
      </c>
    </row>
    <row r="141" spans="1:18" ht="15.75" customHeight="1">
      <c r="A141" s="526" t="s">
        <v>2</v>
      </c>
      <c r="B141" s="527" t="s">
        <v>25</v>
      </c>
      <c r="C141" s="526" t="s">
        <v>6</v>
      </c>
      <c r="D141" s="275"/>
      <c r="E141" s="260"/>
      <c r="F141" s="260"/>
      <c r="G141" s="260"/>
      <c r="H141" s="260"/>
      <c r="M141" s="524"/>
      <c r="N141" s="524"/>
      <c r="O141" s="524"/>
      <c r="P141" s="524"/>
      <c r="Q141" s="524"/>
      <c r="R141" s="524"/>
    </row>
    <row r="142" spans="1:18" ht="16.2">
      <c r="A142" s="526"/>
      <c r="B142" s="530" t="s">
        <v>64</v>
      </c>
      <c r="C142" s="531" t="s">
        <v>40</v>
      </c>
      <c r="D142" s="274">
        <f>M142</f>
        <v>0</v>
      </c>
      <c r="E142" s="162">
        <f>VLOOKUP($B142,'VL-NC-M'!$B$6:$F$101,5,0)</f>
        <v>517500</v>
      </c>
      <c r="F142" s="162"/>
      <c r="G142" s="162">
        <f>+D142*E142</f>
        <v>0</v>
      </c>
      <c r="H142" s="162"/>
      <c r="J142" s="519">
        <f>+$D142*J$133</f>
        <v>0</v>
      </c>
      <c r="K142" s="519">
        <f>+$D142*K$133</f>
        <v>0</v>
      </c>
      <c r="M142" s="524">
        <f>$R$142</f>
        <v>0</v>
      </c>
      <c r="N142" s="524">
        <v>0.66</v>
      </c>
      <c r="O142" s="524">
        <v>0.88</v>
      </c>
      <c r="P142" s="524">
        <v>1.28</v>
      </c>
      <c r="Q142" s="524">
        <v>1.87</v>
      </c>
      <c r="R142" s="525">
        <v>0</v>
      </c>
    </row>
    <row r="143" spans="1:18">
      <c r="A143" s="526" t="s">
        <v>3</v>
      </c>
      <c r="B143" s="551" t="s">
        <v>61</v>
      </c>
      <c r="C143" s="526"/>
      <c r="D143" s="275"/>
      <c r="E143" s="260"/>
      <c r="F143" s="260"/>
      <c r="G143" s="260"/>
      <c r="H143" s="260"/>
      <c r="M143" s="524"/>
      <c r="N143" s="524"/>
      <c r="O143" s="524"/>
      <c r="P143" s="524"/>
      <c r="Q143" s="524"/>
      <c r="R143" s="524"/>
    </row>
    <row r="144" spans="1:18" ht="16.2">
      <c r="A144" s="532"/>
      <c r="B144" s="541" t="s">
        <v>47</v>
      </c>
      <c r="C144" s="542" t="s">
        <v>13</v>
      </c>
      <c r="D144" s="276">
        <f>M144</f>
        <v>0</v>
      </c>
      <c r="E144" s="265">
        <f>VLOOKUP($B144,'VL-NC-M'!$B$6:$F$101,5,0)</f>
        <v>1070324</v>
      </c>
      <c r="F144" s="265"/>
      <c r="G144" s="265"/>
      <c r="H144" s="265">
        <f>D144*E144</f>
        <v>0</v>
      </c>
      <c r="J144" s="519">
        <f>+$D144*J$133</f>
        <v>0</v>
      </c>
      <c r="K144" s="519">
        <f>+$D144*K$133</f>
        <v>0</v>
      </c>
      <c r="M144" s="544">
        <f>$R$144</f>
        <v>0</v>
      </c>
      <c r="N144" s="544">
        <v>8.0000000000000002E-3</v>
      </c>
      <c r="O144" s="544">
        <v>8.0000000000000002E-3</v>
      </c>
      <c r="P144" s="544">
        <v>8.0000000000000002E-3</v>
      </c>
      <c r="Q144" s="544">
        <v>8.0000000000000002E-3</v>
      </c>
      <c r="R144" s="545">
        <v>0</v>
      </c>
    </row>
    <row r="145" spans="1:18">
      <c r="A145" s="534"/>
      <c r="B145" s="535" t="s">
        <v>127</v>
      </c>
      <c r="C145" s="516" t="s">
        <v>10</v>
      </c>
      <c r="D145" s="253"/>
      <c r="E145" s="254"/>
      <c r="F145" s="254">
        <f>SUM(F135:F144)</f>
        <v>0</v>
      </c>
      <c r="G145" s="254">
        <f>SUM(G135:G144)</f>
        <v>0</v>
      </c>
      <c r="H145" s="254">
        <f>SUM(H135:H144)</f>
        <v>0</v>
      </c>
      <c r="M145" s="536" t="str">
        <f>$R$145</f>
        <v>Không có</v>
      </c>
      <c r="N145" s="536" t="s">
        <v>260</v>
      </c>
      <c r="O145" s="536" t="s">
        <v>261</v>
      </c>
      <c r="P145" s="536" t="s">
        <v>262</v>
      </c>
      <c r="Q145" s="536" t="s">
        <v>263</v>
      </c>
      <c r="R145" s="537" t="s">
        <v>259</v>
      </c>
    </row>
    <row r="146" spans="1:18">
      <c r="M146" s="459"/>
      <c r="N146" s="459"/>
      <c r="O146" s="459"/>
      <c r="P146" s="459"/>
      <c r="Q146" s="459"/>
      <c r="R146" s="459"/>
    </row>
    <row r="165" spans="1:8" s="514" customFormat="1" ht="14.25" customHeight="1">
      <c r="A165" s="412"/>
      <c r="B165" s="504"/>
      <c r="D165" s="245"/>
      <c r="E165" s="245"/>
      <c r="F165" s="245"/>
      <c r="G165" s="245"/>
      <c r="H165" s="245"/>
    </row>
    <row r="166" spans="1:8" s="514" customFormat="1" ht="14.25" hidden="1" customHeight="1">
      <c r="A166" s="412"/>
      <c r="B166" s="504"/>
      <c r="D166" s="245"/>
      <c r="E166" s="245"/>
      <c r="F166" s="245"/>
      <c r="G166" s="245"/>
      <c r="H166" s="245"/>
    </row>
    <row r="167" spans="1:8" s="514" customFormat="1" ht="14.25" hidden="1" customHeight="1">
      <c r="A167" s="412"/>
      <c r="B167" s="504"/>
      <c r="D167" s="245"/>
      <c r="E167" s="245"/>
      <c r="F167" s="245"/>
      <c r="G167" s="245"/>
      <c r="H167" s="245"/>
    </row>
    <row r="168" spans="1:8" s="514" customFormat="1" ht="14.25" hidden="1" customHeight="1">
      <c r="A168" s="412"/>
      <c r="B168" s="504"/>
      <c r="D168" s="245"/>
      <c r="E168" s="245"/>
      <c r="F168" s="245"/>
      <c r="G168" s="245"/>
      <c r="H168" s="245"/>
    </row>
    <row r="169" spans="1:8" s="514" customFormat="1" ht="14.25" hidden="1" customHeight="1">
      <c r="A169" s="412"/>
      <c r="B169" s="504"/>
      <c r="D169" s="245"/>
      <c r="E169" s="245"/>
      <c r="F169" s="245"/>
      <c r="G169" s="245"/>
      <c r="H169" s="245"/>
    </row>
    <row r="170" spans="1:8" s="514" customFormat="1" ht="14.25" hidden="1" customHeight="1">
      <c r="A170" s="412"/>
      <c r="B170" s="504"/>
      <c r="D170" s="245"/>
      <c r="E170" s="245"/>
      <c r="F170" s="245"/>
      <c r="G170" s="245"/>
      <c r="H170" s="245"/>
    </row>
  </sheetData>
  <autoFilter ref="A7:H152" xr:uid="{00000000-0009-0000-0000-000006000000}"/>
  <mergeCells count="82">
    <mergeCell ref="N132:R132"/>
    <mergeCell ref="A129:H129"/>
    <mergeCell ref="A130:H130"/>
    <mergeCell ref="A132:A133"/>
    <mergeCell ref="B132:B133"/>
    <mergeCell ref="C132:C133"/>
    <mergeCell ref="D132:D133"/>
    <mergeCell ref="E132:E133"/>
    <mergeCell ref="F132:H132"/>
    <mergeCell ref="N100:R100"/>
    <mergeCell ref="A113:H113"/>
    <mergeCell ref="A114:H114"/>
    <mergeCell ref="A116:A117"/>
    <mergeCell ref="B116:B117"/>
    <mergeCell ref="C116:C117"/>
    <mergeCell ref="D116:D117"/>
    <mergeCell ref="E116:E117"/>
    <mergeCell ref="F116:H116"/>
    <mergeCell ref="N116:R116"/>
    <mergeCell ref="A97:H97"/>
    <mergeCell ref="A98:H98"/>
    <mergeCell ref="A100:A101"/>
    <mergeCell ref="B100:B101"/>
    <mergeCell ref="C100:C101"/>
    <mergeCell ref="D100:D101"/>
    <mergeCell ref="E100:E101"/>
    <mergeCell ref="F100:H100"/>
    <mergeCell ref="N68:R68"/>
    <mergeCell ref="A79:H79"/>
    <mergeCell ref="A80:H80"/>
    <mergeCell ref="A82:A83"/>
    <mergeCell ref="B82:B83"/>
    <mergeCell ref="C82:C83"/>
    <mergeCell ref="D82:D83"/>
    <mergeCell ref="E82:E83"/>
    <mergeCell ref="F82:H82"/>
    <mergeCell ref="N82:R82"/>
    <mergeCell ref="A65:H65"/>
    <mergeCell ref="A66:H66"/>
    <mergeCell ref="A68:A69"/>
    <mergeCell ref="B68:B69"/>
    <mergeCell ref="C68:C69"/>
    <mergeCell ref="D68:D69"/>
    <mergeCell ref="E68:E69"/>
    <mergeCell ref="F68:H68"/>
    <mergeCell ref="N34:R34"/>
    <mergeCell ref="A48:H48"/>
    <mergeCell ref="A49:H49"/>
    <mergeCell ref="A51:A52"/>
    <mergeCell ref="B51:B52"/>
    <mergeCell ref="C51:C52"/>
    <mergeCell ref="D51:D52"/>
    <mergeCell ref="E51:E52"/>
    <mergeCell ref="F51:H51"/>
    <mergeCell ref="N51:R51"/>
    <mergeCell ref="A31:H31"/>
    <mergeCell ref="A32:H32"/>
    <mergeCell ref="A34:A35"/>
    <mergeCell ref="B34:B35"/>
    <mergeCell ref="C34:C35"/>
    <mergeCell ref="D34:D35"/>
    <mergeCell ref="E34:E35"/>
    <mergeCell ref="F34:H34"/>
    <mergeCell ref="N5:R5"/>
    <mergeCell ref="A14:H14"/>
    <mergeCell ref="A15:H15"/>
    <mergeCell ref="A17:A18"/>
    <mergeCell ref="B17:B18"/>
    <mergeCell ref="C17:C18"/>
    <mergeCell ref="D17:D18"/>
    <mergeCell ref="E17:E18"/>
    <mergeCell ref="F17:H17"/>
    <mergeCell ref="N17:R17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ageMargins left="1.0236220472440944" right="0.19685039370078741" top="0.74803149606299213" bottom="0.74803149606299213" header="0.51181102362204722" footer="0.51181102362204722"/>
  <pageSetup paperSize="9" scale="80" orientation="portrait" r:id="rId1"/>
  <headerFooter>
    <oddFooter>&amp;C&amp;P</oddFooter>
  </headerFooter>
  <rowBreaks count="2" manualBreakCount="2">
    <brk id="75" max="7" man="1"/>
    <brk id="127" max="7" man="1"/>
  </rowBreaks>
  <colBreaks count="1" manualBreakCount="1">
    <brk id="8" max="127" man="1"/>
  </colBreaks>
  <customProperties>
    <customPr name="TTBMVN.WorksheetRole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U438"/>
  <sheetViews>
    <sheetView view="pageBreakPreview" zoomScale="60" zoomScaleNormal="85" workbookViewId="0">
      <selection activeCell="A123" sqref="A123:XFD138"/>
    </sheetView>
  </sheetViews>
  <sheetFormatPr defaultColWidth="9" defaultRowHeight="15.6" outlineLevelRow="1" outlineLevelCol="1"/>
  <cols>
    <col min="1" max="1" width="4.3984375" style="122" customWidth="1"/>
    <col min="2" max="2" width="31.09765625" style="101" customWidth="1"/>
    <col min="3" max="3" width="7.3984375" style="104" customWidth="1"/>
    <col min="4" max="4" width="8.8984375" style="245" customWidth="1"/>
    <col min="5" max="5" width="11.09765625" style="245" customWidth="1"/>
    <col min="6" max="6" width="11.8984375" style="245" customWidth="1"/>
    <col min="7" max="7" width="12.3984375" style="245" customWidth="1"/>
    <col min="8" max="8" width="13.3984375" style="245" customWidth="1"/>
    <col min="9" max="9" width="16.69921875" style="101" customWidth="1" outlineLevel="1"/>
    <col min="10" max="10" width="11.59765625" style="101" customWidth="1" outlineLevel="1"/>
    <col min="11" max="11" width="9" style="101" customWidth="1" outlineLevel="1"/>
    <col min="12" max="12" width="22.09765625" style="101" customWidth="1" outlineLevel="1"/>
    <col min="13" max="17" width="9" style="101" customWidth="1" outlineLevel="1"/>
    <col min="18" max="16384" width="9" style="101"/>
  </cols>
  <sheetData>
    <row r="1" spans="1:21" ht="42" customHeight="1">
      <c r="A1" s="875" t="s">
        <v>435</v>
      </c>
      <c r="B1" s="876"/>
      <c r="C1" s="876"/>
      <c r="D1" s="876"/>
      <c r="E1" s="876"/>
      <c r="F1" s="876"/>
      <c r="G1" s="876"/>
      <c r="H1" s="876"/>
      <c r="J1" s="101" t="s">
        <v>360</v>
      </c>
      <c r="K1" s="101">
        <v>1.1000000000000001</v>
      </c>
      <c r="R1" s="212"/>
    </row>
    <row r="2" spans="1:21" s="504" customFormat="1" hidden="1">
      <c r="A2" s="830" t="str">
        <f>"Dọn mặt bằng thủ công cho một ha rừng "&amp;L11&amp;", khu vực không phải là bãi mìn"</f>
        <v>Dọn mặt bằng thủ công cho một ha rừng loại 1, khu vực không phải là bãi mìn</v>
      </c>
      <c r="B2" s="830"/>
      <c r="C2" s="830"/>
      <c r="D2" s="830"/>
      <c r="E2" s="830"/>
      <c r="F2" s="830"/>
      <c r="G2" s="830"/>
      <c r="H2" s="830"/>
    </row>
    <row r="3" spans="1:21" s="504" customFormat="1" hidden="1">
      <c r="A3" s="830" t="str" cm="1">
        <f t="array" aca="1" ref="A3" ca="1">"Số hiệu định mức: 010.0200."&amp;INDIRECT(ADDRESS(ROW(L6),COLUMN(L6)+L6,1,1))</f>
        <v>Số hiệu định mức: 010.0200.1</v>
      </c>
      <c r="B3" s="830"/>
      <c r="C3" s="830"/>
      <c r="D3" s="830"/>
      <c r="E3" s="830"/>
      <c r="F3" s="830"/>
      <c r="G3" s="830"/>
      <c r="H3" s="830"/>
      <c r="J3" s="504" t="s">
        <v>165</v>
      </c>
      <c r="K3" s="504" t="s">
        <v>166</v>
      </c>
    </row>
    <row r="4" spans="1:21" s="515" customFormat="1" ht="15" hidden="1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hidden="1" customHeight="1">
      <c r="A5" s="867" t="s">
        <v>18</v>
      </c>
      <c r="B5" s="868" t="s">
        <v>43</v>
      </c>
      <c r="C5" s="870" t="s">
        <v>42</v>
      </c>
      <c r="D5" s="870" t="s">
        <v>20</v>
      </c>
      <c r="E5" s="872" t="s">
        <v>80</v>
      </c>
      <c r="F5" s="874" t="s">
        <v>17</v>
      </c>
      <c r="G5" s="874"/>
      <c r="H5" s="874"/>
      <c r="L5" s="520" t="s">
        <v>254</v>
      </c>
      <c r="M5" s="450" t="s">
        <v>255</v>
      </c>
      <c r="N5" s="451"/>
      <c r="O5" s="451"/>
      <c r="P5" s="451"/>
      <c r="Q5" s="452"/>
    </row>
    <row r="6" spans="1:21" s="519" customFormat="1" ht="16.2" hidden="1">
      <c r="A6" s="834"/>
      <c r="B6" s="869"/>
      <c r="C6" s="871"/>
      <c r="D6" s="871"/>
      <c r="E6" s="873"/>
      <c r="F6" s="413" t="s">
        <v>59</v>
      </c>
      <c r="G6" s="413" t="s">
        <v>25</v>
      </c>
      <c r="H6" s="413" t="s">
        <v>81</v>
      </c>
      <c r="J6" s="519">
        <v>0</v>
      </c>
      <c r="K6" s="539" t="e">
        <f>'Gia DT TC'!E19+'Gia DT TC'!#REF!+'Gia DT TC'!#REF!</f>
        <v>#REF!</v>
      </c>
      <c r="L6" s="521">
        <v>1</v>
      </c>
      <c r="M6" s="522">
        <v>1</v>
      </c>
      <c r="N6" s="522">
        <v>2</v>
      </c>
      <c r="O6" s="522">
        <v>3</v>
      </c>
      <c r="P6" s="522">
        <v>4</v>
      </c>
      <c r="Q6" s="522">
        <v>5</v>
      </c>
    </row>
    <row r="7" spans="1:21" s="519" customFormat="1" ht="18" hidden="1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L7" s="524">
        <f>$M$7</f>
        <v>0</v>
      </c>
      <c r="M7" s="525"/>
      <c r="N7" s="524"/>
      <c r="O7" s="524"/>
      <c r="P7" s="524"/>
      <c r="Q7" s="524"/>
      <c r="R7" s="515"/>
      <c r="S7" s="515"/>
      <c r="T7" s="515"/>
      <c r="U7" s="515"/>
    </row>
    <row r="8" spans="1:21" s="519" customFormat="1" ht="18" hidden="1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L8" s="524">
        <f>$M$8</f>
        <v>0</v>
      </c>
      <c r="M8" s="525"/>
      <c r="N8" s="524"/>
      <c r="O8" s="524"/>
      <c r="P8" s="524"/>
      <c r="Q8" s="524"/>
      <c r="R8" s="515"/>
      <c r="S8" s="515"/>
      <c r="T8" s="515"/>
      <c r="U8" s="515"/>
    </row>
    <row r="9" spans="1:21" s="519" customFormat="1" ht="18" hidden="1" customHeight="1">
      <c r="A9" s="526"/>
      <c r="B9" s="530" t="s">
        <v>60</v>
      </c>
      <c r="C9" s="531" t="s">
        <v>40</v>
      </c>
      <c r="D9" s="250">
        <f>L9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+$D9*J$6*$K$1</f>
        <v>0</v>
      </c>
      <c r="K9" s="519" t="e">
        <f>+$D9*K$6*$K$1</f>
        <v>#REF!</v>
      </c>
      <c r="L9" s="524">
        <f>$M$9</f>
        <v>67</v>
      </c>
      <c r="M9" s="525">
        <v>67</v>
      </c>
      <c r="N9" s="524">
        <v>73</v>
      </c>
      <c r="O9" s="524">
        <v>83</v>
      </c>
      <c r="P9" s="524">
        <v>101</v>
      </c>
      <c r="Q9" s="524">
        <v>0</v>
      </c>
      <c r="R9" s="515"/>
      <c r="S9" s="515"/>
      <c r="T9" s="515"/>
      <c r="U9" s="515"/>
    </row>
    <row r="10" spans="1:21" s="519" customFormat="1" ht="18" hidden="1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L10" s="524">
        <f>$M$10</f>
        <v>0</v>
      </c>
      <c r="M10" s="525"/>
      <c r="N10" s="524"/>
      <c r="O10" s="524"/>
      <c r="P10" s="524"/>
      <c r="Q10" s="524"/>
      <c r="R10" s="515"/>
      <c r="S10" s="515"/>
      <c r="T10" s="515"/>
      <c r="U10" s="515"/>
    </row>
    <row r="11" spans="1:21" s="519" customFormat="1" ht="18" hidden="1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L11" s="536" t="str">
        <f>$M$11</f>
        <v>loại 1</v>
      </c>
      <c r="M11" s="537" t="s">
        <v>184</v>
      </c>
      <c r="N11" s="536" t="s">
        <v>256</v>
      </c>
      <c r="O11" s="536" t="s">
        <v>257</v>
      </c>
      <c r="P11" s="536" t="s">
        <v>258</v>
      </c>
      <c r="Q11" s="536" t="s">
        <v>259</v>
      </c>
      <c r="R11" s="515"/>
      <c r="S11" s="515"/>
      <c r="T11" s="515"/>
      <c r="U11" s="515"/>
    </row>
    <row r="12" spans="1:21" s="519" customFormat="1" ht="18" hidden="1" customHeight="1">
      <c r="A12" s="514"/>
      <c r="B12" s="538"/>
      <c r="C12" s="412"/>
      <c r="D12" s="266"/>
      <c r="E12" s="255"/>
      <c r="F12" s="255"/>
      <c r="G12" s="255"/>
      <c r="H12" s="255"/>
      <c r="M12" s="543"/>
      <c r="N12" s="553"/>
      <c r="O12" s="543"/>
      <c r="P12" s="543"/>
      <c r="Q12" s="543"/>
      <c r="R12" s="543"/>
      <c r="S12" s="515"/>
      <c r="T12" s="515"/>
      <c r="U12" s="515"/>
    </row>
    <row r="13" spans="1:21" ht="19.5" customHeight="1">
      <c r="A13" s="877" t="str">
        <f>"Dò tìm bom mìn, vật nổ dưới nước đến độ sâu 0,5m  cho 1 ha. Nước sâu "&amp;L34</f>
        <v>Dò tìm bom mìn, vật nổ dưới nước đến độ sâu 0,5m  cho 1 ha. Nước sâu 0,5 ÷ 12m</v>
      </c>
      <c r="B13" s="877"/>
      <c r="C13" s="877"/>
      <c r="D13" s="877"/>
      <c r="E13" s="877"/>
      <c r="F13" s="877"/>
      <c r="G13" s="877"/>
      <c r="H13" s="877"/>
    </row>
    <row r="14" spans="1:21" ht="19.5" customHeight="1">
      <c r="A14" s="877" t="str" cm="1">
        <f t="array" aca="1" ref="A14" ca="1">"Số hiệu định mức: 030.0100."&amp;INDIRECT(ADDRESS(ROW(L17),COLUMN(L17)+L17,1,1))</f>
        <v>Số hiệu định mức: 030.0100.1</v>
      </c>
      <c r="B14" s="877"/>
      <c r="C14" s="877"/>
      <c r="D14" s="877"/>
      <c r="E14" s="877"/>
      <c r="F14" s="877"/>
      <c r="G14" s="877"/>
      <c r="H14" s="877"/>
    </row>
    <row r="15" spans="1:21" ht="19.5" customHeight="1">
      <c r="A15" s="102"/>
      <c r="B15" s="22"/>
      <c r="C15" s="22"/>
      <c r="D15" s="279"/>
      <c r="E15" s="280"/>
      <c r="F15" s="248"/>
      <c r="G15" s="248" t="s">
        <v>236</v>
      </c>
      <c r="H15" s="103"/>
    </row>
    <row r="16" spans="1:21" s="104" customFormat="1" ht="19.5" customHeight="1">
      <c r="A16" s="878" t="s">
        <v>18</v>
      </c>
      <c r="B16" s="878" t="s">
        <v>43</v>
      </c>
      <c r="C16" s="879" t="s">
        <v>42</v>
      </c>
      <c r="D16" s="879" t="s">
        <v>22</v>
      </c>
      <c r="E16" s="879" t="s">
        <v>237</v>
      </c>
      <c r="F16" s="880" t="s">
        <v>45</v>
      </c>
      <c r="G16" s="880"/>
      <c r="H16" s="880"/>
      <c r="L16" s="520" t="s">
        <v>254</v>
      </c>
      <c r="M16" s="836" t="s">
        <v>255</v>
      </c>
      <c r="N16" s="837"/>
      <c r="O16" s="837"/>
      <c r="P16" s="837"/>
      <c r="Q16" s="838"/>
    </row>
    <row r="17" spans="1:17" s="104" customFormat="1" ht="19.5" customHeight="1">
      <c r="A17" s="878"/>
      <c r="B17" s="878"/>
      <c r="C17" s="879"/>
      <c r="D17" s="879"/>
      <c r="E17" s="879"/>
      <c r="F17" s="105" t="s">
        <v>59</v>
      </c>
      <c r="G17" s="105" t="s">
        <v>25</v>
      </c>
      <c r="H17" s="105" t="s">
        <v>81</v>
      </c>
      <c r="J17" s="183">
        <f>'Gia DT TC'!D20</f>
        <v>6.65</v>
      </c>
      <c r="K17" s="183">
        <f>'Gia DT TC'!E20</f>
        <v>0</v>
      </c>
      <c r="L17" s="521">
        <v>1</v>
      </c>
      <c r="M17" s="522">
        <v>1</v>
      </c>
      <c r="N17" s="522">
        <v>1</v>
      </c>
      <c r="O17" s="522">
        <v>2</v>
      </c>
      <c r="P17" s="522">
        <v>3</v>
      </c>
      <c r="Q17" s="522">
        <v>4</v>
      </c>
    </row>
    <row r="18" spans="1:17" s="104" customFormat="1" ht="19.5" customHeight="1">
      <c r="A18" s="100" t="s">
        <v>1</v>
      </c>
      <c r="B18" s="106" t="s">
        <v>59</v>
      </c>
      <c r="C18" s="100" t="s">
        <v>5</v>
      </c>
      <c r="D18" s="281"/>
      <c r="E18" s="281"/>
      <c r="F18" s="282"/>
      <c r="G18" s="107"/>
      <c r="H18" s="107"/>
      <c r="L18" s="154">
        <f>$M$18</f>
        <v>0</v>
      </c>
      <c r="M18" s="215"/>
      <c r="N18" s="216"/>
      <c r="O18" s="216"/>
      <c r="P18" s="216"/>
      <c r="Q18" s="216"/>
    </row>
    <row r="19" spans="1:17" ht="19.5" customHeight="1">
      <c r="A19" s="108">
        <v>1</v>
      </c>
      <c r="B19" s="109" t="s">
        <v>92</v>
      </c>
      <c r="C19" s="11" t="s">
        <v>41</v>
      </c>
      <c r="D19" s="160">
        <v>3.2000000000000001E-2</v>
      </c>
      <c r="E19" s="162">
        <f>VLOOKUP($B19,'VL-NC-M'!$B$81:$F$101,5,0)</f>
        <v>500000</v>
      </c>
      <c r="F19" s="162">
        <f t="shared" ref="F19:F25" si="0">+D19*E19</f>
        <v>16000</v>
      </c>
      <c r="G19" s="11"/>
      <c r="H19" s="11"/>
      <c r="J19" s="101">
        <f>+$D19*J$17</f>
        <v>0.21280000000000002</v>
      </c>
      <c r="K19" s="101">
        <f>+$D19*K$17</f>
        <v>0</v>
      </c>
      <c r="L19" s="155">
        <f>$M$19</f>
        <v>0</v>
      </c>
      <c r="M19" s="217"/>
      <c r="N19" s="160">
        <v>3.2000000000000001E-2</v>
      </c>
      <c r="O19" s="160">
        <v>3.2000000000000001E-2</v>
      </c>
      <c r="P19" s="160">
        <v>3.2000000000000001E-2</v>
      </c>
      <c r="Q19" s="160">
        <v>0</v>
      </c>
    </row>
    <row r="20" spans="1:17" ht="19.5" customHeight="1">
      <c r="A20" s="108">
        <v>2</v>
      </c>
      <c r="B20" s="109" t="s">
        <v>93</v>
      </c>
      <c r="C20" s="11" t="s">
        <v>41</v>
      </c>
      <c r="D20" s="160">
        <v>6.4000000000000001E-2</v>
      </c>
      <c r="E20" s="162">
        <f>VLOOKUP($B20,'VL-NC-M'!$B$81:$F$101,5,0)</f>
        <v>200000</v>
      </c>
      <c r="F20" s="162">
        <f t="shared" si="0"/>
        <v>12800</v>
      </c>
      <c r="G20" s="11"/>
      <c r="H20" s="11"/>
      <c r="J20" s="101">
        <f t="shared" ref="J20:K25" si="1">+$D20*J$17</f>
        <v>0.42560000000000003</v>
      </c>
      <c r="K20" s="101">
        <f t="shared" si="1"/>
        <v>0</v>
      </c>
      <c r="L20" s="155">
        <f>$M$20</f>
        <v>0</v>
      </c>
      <c r="M20" s="217"/>
      <c r="N20" s="160">
        <v>6.4000000000000001E-2</v>
      </c>
      <c r="O20" s="160">
        <v>6.4000000000000001E-2</v>
      </c>
      <c r="P20" s="160">
        <v>6.4000000000000001E-2</v>
      </c>
      <c r="Q20" s="160">
        <v>0</v>
      </c>
    </row>
    <row r="21" spans="1:17" ht="19.5" customHeight="1">
      <c r="A21" s="108">
        <v>3</v>
      </c>
      <c r="B21" s="109" t="s">
        <v>94</v>
      </c>
      <c r="C21" s="11" t="s">
        <v>41</v>
      </c>
      <c r="D21" s="161">
        <v>0.32</v>
      </c>
      <c r="E21" s="162">
        <f>VLOOKUP($B21,'VL-NC-M'!$B$81:$F$101,5,0)</f>
        <v>100000</v>
      </c>
      <c r="F21" s="162">
        <f t="shared" si="0"/>
        <v>32000</v>
      </c>
      <c r="G21" s="11"/>
      <c r="H21" s="11"/>
      <c r="J21" s="101">
        <f t="shared" si="1"/>
        <v>2.1280000000000001</v>
      </c>
      <c r="K21" s="101">
        <f t="shared" si="1"/>
        <v>0</v>
      </c>
      <c r="L21" s="156">
        <f>$M$21</f>
        <v>0</v>
      </c>
      <c r="M21" s="218"/>
      <c r="N21" s="161">
        <v>0.32</v>
      </c>
      <c r="O21" s="161">
        <v>0.32</v>
      </c>
      <c r="P21" s="161">
        <v>0.32</v>
      </c>
      <c r="Q21" s="161">
        <v>0</v>
      </c>
    </row>
    <row r="22" spans="1:17" ht="19.5" customHeight="1">
      <c r="A22" s="108">
        <v>4</v>
      </c>
      <c r="B22" s="109" t="s">
        <v>95</v>
      </c>
      <c r="C22" s="11" t="s">
        <v>41</v>
      </c>
      <c r="D22" s="162">
        <f t="shared" ref="D22:D33" si="2">L22</f>
        <v>4</v>
      </c>
      <c r="E22" s="162">
        <f>VLOOKUP($B22,'VL-NC-M'!$B$81:$F$101,5,0)</f>
        <v>10000</v>
      </c>
      <c r="F22" s="162">
        <f t="shared" si="0"/>
        <v>40000</v>
      </c>
      <c r="G22" s="11"/>
      <c r="H22" s="11"/>
      <c r="J22" s="101">
        <f t="shared" si="1"/>
        <v>26.6</v>
      </c>
      <c r="K22" s="101">
        <f t="shared" si="1"/>
        <v>0</v>
      </c>
      <c r="L22" s="157">
        <f>$M$22</f>
        <v>4</v>
      </c>
      <c r="M22" s="219">
        <v>4</v>
      </c>
      <c r="N22" s="162">
        <v>4</v>
      </c>
      <c r="O22" s="162">
        <v>4</v>
      </c>
      <c r="P22" s="162">
        <v>4</v>
      </c>
      <c r="Q22" s="162">
        <v>0</v>
      </c>
    </row>
    <row r="23" spans="1:17" ht="19.5" customHeight="1">
      <c r="A23" s="108">
        <v>5</v>
      </c>
      <c r="B23" s="109" t="s">
        <v>96</v>
      </c>
      <c r="C23" s="11" t="s">
        <v>4</v>
      </c>
      <c r="D23" s="162">
        <f t="shared" si="2"/>
        <v>210</v>
      </c>
      <c r="E23" s="162">
        <f>VLOOKUP($B23,'VL-NC-M'!$B$81:$F$101,5,0)</f>
        <v>2000</v>
      </c>
      <c r="F23" s="162">
        <f t="shared" si="0"/>
        <v>420000</v>
      </c>
      <c r="G23" s="11"/>
      <c r="H23" s="11"/>
      <c r="J23" s="101">
        <f t="shared" si="1"/>
        <v>1396.5</v>
      </c>
      <c r="K23" s="101">
        <f t="shared" si="1"/>
        <v>0</v>
      </c>
      <c r="L23" s="157">
        <f>$M$23</f>
        <v>210</v>
      </c>
      <c r="M23" s="219">
        <v>210</v>
      </c>
      <c r="N23" s="162">
        <v>210</v>
      </c>
      <c r="O23" s="162">
        <v>210</v>
      </c>
      <c r="P23" s="162">
        <v>210</v>
      </c>
      <c r="Q23" s="162">
        <v>0</v>
      </c>
    </row>
    <row r="24" spans="1:17" ht="19.5" customHeight="1">
      <c r="A24" s="108">
        <v>6</v>
      </c>
      <c r="B24" s="109" t="s">
        <v>97</v>
      </c>
      <c r="C24" s="11" t="s">
        <v>4</v>
      </c>
      <c r="D24" s="163">
        <f t="shared" si="2"/>
        <v>8</v>
      </c>
      <c r="E24" s="162">
        <f>VLOOKUP($B24,'VL-NC-M'!$B$81:$F$101,5,0)</f>
        <v>2500</v>
      </c>
      <c r="F24" s="162">
        <f t="shared" si="0"/>
        <v>20000</v>
      </c>
      <c r="G24" s="11"/>
      <c r="H24" s="11"/>
      <c r="J24" s="101">
        <f t="shared" si="1"/>
        <v>53.2</v>
      </c>
      <c r="K24" s="101">
        <f t="shared" si="1"/>
        <v>0</v>
      </c>
      <c r="L24" s="158">
        <f>$M$24</f>
        <v>8</v>
      </c>
      <c r="M24" s="220">
        <v>8</v>
      </c>
      <c r="N24" s="163">
        <v>8</v>
      </c>
      <c r="O24" s="163">
        <v>18.5</v>
      </c>
      <c r="P24" s="163">
        <v>27</v>
      </c>
      <c r="Q24" s="163">
        <v>0</v>
      </c>
    </row>
    <row r="25" spans="1:17" ht="19.5" customHeight="1">
      <c r="A25" s="110">
        <v>7</v>
      </c>
      <c r="B25" s="109" t="s">
        <v>98</v>
      </c>
      <c r="C25" s="11" t="s">
        <v>4</v>
      </c>
      <c r="D25" s="161">
        <f t="shared" si="2"/>
        <v>8.64</v>
      </c>
      <c r="E25" s="162">
        <f>VLOOKUP($B25,'VL-NC-M'!$B$81:$F$101,5,0)</f>
        <v>3000</v>
      </c>
      <c r="F25" s="162">
        <f t="shared" si="0"/>
        <v>25920</v>
      </c>
      <c r="G25" s="11"/>
      <c r="H25" s="11"/>
      <c r="J25" s="101">
        <f t="shared" si="1"/>
        <v>57.45600000000001</v>
      </c>
      <c r="K25" s="101">
        <f t="shared" si="1"/>
        <v>0</v>
      </c>
      <c r="L25" s="156">
        <f>$M$25</f>
        <v>8.64</v>
      </c>
      <c r="M25" s="218">
        <v>8.64</v>
      </c>
      <c r="N25" s="161">
        <v>8.64</v>
      </c>
      <c r="O25" s="161">
        <v>8.64</v>
      </c>
      <c r="P25" s="161">
        <v>8.64</v>
      </c>
      <c r="Q25" s="161">
        <v>0</v>
      </c>
    </row>
    <row r="26" spans="1:17" ht="19.5" customHeight="1">
      <c r="A26" s="110">
        <v>8</v>
      </c>
      <c r="B26" s="13" t="s">
        <v>63</v>
      </c>
      <c r="C26" s="11" t="s">
        <v>8</v>
      </c>
      <c r="D26" s="162">
        <f t="shared" si="2"/>
        <v>1</v>
      </c>
      <c r="E26" s="162"/>
      <c r="F26" s="162">
        <f>1%*SUM(F19:F25)</f>
        <v>5667.2</v>
      </c>
      <c r="G26" s="11"/>
      <c r="H26" s="11"/>
      <c r="J26" s="101">
        <f>+$F26*J$17</f>
        <v>37686.879999999997</v>
      </c>
      <c r="K26" s="101">
        <f>+$F26*K$17</f>
        <v>0</v>
      </c>
      <c r="L26" s="157">
        <f>$M$26</f>
        <v>1</v>
      </c>
      <c r="M26" s="219">
        <v>1</v>
      </c>
      <c r="N26" s="162">
        <v>1</v>
      </c>
      <c r="O26" s="162">
        <v>1</v>
      </c>
      <c r="P26" s="162">
        <v>1</v>
      </c>
      <c r="Q26" s="162">
        <v>0</v>
      </c>
    </row>
    <row r="27" spans="1:17" ht="19.5" customHeight="1">
      <c r="A27" s="110" t="s">
        <v>2</v>
      </c>
      <c r="B27" s="111" t="s">
        <v>25</v>
      </c>
      <c r="C27" s="110" t="s">
        <v>6</v>
      </c>
      <c r="D27" s="283"/>
      <c r="E27" s="283"/>
      <c r="F27" s="283"/>
      <c r="G27" s="110"/>
      <c r="H27" s="110"/>
      <c r="L27" s="157">
        <f>$M$27</f>
        <v>0</v>
      </c>
      <c r="M27" s="219"/>
      <c r="N27" s="162"/>
      <c r="O27" s="162"/>
      <c r="P27" s="162"/>
      <c r="Q27" s="162"/>
    </row>
    <row r="28" spans="1:17" ht="19.5" customHeight="1">
      <c r="A28" s="110"/>
      <c r="B28" s="112" t="s">
        <v>60</v>
      </c>
      <c r="C28" s="11" t="s">
        <v>40</v>
      </c>
      <c r="D28" s="161">
        <f t="shared" si="2"/>
        <v>23.82</v>
      </c>
      <c r="E28" s="162">
        <f>VLOOKUP($B28,'VL-NC-M'!$B$6:$F$101,5,0)</f>
        <v>495000</v>
      </c>
      <c r="F28" s="162"/>
      <c r="G28" s="162">
        <f>+D28*E28</f>
        <v>11790900</v>
      </c>
      <c r="H28" s="113"/>
      <c r="J28" s="118">
        <f>+$D28*J$17*$K$1</f>
        <v>174.24330000000003</v>
      </c>
      <c r="K28" s="118">
        <f>+$D28*K$17*$K$1</f>
        <v>0</v>
      </c>
      <c r="L28" s="156">
        <f>$M$28</f>
        <v>23.82</v>
      </c>
      <c r="M28" s="218">
        <v>23.82</v>
      </c>
      <c r="N28" s="161">
        <v>23.82</v>
      </c>
      <c r="O28" s="161">
        <v>26.19</v>
      </c>
      <c r="P28" s="161">
        <v>28.8</v>
      </c>
      <c r="Q28" s="161">
        <v>0</v>
      </c>
    </row>
    <row r="29" spans="1:17" ht="19.5" customHeight="1">
      <c r="A29" s="110" t="s">
        <v>3</v>
      </c>
      <c r="B29" s="111" t="s">
        <v>61</v>
      </c>
      <c r="C29" s="110" t="s">
        <v>7</v>
      </c>
      <c r="D29" s="164"/>
      <c r="E29" s="283"/>
      <c r="F29" s="283"/>
      <c r="G29" s="114"/>
      <c r="H29" s="114"/>
      <c r="L29" s="156">
        <f>$M$29</f>
        <v>0</v>
      </c>
      <c r="M29" s="218"/>
      <c r="N29" s="161"/>
      <c r="O29" s="161"/>
      <c r="P29" s="161"/>
      <c r="Q29" s="161"/>
    </row>
    <row r="30" spans="1:17" ht="19.5" customHeight="1">
      <c r="A30" s="110"/>
      <c r="B30" s="109" t="s">
        <v>99</v>
      </c>
      <c r="C30" s="11" t="s">
        <v>13</v>
      </c>
      <c r="D30" s="161">
        <f t="shared" si="2"/>
        <v>9.26</v>
      </c>
      <c r="E30" s="162">
        <f>VLOOKUP($B30,'VL-NC-M'!$B$6:$F$101,5,0)</f>
        <v>1587824</v>
      </c>
      <c r="F30" s="162"/>
      <c r="G30" s="11"/>
      <c r="H30" s="162">
        <f>D30*E30</f>
        <v>14703250.24</v>
      </c>
      <c r="J30" s="118">
        <f t="shared" ref="J30:K33" si="3">+$D30*J$17*$K$1</f>
        <v>67.736900000000006</v>
      </c>
      <c r="K30" s="118">
        <f t="shared" si="3"/>
        <v>0</v>
      </c>
      <c r="L30" s="156">
        <f>$M$30</f>
        <v>9.26</v>
      </c>
      <c r="M30" s="218">
        <v>9.26</v>
      </c>
      <c r="N30" s="161">
        <v>9.26</v>
      </c>
      <c r="O30" s="161">
        <v>10.19</v>
      </c>
      <c r="P30" s="161">
        <v>12.22</v>
      </c>
      <c r="Q30" s="161">
        <v>0</v>
      </c>
    </row>
    <row r="31" spans="1:17" ht="19.5" customHeight="1">
      <c r="A31" s="110"/>
      <c r="B31" s="109" t="s">
        <v>100</v>
      </c>
      <c r="C31" s="11" t="s">
        <v>13</v>
      </c>
      <c r="D31" s="161">
        <f t="shared" si="2"/>
        <v>9.26</v>
      </c>
      <c r="E31" s="162">
        <f>VLOOKUP($B31,'VL-NC-M'!$B$6:$F$101,5,0)</f>
        <v>554101</v>
      </c>
      <c r="F31" s="162"/>
      <c r="G31" s="11"/>
      <c r="H31" s="162">
        <f>D31*E31</f>
        <v>5130975.26</v>
      </c>
      <c r="J31" s="118">
        <f t="shared" si="3"/>
        <v>67.736900000000006</v>
      </c>
      <c r="K31" s="118">
        <f t="shared" si="3"/>
        <v>0</v>
      </c>
      <c r="L31" s="156">
        <f>$M$31</f>
        <v>9.26</v>
      </c>
      <c r="M31" s="218">
        <v>9.26</v>
      </c>
      <c r="N31" s="161">
        <v>9.26</v>
      </c>
      <c r="O31" s="161">
        <v>10.19</v>
      </c>
      <c r="P31" s="161">
        <v>12.22</v>
      </c>
      <c r="Q31" s="161">
        <v>0</v>
      </c>
    </row>
    <row r="32" spans="1:17" ht="19.5" customHeight="1">
      <c r="A32" s="110"/>
      <c r="B32" s="109" t="s">
        <v>101</v>
      </c>
      <c r="C32" s="11" t="s">
        <v>13</v>
      </c>
      <c r="D32" s="161">
        <f t="shared" si="2"/>
        <v>18.52</v>
      </c>
      <c r="E32" s="162">
        <f>VLOOKUP($B32,'VL-NC-M'!$B$6:$F$101,5,0)</f>
        <v>518226</v>
      </c>
      <c r="F32" s="162"/>
      <c r="G32" s="11"/>
      <c r="H32" s="162">
        <f>D32*E32</f>
        <v>9597545.5199999996</v>
      </c>
      <c r="J32" s="118">
        <f t="shared" si="3"/>
        <v>135.47380000000001</v>
      </c>
      <c r="K32" s="118">
        <f t="shared" si="3"/>
        <v>0</v>
      </c>
      <c r="L32" s="156">
        <f>$M$32</f>
        <v>18.52</v>
      </c>
      <c r="M32" s="218">
        <v>18.52</v>
      </c>
      <c r="N32" s="161">
        <v>18.52</v>
      </c>
      <c r="O32" s="161">
        <v>20.38</v>
      </c>
      <c r="P32" s="161">
        <v>24.44</v>
      </c>
      <c r="Q32" s="161">
        <v>0</v>
      </c>
    </row>
    <row r="33" spans="1:17" ht="19.5" customHeight="1">
      <c r="A33" s="115"/>
      <c r="B33" s="116" t="s">
        <v>104</v>
      </c>
      <c r="C33" s="117" t="s">
        <v>13</v>
      </c>
      <c r="D33" s="165">
        <f t="shared" si="2"/>
        <v>10.19</v>
      </c>
      <c r="E33" s="265">
        <f>VLOOKUP($B33,'VL-NC-M'!$B$6:$F$101,5,0)</f>
        <v>995354</v>
      </c>
      <c r="F33" s="265"/>
      <c r="G33" s="117"/>
      <c r="H33" s="265">
        <f>D33*E33</f>
        <v>10142657.26</v>
      </c>
      <c r="J33" s="118">
        <f t="shared" si="3"/>
        <v>74.539850000000001</v>
      </c>
      <c r="K33" s="118">
        <f t="shared" si="3"/>
        <v>0</v>
      </c>
      <c r="L33" s="159">
        <f>$M$33</f>
        <v>10.19</v>
      </c>
      <c r="M33" s="221">
        <v>10.19</v>
      </c>
      <c r="N33" s="165">
        <v>10.19</v>
      </c>
      <c r="O33" s="165">
        <v>12.12</v>
      </c>
      <c r="P33" s="165">
        <v>13.44</v>
      </c>
      <c r="Q33" s="165">
        <v>0</v>
      </c>
    </row>
    <row r="34" spans="1:17" ht="19.5" customHeight="1">
      <c r="A34" s="119"/>
      <c r="B34" s="120" t="s">
        <v>127</v>
      </c>
      <c r="C34" s="121" t="s">
        <v>10</v>
      </c>
      <c r="D34" s="253"/>
      <c r="E34" s="254"/>
      <c r="F34" s="254">
        <f>SUM(F19:F33)</f>
        <v>572387.19999999995</v>
      </c>
      <c r="G34" s="254">
        <f>SUM(G19:G33)</f>
        <v>11790900</v>
      </c>
      <c r="H34" s="284">
        <f>SUM(H23:H33)</f>
        <v>39574428.280000001</v>
      </c>
      <c r="L34" s="554" t="str">
        <f>$M$34</f>
        <v>0,5 ÷ 12m</v>
      </c>
      <c r="M34" s="555" t="s">
        <v>268</v>
      </c>
      <c r="N34" s="708" t="s">
        <v>268</v>
      </c>
      <c r="O34" s="708" t="s">
        <v>269</v>
      </c>
      <c r="P34" s="708" t="s">
        <v>270</v>
      </c>
      <c r="Q34" s="708" t="s">
        <v>259</v>
      </c>
    </row>
    <row r="35" spans="1:17" ht="13.5" customHeight="1">
      <c r="M35" s="101" t="s">
        <v>267</v>
      </c>
    </row>
    <row r="36" spans="1:17" ht="19.5" customHeight="1">
      <c r="A36" s="877" t="str">
        <f>"Dò tìm bom mìn, vật nổ dưới nước từ 0,5m - 3m cho 1 ha. Nước sâu "&amp;L57</f>
        <v>Dò tìm bom mìn, vật nổ dưới nước từ 0,5m - 3m cho 1 ha. Nước sâu 0,5 ÷ 12m</v>
      </c>
      <c r="B36" s="877"/>
      <c r="C36" s="877"/>
      <c r="D36" s="877"/>
      <c r="E36" s="877"/>
      <c r="F36" s="877"/>
      <c r="G36" s="877"/>
      <c r="H36" s="877"/>
    </row>
    <row r="37" spans="1:17" ht="19.5" customHeight="1">
      <c r="A37" s="877" t="str" cm="1">
        <f t="array" aca="1" ref="A37" ca="1">"Số hiệu định mức: 030.0200."&amp;INDIRECT(ADDRESS(ROW(L40),COLUMN(L40)+L40,1,1))</f>
        <v>Số hiệu định mức: 030.0200.1</v>
      </c>
      <c r="B37" s="877"/>
      <c r="C37" s="877"/>
      <c r="D37" s="877"/>
      <c r="E37" s="877"/>
      <c r="F37" s="877"/>
      <c r="G37" s="877"/>
      <c r="H37" s="877"/>
    </row>
    <row r="38" spans="1:17" ht="19.5" customHeight="1">
      <c r="A38" s="102"/>
      <c r="B38" s="22"/>
      <c r="C38" s="22"/>
      <c r="D38" s="279"/>
      <c r="E38" s="280"/>
      <c r="F38" s="280"/>
      <c r="G38" s="248" t="s">
        <v>236</v>
      </c>
      <c r="H38" s="103"/>
    </row>
    <row r="39" spans="1:17" ht="19.5" customHeight="1">
      <c r="A39" s="878" t="s">
        <v>18</v>
      </c>
      <c r="B39" s="878" t="s">
        <v>43</v>
      </c>
      <c r="C39" s="879" t="s">
        <v>42</v>
      </c>
      <c r="D39" s="879" t="s">
        <v>22</v>
      </c>
      <c r="E39" s="879" t="s">
        <v>237</v>
      </c>
      <c r="F39" s="880" t="s">
        <v>45</v>
      </c>
      <c r="G39" s="880"/>
      <c r="H39" s="880"/>
      <c r="L39" s="520" t="s">
        <v>254</v>
      </c>
      <c r="M39" s="836" t="s">
        <v>255</v>
      </c>
      <c r="N39" s="837"/>
      <c r="O39" s="837"/>
      <c r="P39" s="837"/>
      <c r="Q39" s="838"/>
    </row>
    <row r="40" spans="1:17" ht="19.5" customHeight="1">
      <c r="A40" s="878"/>
      <c r="B40" s="878"/>
      <c r="C40" s="879"/>
      <c r="D40" s="879"/>
      <c r="E40" s="879"/>
      <c r="F40" s="105" t="s">
        <v>59</v>
      </c>
      <c r="G40" s="105" t="s">
        <v>25</v>
      </c>
      <c r="H40" s="105" t="s">
        <v>81</v>
      </c>
      <c r="J40" s="184">
        <f>'Gia DT TC'!D21</f>
        <v>6.58</v>
      </c>
      <c r="K40" s="184">
        <f>'Gia DT TC'!E21</f>
        <v>0</v>
      </c>
      <c r="L40" s="521">
        <v>1</v>
      </c>
      <c r="M40" s="522">
        <v>1</v>
      </c>
      <c r="N40" s="522">
        <v>1</v>
      </c>
      <c r="O40" s="522">
        <v>2</v>
      </c>
      <c r="P40" s="522">
        <v>3</v>
      </c>
      <c r="Q40" s="522">
        <v>4</v>
      </c>
    </row>
    <row r="41" spans="1:17" ht="19.5" customHeight="1">
      <c r="A41" s="100" t="s">
        <v>1</v>
      </c>
      <c r="B41" s="106" t="s">
        <v>59</v>
      </c>
      <c r="C41" s="100" t="s">
        <v>5</v>
      </c>
      <c r="D41" s="281"/>
      <c r="E41" s="281"/>
      <c r="F41" s="282"/>
      <c r="G41" s="107"/>
      <c r="H41" s="107"/>
      <c r="L41" s="154">
        <f>$M$41</f>
        <v>0</v>
      </c>
      <c r="M41" s="215"/>
      <c r="N41" s="216"/>
      <c r="O41" s="216"/>
      <c r="P41" s="216"/>
      <c r="Q41" s="216"/>
    </row>
    <row r="42" spans="1:17" ht="19.5" customHeight="1">
      <c r="A42" s="108">
        <v>1</v>
      </c>
      <c r="B42" s="109" t="s">
        <v>92</v>
      </c>
      <c r="C42" s="11" t="s">
        <v>41</v>
      </c>
      <c r="D42" s="160">
        <v>3.2000000000000001E-2</v>
      </c>
      <c r="E42" s="162">
        <f>VLOOKUP($B42,'VL-NC-M'!$B$81:$F$101,5,0)</f>
        <v>500000</v>
      </c>
      <c r="F42" s="162">
        <f t="shared" ref="F42:F48" si="4">E42*D42</f>
        <v>16000</v>
      </c>
      <c r="G42" s="11"/>
      <c r="H42" s="11"/>
      <c r="J42" s="101">
        <f>+$D42*J$40</f>
        <v>0.21056</v>
      </c>
      <c r="K42" s="101">
        <f>+$D42*K$40</f>
        <v>0</v>
      </c>
      <c r="L42" s="155">
        <f>$M$42</f>
        <v>0</v>
      </c>
      <c r="M42" s="217"/>
      <c r="N42" s="160">
        <v>3.2000000000000001E-2</v>
      </c>
      <c r="O42" s="160">
        <v>3.2000000000000001E-2</v>
      </c>
      <c r="P42" s="160">
        <v>3.2000000000000001E-2</v>
      </c>
      <c r="Q42" s="160">
        <v>0</v>
      </c>
    </row>
    <row r="43" spans="1:17" ht="19.5" customHeight="1">
      <c r="A43" s="108">
        <v>2</v>
      </c>
      <c r="B43" s="109" t="s">
        <v>93</v>
      </c>
      <c r="C43" s="11" t="s">
        <v>41</v>
      </c>
      <c r="D43" s="160">
        <v>6.4000000000000001E-2</v>
      </c>
      <c r="E43" s="162">
        <f>VLOOKUP($B43,'VL-NC-M'!$B$81:$F$101,5,0)</f>
        <v>200000</v>
      </c>
      <c r="F43" s="162">
        <f t="shared" si="4"/>
        <v>12800</v>
      </c>
      <c r="G43" s="11"/>
      <c r="H43" s="11"/>
      <c r="J43" s="101">
        <f t="shared" ref="J43:K48" si="5">+$D43*J$40</f>
        <v>0.42111999999999999</v>
      </c>
      <c r="K43" s="101">
        <f t="shared" si="5"/>
        <v>0</v>
      </c>
      <c r="L43" s="155">
        <f>$M$43</f>
        <v>0</v>
      </c>
      <c r="M43" s="217"/>
      <c r="N43" s="160">
        <v>6.4000000000000001E-2</v>
      </c>
      <c r="O43" s="160">
        <v>6.4000000000000001E-2</v>
      </c>
      <c r="P43" s="160">
        <v>6.4000000000000001E-2</v>
      </c>
      <c r="Q43" s="160">
        <v>0</v>
      </c>
    </row>
    <row r="44" spans="1:17" ht="19.5" customHeight="1">
      <c r="A44" s="108">
        <v>3</v>
      </c>
      <c r="B44" s="109" t="s">
        <v>94</v>
      </c>
      <c r="C44" s="11" t="s">
        <v>41</v>
      </c>
      <c r="D44" s="161">
        <v>0.32</v>
      </c>
      <c r="E44" s="162">
        <f>VLOOKUP($B44,'VL-NC-M'!$B$81:$F$101,5,0)</f>
        <v>100000</v>
      </c>
      <c r="F44" s="162">
        <f t="shared" si="4"/>
        <v>32000</v>
      </c>
      <c r="G44" s="11"/>
      <c r="H44" s="11"/>
      <c r="J44" s="101">
        <f t="shared" si="5"/>
        <v>2.1055999999999999</v>
      </c>
      <c r="K44" s="101">
        <f t="shared" si="5"/>
        <v>0</v>
      </c>
      <c r="L44" s="156">
        <f>$M$44</f>
        <v>0</v>
      </c>
      <c r="M44" s="218"/>
      <c r="N44" s="161">
        <v>0.32</v>
      </c>
      <c r="O44" s="161">
        <v>0.32</v>
      </c>
      <c r="P44" s="161">
        <v>0.32</v>
      </c>
      <c r="Q44" s="161">
        <v>0</v>
      </c>
    </row>
    <row r="45" spans="1:17" ht="19.5" customHeight="1">
      <c r="A45" s="108">
        <v>4</v>
      </c>
      <c r="B45" s="109" t="s">
        <v>95</v>
      </c>
      <c r="C45" s="11" t="s">
        <v>41</v>
      </c>
      <c r="D45" s="161">
        <v>4</v>
      </c>
      <c r="E45" s="162">
        <f>VLOOKUP($B45,'VL-NC-M'!$B$81:$F$101,5,0)</f>
        <v>10000</v>
      </c>
      <c r="F45" s="162">
        <f t="shared" si="4"/>
        <v>40000</v>
      </c>
      <c r="G45" s="11"/>
      <c r="H45" s="11"/>
      <c r="J45" s="101">
        <f t="shared" si="5"/>
        <v>26.32</v>
      </c>
      <c r="K45" s="101">
        <f t="shared" si="5"/>
        <v>0</v>
      </c>
      <c r="L45" s="156">
        <f>$M$45</f>
        <v>4</v>
      </c>
      <c r="M45" s="218">
        <v>4</v>
      </c>
      <c r="N45" s="161">
        <v>4</v>
      </c>
      <c r="O45" s="161">
        <v>4</v>
      </c>
      <c r="P45" s="161">
        <v>4</v>
      </c>
      <c r="Q45" s="161">
        <v>0</v>
      </c>
    </row>
    <row r="46" spans="1:17" ht="19.5" customHeight="1">
      <c r="A46" s="108">
        <v>5</v>
      </c>
      <c r="B46" s="109" t="s">
        <v>96</v>
      </c>
      <c r="C46" s="11" t="s">
        <v>4</v>
      </c>
      <c r="D46" s="161">
        <f t="shared" ref="D46:D56" si="6">L46</f>
        <v>105</v>
      </c>
      <c r="E46" s="162">
        <f>VLOOKUP($B46,'VL-NC-M'!$B$81:$F$101,5,0)</f>
        <v>2000</v>
      </c>
      <c r="F46" s="162">
        <f>E46*D46</f>
        <v>210000</v>
      </c>
      <c r="G46" s="11"/>
      <c r="H46" s="11"/>
      <c r="J46" s="101">
        <f t="shared" si="5"/>
        <v>690.9</v>
      </c>
      <c r="K46" s="101">
        <f t="shared" si="5"/>
        <v>0</v>
      </c>
      <c r="L46" s="156">
        <f>$M$46</f>
        <v>105</v>
      </c>
      <c r="M46" s="218">
        <v>105</v>
      </c>
      <c r="N46" s="161">
        <v>105</v>
      </c>
      <c r="O46" s="161">
        <v>105</v>
      </c>
      <c r="P46" s="161">
        <v>105</v>
      </c>
      <c r="Q46" s="161">
        <v>0</v>
      </c>
    </row>
    <row r="47" spans="1:17" ht="19.5" customHeight="1">
      <c r="A47" s="108">
        <v>6</v>
      </c>
      <c r="B47" s="109" t="s">
        <v>97</v>
      </c>
      <c r="C47" s="11" t="s">
        <v>4</v>
      </c>
      <c r="D47" s="161">
        <f t="shared" si="6"/>
        <v>8</v>
      </c>
      <c r="E47" s="162">
        <f>VLOOKUP($B47,'VL-NC-M'!$B$81:$F$101,5,0)</f>
        <v>2500</v>
      </c>
      <c r="F47" s="162">
        <f t="shared" si="4"/>
        <v>20000</v>
      </c>
      <c r="G47" s="11"/>
      <c r="H47" s="11"/>
      <c r="J47" s="101">
        <f t="shared" si="5"/>
        <v>52.64</v>
      </c>
      <c r="K47" s="101">
        <f t="shared" si="5"/>
        <v>0</v>
      </c>
      <c r="L47" s="156">
        <f>$M$47</f>
        <v>8</v>
      </c>
      <c r="M47" s="218">
        <v>8</v>
      </c>
      <c r="N47" s="161">
        <v>8</v>
      </c>
      <c r="O47" s="161">
        <v>18.5</v>
      </c>
      <c r="P47" s="161">
        <v>27</v>
      </c>
      <c r="Q47" s="161">
        <v>0</v>
      </c>
    </row>
    <row r="48" spans="1:17" ht="19.5" customHeight="1">
      <c r="A48" s="11">
        <v>7</v>
      </c>
      <c r="B48" s="109" t="s">
        <v>98</v>
      </c>
      <c r="C48" s="11" t="s">
        <v>4</v>
      </c>
      <c r="D48" s="161">
        <f t="shared" si="6"/>
        <v>8.64</v>
      </c>
      <c r="E48" s="162">
        <f>VLOOKUP($B48,'VL-NC-M'!$B$81:$F$101,5,0)</f>
        <v>3000</v>
      </c>
      <c r="F48" s="162">
        <f t="shared" si="4"/>
        <v>25920</v>
      </c>
      <c r="G48" s="11"/>
      <c r="H48" s="11"/>
      <c r="J48" s="101">
        <f t="shared" si="5"/>
        <v>56.851200000000006</v>
      </c>
      <c r="K48" s="101">
        <f t="shared" si="5"/>
        <v>0</v>
      </c>
      <c r="L48" s="156">
        <f>$M$48</f>
        <v>8.64</v>
      </c>
      <c r="M48" s="218">
        <v>8.64</v>
      </c>
      <c r="N48" s="161">
        <v>8.64</v>
      </c>
      <c r="O48" s="161">
        <v>8.64</v>
      </c>
      <c r="P48" s="161">
        <v>8.64</v>
      </c>
      <c r="Q48" s="161">
        <v>0</v>
      </c>
    </row>
    <row r="49" spans="1:17" ht="19.5" customHeight="1">
      <c r="A49" s="11">
        <v>8</v>
      </c>
      <c r="B49" s="13" t="s">
        <v>63</v>
      </c>
      <c r="C49" s="11" t="s">
        <v>8</v>
      </c>
      <c r="D49" s="162">
        <f t="shared" si="6"/>
        <v>1</v>
      </c>
      <c r="E49" s="162"/>
      <c r="F49" s="162">
        <f>1%*SUM(F42:F48)</f>
        <v>3567.2000000000003</v>
      </c>
      <c r="G49" s="11"/>
      <c r="H49" s="11"/>
      <c r="J49" s="101">
        <f>+$F49*J$40</f>
        <v>23472.176000000003</v>
      </c>
      <c r="K49" s="101">
        <f>+$F49*K$40</f>
        <v>0</v>
      </c>
      <c r="L49" s="157">
        <f>$M$49</f>
        <v>1</v>
      </c>
      <c r="M49" s="219">
        <v>1</v>
      </c>
      <c r="N49" s="162">
        <v>1</v>
      </c>
      <c r="O49" s="162">
        <v>1</v>
      </c>
      <c r="P49" s="162">
        <v>1</v>
      </c>
      <c r="Q49" s="162">
        <v>0</v>
      </c>
    </row>
    <row r="50" spans="1:17" ht="19.5" customHeight="1">
      <c r="A50" s="110" t="s">
        <v>2</v>
      </c>
      <c r="B50" s="111" t="s">
        <v>25</v>
      </c>
      <c r="C50" s="110" t="s">
        <v>6</v>
      </c>
      <c r="D50" s="283"/>
      <c r="E50" s="283"/>
      <c r="F50" s="283"/>
      <c r="G50" s="110"/>
      <c r="H50" s="110"/>
      <c r="L50" s="157">
        <f>$M$50</f>
        <v>0</v>
      </c>
      <c r="M50" s="219"/>
      <c r="N50" s="162"/>
      <c r="O50" s="162"/>
      <c r="P50" s="162"/>
      <c r="Q50" s="162"/>
    </row>
    <row r="51" spans="1:17" ht="19.5" customHeight="1">
      <c r="A51" s="110"/>
      <c r="B51" s="112" t="s">
        <v>60</v>
      </c>
      <c r="C51" s="11" t="s">
        <v>40</v>
      </c>
      <c r="D51" s="161">
        <f t="shared" si="6"/>
        <v>9.81</v>
      </c>
      <c r="E51" s="162">
        <f>VLOOKUP($B51,'VL-NC-M'!$B$6:$F$101,5,0)</f>
        <v>495000</v>
      </c>
      <c r="F51" s="162"/>
      <c r="G51" s="162">
        <f>+D51*E51</f>
        <v>4855950</v>
      </c>
      <c r="H51" s="113"/>
      <c r="J51" s="118">
        <f>+$D51*J$40*$K$1</f>
        <v>71.004780000000011</v>
      </c>
      <c r="K51" s="118">
        <f>+$D51*K$40*$K$1</f>
        <v>0</v>
      </c>
      <c r="L51" s="156">
        <f>$M$51</f>
        <v>9.81</v>
      </c>
      <c r="M51" s="218">
        <v>9.81</v>
      </c>
      <c r="N51" s="161">
        <v>9.81</v>
      </c>
      <c r="O51" s="161">
        <v>10.8</v>
      </c>
      <c r="P51" s="161">
        <v>11.88</v>
      </c>
      <c r="Q51" s="161">
        <v>0</v>
      </c>
    </row>
    <row r="52" spans="1:17" ht="19.5" customHeight="1">
      <c r="A52" s="110" t="s">
        <v>3</v>
      </c>
      <c r="B52" s="111" t="s">
        <v>61</v>
      </c>
      <c r="C52" s="110" t="s">
        <v>7</v>
      </c>
      <c r="D52" s="164"/>
      <c r="E52" s="283"/>
      <c r="F52" s="283"/>
      <c r="G52" s="114"/>
      <c r="H52" s="114"/>
      <c r="L52" s="156">
        <f>$M$52</f>
        <v>0</v>
      </c>
      <c r="M52" s="218"/>
      <c r="N52" s="161"/>
      <c r="O52" s="161"/>
      <c r="P52" s="161"/>
      <c r="Q52" s="161"/>
    </row>
    <row r="53" spans="1:17" ht="19.5" customHeight="1">
      <c r="A53" s="110"/>
      <c r="B53" s="109" t="s">
        <v>99</v>
      </c>
      <c r="C53" s="11" t="s">
        <v>13</v>
      </c>
      <c r="D53" s="161">
        <f t="shared" si="6"/>
        <v>4.63</v>
      </c>
      <c r="E53" s="162">
        <f>VLOOKUP($B53,'VL-NC-M'!$B$6:$F$101,5,0)</f>
        <v>1587824</v>
      </c>
      <c r="F53" s="162"/>
      <c r="G53" s="11"/>
      <c r="H53" s="162">
        <f>D53*E53</f>
        <v>7351625.1200000001</v>
      </c>
      <c r="J53" s="118">
        <f t="shared" ref="J53:K56" si="7">+$D53*J$40*$K$1</f>
        <v>33.511940000000003</v>
      </c>
      <c r="K53" s="118">
        <f t="shared" si="7"/>
        <v>0</v>
      </c>
      <c r="L53" s="156">
        <f>$M$53</f>
        <v>4.63</v>
      </c>
      <c r="M53" s="218">
        <v>4.63</v>
      </c>
      <c r="N53" s="161">
        <v>4.63</v>
      </c>
      <c r="O53" s="161">
        <v>5.0999999999999996</v>
      </c>
      <c r="P53" s="161">
        <v>5.61</v>
      </c>
      <c r="Q53" s="161">
        <v>0</v>
      </c>
    </row>
    <row r="54" spans="1:17" ht="19.5" customHeight="1">
      <c r="A54" s="110"/>
      <c r="B54" s="109" t="s">
        <v>100</v>
      </c>
      <c r="C54" s="11" t="s">
        <v>13</v>
      </c>
      <c r="D54" s="161">
        <f t="shared" si="6"/>
        <v>4.63</v>
      </c>
      <c r="E54" s="162">
        <f>VLOOKUP($B54,'VL-NC-M'!$B$6:$F$101,5,0)</f>
        <v>554101</v>
      </c>
      <c r="F54" s="162"/>
      <c r="G54" s="11"/>
      <c r="H54" s="162">
        <f>D54*E54</f>
        <v>2565487.63</v>
      </c>
      <c r="J54" s="118">
        <f t="shared" si="7"/>
        <v>33.511940000000003</v>
      </c>
      <c r="K54" s="118">
        <f t="shared" si="7"/>
        <v>0</v>
      </c>
      <c r="L54" s="156">
        <f>$M$54</f>
        <v>4.63</v>
      </c>
      <c r="M54" s="218">
        <v>4.63</v>
      </c>
      <c r="N54" s="161">
        <v>4.63</v>
      </c>
      <c r="O54" s="161">
        <v>5.0999999999999996</v>
      </c>
      <c r="P54" s="161">
        <v>5.61</v>
      </c>
      <c r="Q54" s="161">
        <v>0</v>
      </c>
    </row>
    <row r="55" spans="1:17" ht="19.5" customHeight="1">
      <c r="A55" s="110"/>
      <c r="B55" s="109" t="s">
        <v>101</v>
      </c>
      <c r="C55" s="11" t="s">
        <v>13</v>
      </c>
      <c r="D55" s="161">
        <f t="shared" si="6"/>
        <v>9.26</v>
      </c>
      <c r="E55" s="162">
        <f>VLOOKUP($B55,'VL-NC-M'!$B$6:$F$101,5,0)</f>
        <v>518226</v>
      </c>
      <c r="F55" s="162"/>
      <c r="G55" s="11"/>
      <c r="H55" s="162">
        <f>D55*E55</f>
        <v>4798772.76</v>
      </c>
      <c r="J55" s="118">
        <f t="shared" si="7"/>
        <v>67.023880000000005</v>
      </c>
      <c r="K55" s="118">
        <f t="shared" si="7"/>
        <v>0</v>
      </c>
      <c r="L55" s="156">
        <f>$M$55</f>
        <v>9.26</v>
      </c>
      <c r="M55" s="218">
        <v>9.26</v>
      </c>
      <c r="N55" s="161">
        <v>9.26</v>
      </c>
      <c r="O55" s="161">
        <v>10.199999999999999</v>
      </c>
      <c r="P55" s="161">
        <v>11.22</v>
      </c>
      <c r="Q55" s="161">
        <v>0</v>
      </c>
    </row>
    <row r="56" spans="1:17" ht="19.5" customHeight="1">
      <c r="A56" s="115"/>
      <c r="B56" s="116" t="s">
        <v>104</v>
      </c>
      <c r="C56" s="117" t="s">
        <v>13</v>
      </c>
      <c r="D56" s="165">
        <f t="shared" si="6"/>
        <v>5.0999999999999996</v>
      </c>
      <c r="E56" s="265">
        <f>VLOOKUP($B56,'VL-NC-M'!$B$6:$F$101,5,0)</f>
        <v>995354</v>
      </c>
      <c r="F56" s="265"/>
      <c r="G56" s="117"/>
      <c r="H56" s="265">
        <f>D56*E56</f>
        <v>5076305.3999999994</v>
      </c>
      <c r="J56" s="118">
        <f t="shared" si="7"/>
        <v>36.913800000000002</v>
      </c>
      <c r="K56" s="118">
        <f t="shared" si="7"/>
        <v>0</v>
      </c>
      <c r="L56" s="159">
        <f>$M$56</f>
        <v>5.0999999999999996</v>
      </c>
      <c r="M56" s="221">
        <v>5.0999999999999996</v>
      </c>
      <c r="N56" s="165">
        <v>5.0999999999999996</v>
      </c>
      <c r="O56" s="165">
        <v>5.61</v>
      </c>
      <c r="P56" s="165">
        <v>6.17</v>
      </c>
      <c r="Q56" s="165">
        <v>0</v>
      </c>
    </row>
    <row r="57" spans="1:17" ht="19.5" customHeight="1">
      <c r="A57" s="119"/>
      <c r="B57" s="120" t="s">
        <v>127</v>
      </c>
      <c r="C57" s="121" t="s">
        <v>10</v>
      </c>
      <c r="D57" s="253"/>
      <c r="E57" s="254"/>
      <c r="F57" s="254">
        <f>SUM(F42:F56)</f>
        <v>360287.2</v>
      </c>
      <c r="G57" s="254">
        <f>SUM(G42:G56)</f>
        <v>4855950</v>
      </c>
      <c r="H57" s="254">
        <f>SUM(H42:H56)</f>
        <v>19792190.91</v>
      </c>
      <c r="L57" s="556" t="str">
        <f>$M$57</f>
        <v>0,5 ÷ 12m</v>
      </c>
      <c r="M57" s="555" t="s">
        <v>268</v>
      </c>
      <c r="N57" s="708" t="s">
        <v>268</v>
      </c>
      <c r="O57" s="708" t="s">
        <v>269</v>
      </c>
      <c r="P57" s="708" t="s">
        <v>270</v>
      </c>
      <c r="Q57" s="708" t="s">
        <v>259</v>
      </c>
    </row>
    <row r="58" spans="1:17" ht="39" customHeight="1">
      <c r="A58" s="881" t="str">
        <f>"Đánh dấu tín hiệu dưới nước đến 0,5m, đến 3m tính từ đáy nước. Nước sâu "&amp;L74</f>
        <v>Đánh dấu tín hiệu dưới nước đến 0,5m, đến 3m tính từ đáy nước. Nước sâu 0,5 ÷ 3m</v>
      </c>
      <c r="B58" s="881"/>
      <c r="C58" s="881"/>
      <c r="D58" s="881"/>
      <c r="E58" s="881"/>
      <c r="F58" s="881"/>
      <c r="G58" s="881"/>
      <c r="H58" s="881"/>
      <c r="M58" s="556" t="s">
        <v>267</v>
      </c>
    </row>
    <row r="59" spans="1:17" ht="19.5" customHeight="1">
      <c r="A59" s="877" t="str" cm="1">
        <f t="array" aca="1" ref="A59" ca="1">"Số hiệu định mức: 030.0300."&amp;INDIRECT(ADDRESS(ROW(L62),COLUMN(L62)+L62,1,1))</f>
        <v>Số hiệu định mức: 030.0300.1</v>
      </c>
      <c r="B59" s="877"/>
      <c r="C59" s="877"/>
      <c r="D59" s="877"/>
      <c r="E59" s="877"/>
      <c r="F59" s="877"/>
      <c r="G59" s="877"/>
      <c r="H59" s="877"/>
    </row>
    <row r="60" spans="1:17" ht="22.5" customHeight="1">
      <c r="A60" s="102"/>
      <c r="B60" s="102"/>
      <c r="C60" s="22"/>
      <c r="D60" s="257"/>
      <c r="E60" s="257"/>
      <c r="F60" s="256"/>
      <c r="G60" s="248" t="s">
        <v>130</v>
      </c>
      <c r="H60" s="22"/>
    </row>
    <row r="61" spans="1:17" ht="19.5" customHeight="1">
      <c r="A61" s="878" t="s">
        <v>18</v>
      </c>
      <c r="B61" s="878" t="s">
        <v>43</v>
      </c>
      <c r="C61" s="879" t="s">
        <v>42</v>
      </c>
      <c r="D61" s="879" t="s">
        <v>22</v>
      </c>
      <c r="E61" s="879" t="s">
        <v>237</v>
      </c>
      <c r="F61" s="880" t="s">
        <v>45</v>
      </c>
      <c r="G61" s="880"/>
      <c r="H61" s="880"/>
      <c r="L61" s="520" t="s">
        <v>254</v>
      </c>
      <c r="M61" s="836" t="s">
        <v>255</v>
      </c>
      <c r="N61" s="837"/>
      <c r="O61" s="837"/>
      <c r="P61" s="837"/>
      <c r="Q61" s="838"/>
    </row>
    <row r="62" spans="1:17" ht="19.5" customHeight="1">
      <c r="A62" s="878"/>
      <c r="B62" s="878"/>
      <c r="C62" s="879"/>
      <c r="D62" s="879"/>
      <c r="E62" s="879"/>
      <c r="F62" s="105" t="s">
        <v>59</v>
      </c>
      <c r="G62" s="105" t="s">
        <v>25</v>
      </c>
      <c r="H62" s="105" t="s">
        <v>81</v>
      </c>
      <c r="J62" s="185">
        <f>'Gia DT TC'!D22</f>
        <v>141</v>
      </c>
      <c r="K62" s="185">
        <f>'Gia DT TC'!E22</f>
        <v>0</v>
      </c>
      <c r="L62" s="557">
        <v>1</v>
      </c>
      <c r="M62" s="522">
        <v>1</v>
      </c>
      <c r="N62" s="522">
        <v>2</v>
      </c>
      <c r="O62" s="522">
        <v>3</v>
      </c>
      <c r="P62" s="522">
        <v>4</v>
      </c>
      <c r="Q62" s="522">
        <v>5</v>
      </c>
    </row>
    <row r="63" spans="1:17" ht="19.5" customHeight="1">
      <c r="A63" s="100" t="s">
        <v>1</v>
      </c>
      <c r="B63" s="106" t="s">
        <v>59</v>
      </c>
      <c r="C63" s="100" t="s">
        <v>5</v>
      </c>
      <c r="D63" s="281"/>
      <c r="E63" s="281"/>
      <c r="F63" s="282"/>
      <c r="G63" s="107"/>
      <c r="H63" s="107"/>
      <c r="L63" s="154">
        <f>$M$63</f>
        <v>0</v>
      </c>
      <c r="M63" s="215"/>
      <c r="N63" s="216"/>
      <c r="O63" s="216"/>
      <c r="P63" s="216"/>
      <c r="Q63" s="216"/>
    </row>
    <row r="64" spans="1:17" ht="19.5" customHeight="1">
      <c r="A64" s="108">
        <v>1</v>
      </c>
      <c r="B64" s="123" t="s">
        <v>102</v>
      </c>
      <c r="C64" s="11" t="s">
        <v>41</v>
      </c>
      <c r="D64" s="160">
        <v>2E-3</v>
      </c>
      <c r="E64" s="162">
        <f>VLOOKUP($B64,'VL-NC-M'!$B$81:$F$101,5,0)</f>
        <v>300000</v>
      </c>
      <c r="F64" s="162">
        <f>E64*D64</f>
        <v>600</v>
      </c>
      <c r="G64" s="11"/>
      <c r="H64" s="11"/>
      <c r="J64" s="101">
        <f>+$D64*J$62</f>
        <v>0.28200000000000003</v>
      </c>
      <c r="K64" s="101">
        <f>+$D64*K$62</f>
        <v>0</v>
      </c>
      <c r="L64" s="155">
        <f>$M$64</f>
        <v>0</v>
      </c>
      <c r="M64" s="217">
        <v>0</v>
      </c>
      <c r="N64" s="160">
        <v>2E-3</v>
      </c>
      <c r="O64" s="160">
        <v>2E-3</v>
      </c>
      <c r="P64" s="160">
        <v>2E-3</v>
      </c>
      <c r="Q64" s="160">
        <v>0</v>
      </c>
    </row>
    <row r="65" spans="1:17" ht="19.5" customHeight="1">
      <c r="A65" s="108">
        <v>2</v>
      </c>
      <c r="B65" s="124" t="s">
        <v>103</v>
      </c>
      <c r="C65" s="11" t="s">
        <v>41</v>
      </c>
      <c r="D65" s="160">
        <v>6.7000000000000004E-2</v>
      </c>
      <c r="E65" s="162">
        <f>VLOOKUP($B65,'VL-NC-M'!$B$81:$F$101,5,0)</f>
        <v>50000</v>
      </c>
      <c r="F65" s="162">
        <f>E65*D65</f>
        <v>3350</v>
      </c>
      <c r="G65" s="11"/>
      <c r="H65" s="11"/>
      <c r="J65" s="101">
        <f t="shared" ref="J65:K67" si="8">+$D65*J$62</f>
        <v>9.447000000000001</v>
      </c>
      <c r="K65" s="101">
        <f t="shared" si="8"/>
        <v>0</v>
      </c>
      <c r="L65" s="155">
        <f>$M$65</f>
        <v>0</v>
      </c>
      <c r="M65" s="217">
        <v>0</v>
      </c>
      <c r="N65" s="160">
        <v>6.7000000000000004E-2</v>
      </c>
      <c r="O65" s="160">
        <v>6.7000000000000004E-2</v>
      </c>
      <c r="P65" s="160">
        <v>6.7000000000000004E-2</v>
      </c>
      <c r="Q65" s="160">
        <v>0</v>
      </c>
    </row>
    <row r="66" spans="1:17" ht="19.5" customHeight="1">
      <c r="A66" s="108">
        <v>3</v>
      </c>
      <c r="B66" s="109" t="s">
        <v>97</v>
      </c>
      <c r="C66" s="11" t="s">
        <v>4</v>
      </c>
      <c r="D66" s="161">
        <v>0.16</v>
      </c>
      <c r="E66" s="162">
        <f>VLOOKUP($B66,'VL-NC-M'!$B$81:$F$101,5,0)</f>
        <v>2500</v>
      </c>
      <c r="F66" s="162">
        <f>E66*D66</f>
        <v>400</v>
      </c>
      <c r="G66" s="11"/>
      <c r="H66" s="11"/>
      <c r="J66" s="101">
        <f t="shared" si="8"/>
        <v>22.56</v>
      </c>
      <c r="K66" s="101">
        <f t="shared" si="8"/>
        <v>0</v>
      </c>
      <c r="L66" s="156">
        <f>$M$66</f>
        <v>0</v>
      </c>
      <c r="M66" s="218">
        <v>0</v>
      </c>
      <c r="N66" s="161">
        <v>0.16</v>
      </c>
      <c r="O66" s="161">
        <v>0.38</v>
      </c>
      <c r="P66" s="161">
        <v>0.56000000000000005</v>
      </c>
      <c r="Q66" s="161">
        <v>0</v>
      </c>
    </row>
    <row r="67" spans="1:17" ht="19.5" customHeight="1">
      <c r="A67" s="108">
        <v>4</v>
      </c>
      <c r="B67" s="109" t="s">
        <v>124</v>
      </c>
      <c r="C67" s="11" t="s">
        <v>41</v>
      </c>
      <c r="D67" s="161">
        <v>0</v>
      </c>
      <c r="E67" s="162">
        <f>VLOOKUP($B67,'VL-NC-M'!$B$81:$F$101,5,0)</f>
        <v>10000</v>
      </c>
      <c r="F67" s="162">
        <f>E67*D67</f>
        <v>0</v>
      </c>
      <c r="G67" s="11"/>
      <c r="H67" s="11"/>
      <c r="J67" s="101">
        <f t="shared" si="8"/>
        <v>0</v>
      </c>
      <c r="K67" s="101">
        <f t="shared" si="8"/>
        <v>0</v>
      </c>
      <c r="L67" s="156">
        <f>$M$67</f>
        <v>0.2</v>
      </c>
      <c r="M67" s="218">
        <v>0.2</v>
      </c>
      <c r="N67" s="161">
        <v>0</v>
      </c>
      <c r="O67" s="161">
        <v>0</v>
      </c>
      <c r="P67" s="161">
        <v>0</v>
      </c>
      <c r="Q67" s="161">
        <v>0</v>
      </c>
    </row>
    <row r="68" spans="1:17" ht="19.5" customHeight="1">
      <c r="A68" s="108">
        <v>5</v>
      </c>
      <c r="B68" s="13" t="s">
        <v>63</v>
      </c>
      <c r="C68" s="11" t="s">
        <v>8</v>
      </c>
      <c r="D68" s="162">
        <f>L68</f>
        <v>1</v>
      </c>
      <c r="E68" s="162"/>
      <c r="F68" s="162">
        <f>1%*SUM(F64:F67)</f>
        <v>43.5</v>
      </c>
      <c r="G68" s="11"/>
      <c r="H68" s="11"/>
      <c r="J68" s="101">
        <f>+$F68*J$62</f>
        <v>6133.5</v>
      </c>
      <c r="K68" s="101">
        <f>+$F68*K$62</f>
        <v>0</v>
      </c>
      <c r="L68" s="157">
        <f>$M$68</f>
        <v>1</v>
      </c>
      <c r="M68" s="219">
        <v>1</v>
      </c>
      <c r="N68" s="162">
        <v>1</v>
      </c>
      <c r="O68" s="162">
        <v>1</v>
      </c>
      <c r="P68" s="162">
        <v>1</v>
      </c>
      <c r="Q68" s="162">
        <v>0</v>
      </c>
    </row>
    <row r="69" spans="1:17" ht="19.5" customHeight="1">
      <c r="A69" s="110" t="s">
        <v>2</v>
      </c>
      <c r="B69" s="111" t="s">
        <v>25</v>
      </c>
      <c r="C69" s="110" t="s">
        <v>6</v>
      </c>
      <c r="D69" s="285"/>
      <c r="E69" s="283"/>
      <c r="F69" s="283"/>
      <c r="G69" s="110"/>
      <c r="H69" s="110"/>
      <c r="L69" s="158">
        <f>$M$69</f>
        <v>0</v>
      </c>
      <c r="M69" s="220"/>
      <c r="N69" s="163"/>
      <c r="O69" s="163"/>
      <c r="P69" s="163"/>
      <c r="Q69" s="163"/>
    </row>
    <row r="70" spans="1:17" ht="19.5" customHeight="1">
      <c r="A70" s="110"/>
      <c r="B70" s="109" t="s">
        <v>60</v>
      </c>
      <c r="C70" s="11" t="s">
        <v>40</v>
      </c>
      <c r="D70" s="160">
        <f>L70</f>
        <v>5.6000000000000001E-2</v>
      </c>
      <c r="E70" s="162">
        <f>VLOOKUP($B70,'VL-NC-M'!$B$6:$F$101,5,0)</f>
        <v>495000</v>
      </c>
      <c r="F70" s="162"/>
      <c r="G70" s="162">
        <f>+D70*E70</f>
        <v>27720</v>
      </c>
      <c r="H70" s="113"/>
      <c r="J70" s="101">
        <f>+$D70*J$62*$K$1</f>
        <v>8.6856000000000009</v>
      </c>
      <c r="K70" s="101">
        <f>+$D70*K$62*$K$1</f>
        <v>0</v>
      </c>
      <c r="L70" s="155">
        <f>$M$70</f>
        <v>5.6000000000000001E-2</v>
      </c>
      <c r="M70" s="217">
        <v>5.6000000000000001E-2</v>
      </c>
      <c r="N70" s="160">
        <v>5.6000000000000001E-2</v>
      </c>
      <c r="O70" s="160">
        <v>6.7000000000000004E-2</v>
      </c>
      <c r="P70" s="160">
        <v>8.1000000000000003E-2</v>
      </c>
      <c r="Q70" s="160">
        <v>0</v>
      </c>
    </row>
    <row r="71" spans="1:17" ht="19.5" customHeight="1">
      <c r="A71" s="110" t="s">
        <v>3</v>
      </c>
      <c r="B71" s="111" t="s">
        <v>61</v>
      </c>
      <c r="C71" s="110" t="s">
        <v>7</v>
      </c>
      <c r="D71" s="164"/>
      <c r="E71" s="283"/>
      <c r="F71" s="283"/>
      <c r="G71" s="114"/>
      <c r="H71" s="114"/>
      <c r="L71" s="156">
        <f>$M$71</f>
        <v>0</v>
      </c>
      <c r="M71" s="218"/>
      <c r="N71" s="161"/>
      <c r="O71" s="161"/>
      <c r="P71" s="161"/>
      <c r="Q71" s="161"/>
    </row>
    <row r="72" spans="1:17" ht="19.5" customHeight="1">
      <c r="A72" s="110"/>
      <c r="B72" s="109" t="s">
        <v>99</v>
      </c>
      <c r="C72" s="11" t="s">
        <v>13</v>
      </c>
      <c r="D72" s="160">
        <f>L72</f>
        <v>1.4E-2</v>
      </c>
      <c r="E72" s="162">
        <f>VLOOKUP($B72,'VL-NC-M'!$B$6:$F$101,5,0)</f>
        <v>1587824</v>
      </c>
      <c r="F72" s="162"/>
      <c r="G72" s="11"/>
      <c r="H72" s="162">
        <f>D72*E72</f>
        <v>22229.536</v>
      </c>
      <c r="J72" s="101">
        <f>+$D72*J$62*$K$1</f>
        <v>2.1714000000000002</v>
      </c>
      <c r="K72" s="101">
        <f>+$D72*K$62*$K$1</f>
        <v>0</v>
      </c>
      <c r="L72" s="155">
        <f>$M$72</f>
        <v>1.4E-2</v>
      </c>
      <c r="M72" s="217">
        <v>1.4E-2</v>
      </c>
      <c r="N72" s="160">
        <v>1.6E-2</v>
      </c>
      <c r="O72" s="160">
        <v>1.7000000000000001E-2</v>
      </c>
      <c r="P72" s="160">
        <v>1.9E-2</v>
      </c>
      <c r="Q72" s="160">
        <v>0</v>
      </c>
    </row>
    <row r="73" spans="1:17" ht="19.5" customHeight="1">
      <c r="A73" s="115"/>
      <c r="B73" s="116" t="s">
        <v>100</v>
      </c>
      <c r="C73" s="117" t="s">
        <v>13</v>
      </c>
      <c r="D73" s="167">
        <f>L73</f>
        <v>1.4E-2</v>
      </c>
      <c r="E73" s="265">
        <f>VLOOKUP($B73,'VL-NC-M'!$B$6:$F$101,5,0)</f>
        <v>554101</v>
      </c>
      <c r="F73" s="265"/>
      <c r="G73" s="117"/>
      <c r="H73" s="265">
        <f>D73*E73</f>
        <v>7757.4139999999998</v>
      </c>
      <c r="J73" s="101">
        <f>+$D73*J$62*$K$1</f>
        <v>2.1714000000000002</v>
      </c>
      <c r="K73" s="101">
        <f>+$D73*K$62*$K$1</f>
        <v>0</v>
      </c>
      <c r="L73" s="166">
        <f>$M$73</f>
        <v>1.4E-2</v>
      </c>
      <c r="M73" s="222">
        <v>1.4E-2</v>
      </c>
      <c r="N73" s="167">
        <v>1.6E-2</v>
      </c>
      <c r="O73" s="167">
        <v>1.7000000000000001E-2</v>
      </c>
      <c r="P73" s="167">
        <v>1.9E-2</v>
      </c>
      <c r="Q73" s="167">
        <v>0</v>
      </c>
    </row>
    <row r="74" spans="1:17" ht="19.5" customHeight="1">
      <c r="A74" s="119"/>
      <c r="B74" s="120" t="s">
        <v>127</v>
      </c>
      <c r="C74" s="121" t="s">
        <v>10</v>
      </c>
      <c r="D74" s="253"/>
      <c r="E74" s="254"/>
      <c r="F74" s="254">
        <f>SUM(F64:F73)</f>
        <v>4393.5</v>
      </c>
      <c r="G74" s="254">
        <f>SUM(G64:G73)</f>
        <v>27720</v>
      </c>
      <c r="H74" s="254">
        <f>SUM(H64:H73)</f>
        <v>29986.95</v>
      </c>
      <c r="L74" s="556" t="str">
        <f>$M$74</f>
        <v>0,5 ÷ 3m</v>
      </c>
      <c r="M74" s="555" t="s">
        <v>271</v>
      </c>
      <c r="N74" s="708" t="s">
        <v>272</v>
      </c>
      <c r="O74" s="708" t="s">
        <v>269</v>
      </c>
      <c r="P74" s="708" t="s">
        <v>270</v>
      </c>
      <c r="Q74" s="708" t="s">
        <v>259</v>
      </c>
    </row>
    <row r="75" spans="1:17" ht="26.25" customHeight="1">
      <c r="A75" s="104"/>
      <c r="B75" s="125"/>
      <c r="C75" s="122"/>
      <c r="D75" s="266"/>
      <c r="E75" s="255"/>
      <c r="F75" s="255"/>
      <c r="G75" s="255"/>
      <c r="H75" s="255"/>
    </row>
    <row r="76" spans="1:17" ht="21" customHeight="1">
      <c r="A76" s="877" t="str">
        <f>"Lặn xử lý tín hiệu đến độ sâu 0,5m. Nước sâu "&amp;L88</f>
        <v>Lặn xử lý tín hiệu đến độ sâu 0,5m. Nước sâu 0,5 ÷ 12m</v>
      </c>
      <c r="B76" s="877"/>
      <c r="C76" s="877"/>
      <c r="D76" s="877"/>
      <c r="E76" s="877"/>
      <c r="F76" s="877"/>
      <c r="G76" s="877"/>
      <c r="H76" s="877"/>
    </row>
    <row r="77" spans="1:17" ht="19.5" customHeight="1">
      <c r="A77" s="877" t="str" cm="1">
        <f t="array" aca="1" ref="A77" ca="1">"Số hiệu định mức: 030.0400."&amp;INDIRECT(ADDRESS(ROW(L80),COLUMN(L80)+L80,1,1))</f>
        <v>Số hiệu định mức: 030.0400.1</v>
      </c>
      <c r="B77" s="877"/>
      <c r="C77" s="877"/>
      <c r="D77" s="877"/>
      <c r="E77" s="877"/>
      <c r="F77" s="877"/>
      <c r="G77" s="877"/>
      <c r="H77" s="877"/>
    </row>
    <row r="78" spans="1:17" ht="19.5" customHeight="1">
      <c r="A78" s="14"/>
      <c r="B78" s="22"/>
      <c r="C78" s="22"/>
      <c r="D78" s="22"/>
      <c r="E78" s="22"/>
      <c r="F78" s="286"/>
      <c r="G78" s="248" t="s">
        <v>130</v>
      </c>
      <c r="H78" s="22"/>
    </row>
    <row r="79" spans="1:17" ht="19.5" customHeight="1">
      <c r="A79" s="878" t="s">
        <v>18</v>
      </c>
      <c r="B79" s="878" t="s">
        <v>43</v>
      </c>
      <c r="C79" s="879" t="s">
        <v>42</v>
      </c>
      <c r="D79" s="879" t="s">
        <v>22</v>
      </c>
      <c r="E79" s="879" t="s">
        <v>237</v>
      </c>
      <c r="F79" s="880" t="s">
        <v>17</v>
      </c>
      <c r="G79" s="880"/>
      <c r="H79" s="880"/>
      <c r="L79" s="520" t="s">
        <v>254</v>
      </c>
      <c r="M79" s="836" t="s">
        <v>255</v>
      </c>
      <c r="N79" s="837"/>
      <c r="O79" s="837"/>
      <c r="P79" s="837"/>
      <c r="Q79" s="838"/>
    </row>
    <row r="80" spans="1:17" ht="19.5" customHeight="1">
      <c r="A80" s="878"/>
      <c r="B80" s="878"/>
      <c r="C80" s="879"/>
      <c r="D80" s="879"/>
      <c r="E80" s="879"/>
      <c r="F80" s="105" t="s">
        <v>59</v>
      </c>
      <c r="G80" s="105" t="s">
        <v>25</v>
      </c>
      <c r="H80" s="105" t="s">
        <v>81</v>
      </c>
      <c r="J80" s="185">
        <f>'Gia DT TC'!D23</f>
        <v>133</v>
      </c>
      <c r="K80" s="185">
        <f>'Gia DT TC'!E23</f>
        <v>0</v>
      </c>
      <c r="L80" s="521">
        <v>1</v>
      </c>
      <c r="M80" s="522">
        <v>1</v>
      </c>
      <c r="N80" s="522">
        <v>2</v>
      </c>
      <c r="O80" s="522">
        <v>3</v>
      </c>
      <c r="P80" s="522">
        <v>4</v>
      </c>
      <c r="Q80" s="522">
        <v>5</v>
      </c>
    </row>
    <row r="81" spans="1:17" ht="19.5" customHeight="1">
      <c r="A81" s="100" t="s">
        <v>1</v>
      </c>
      <c r="B81" s="106" t="s">
        <v>59</v>
      </c>
      <c r="C81" s="100" t="s">
        <v>5</v>
      </c>
      <c r="D81" s="281"/>
      <c r="E81" s="281"/>
      <c r="F81" s="249">
        <f>E81*D81</f>
        <v>0</v>
      </c>
      <c r="G81" s="107"/>
      <c r="H81" s="107"/>
      <c r="L81" s="168">
        <f>$M$81</f>
        <v>0</v>
      </c>
      <c r="M81" s="215"/>
      <c r="N81" s="216"/>
      <c r="O81" s="216"/>
      <c r="P81" s="216"/>
      <c r="Q81" s="216"/>
    </row>
    <row r="82" spans="1:17" ht="19.5" customHeight="1">
      <c r="A82" s="110" t="s">
        <v>2</v>
      </c>
      <c r="B82" s="111" t="s">
        <v>25</v>
      </c>
      <c r="C82" s="110" t="s">
        <v>6</v>
      </c>
      <c r="D82" s="110"/>
      <c r="E82" s="110"/>
      <c r="F82" s="283"/>
      <c r="G82" s="114"/>
      <c r="H82" s="114"/>
      <c r="L82" s="164">
        <f>$M$82</f>
        <v>0</v>
      </c>
      <c r="M82" s="223"/>
      <c r="N82" s="11"/>
      <c r="O82" s="11"/>
      <c r="P82" s="11"/>
      <c r="Q82" s="11"/>
    </row>
    <row r="83" spans="1:17" ht="19.5" customHeight="1">
      <c r="A83" s="110"/>
      <c r="B83" s="112" t="s">
        <v>60</v>
      </c>
      <c r="C83" s="11" t="s">
        <v>40</v>
      </c>
      <c r="D83" s="161">
        <f>L83</f>
        <v>0.23</v>
      </c>
      <c r="E83" s="162">
        <f>VLOOKUP($B83,'VL-NC-M'!$B$6:$F$101,5,0)</f>
        <v>495000</v>
      </c>
      <c r="F83" s="162"/>
      <c r="G83" s="162">
        <f>+D83*E83</f>
        <v>113850</v>
      </c>
      <c r="H83" s="114"/>
      <c r="J83" s="101">
        <f>+$D83*J$80*$K$1</f>
        <v>33.649000000000001</v>
      </c>
      <c r="K83" s="101">
        <f>+$D83*K$80*$K$1</f>
        <v>0</v>
      </c>
      <c r="L83" s="169">
        <f>$M$83</f>
        <v>0.23</v>
      </c>
      <c r="M83" s="218">
        <v>0.23</v>
      </c>
      <c r="N83" s="161">
        <v>0.26</v>
      </c>
      <c r="O83" s="161">
        <v>0.28999999999999998</v>
      </c>
      <c r="P83" s="161">
        <v>0</v>
      </c>
      <c r="Q83" s="161"/>
    </row>
    <row r="84" spans="1:17" ht="19.5" customHeight="1">
      <c r="A84" s="110" t="s">
        <v>3</v>
      </c>
      <c r="B84" s="111" t="s">
        <v>61</v>
      </c>
      <c r="C84" s="110" t="s">
        <v>7</v>
      </c>
      <c r="D84" s="164"/>
      <c r="E84" s="283"/>
      <c r="F84" s="283"/>
      <c r="G84" s="114"/>
      <c r="H84" s="114"/>
      <c r="L84" s="164">
        <f>$M$84</f>
        <v>0</v>
      </c>
      <c r="M84" s="218"/>
      <c r="N84" s="161"/>
      <c r="O84" s="161"/>
      <c r="P84" s="161"/>
      <c r="Q84" s="161"/>
    </row>
    <row r="85" spans="1:17" ht="19.5" customHeight="1">
      <c r="A85" s="11">
        <v>1</v>
      </c>
      <c r="B85" s="109" t="s">
        <v>99</v>
      </c>
      <c r="C85" s="11" t="s">
        <v>13</v>
      </c>
      <c r="D85" s="160">
        <f>L85</f>
        <v>1.4E-2</v>
      </c>
      <c r="E85" s="162">
        <f>VLOOKUP($B85,'VL-NC-M'!$B$6:$F$101,5,0)</f>
        <v>1587824</v>
      </c>
      <c r="F85" s="162"/>
      <c r="G85" s="11"/>
      <c r="H85" s="162">
        <f>D85*E85</f>
        <v>22229.536</v>
      </c>
      <c r="J85" s="101">
        <f t="shared" ref="J85:K87" si="9">+$D85*J$80*$K$1</f>
        <v>2.0482000000000005</v>
      </c>
      <c r="K85" s="101">
        <f t="shared" si="9"/>
        <v>0</v>
      </c>
      <c r="L85" s="160">
        <f>$M$85</f>
        <v>1.4E-2</v>
      </c>
      <c r="M85" s="217">
        <v>1.4E-2</v>
      </c>
      <c r="N85" s="160">
        <v>1.4999999999999999E-2</v>
      </c>
      <c r="O85" s="160">
        <v>1.7000000000000001E-2</v>
      </c>
      <c r="P85" s="160">
        <v>0</v>
      </c>
      <c r="Q85" s="160"/>
    </row>
    <row r="86" spans="1:17" ht="19.5" customHeight="1">
      <c r="A86" s="11">
        <v>2</v>
      </c>
      <c r="B86" s="109" t="s">
        <v>110</v>
      </c>
      <c r="C86" s="11" t="s">
        <v>13</v>
      </c>
      <c r="D86" s="160">
        <f>L86</f>
        <v>0.193</v>
      </c>
      <c r="E86" s="162">
        <f>VLOOKUP($B86,'VL-NC-M'!$B$6:$F$101,5,0)</f>
        <v>1105582</v>
      </c>
      <c r="F86" s="162"/>
      <c r="G86" s="11"/>
      <c r="H86" s="162">
        <f>D86*E86</f>
        <v>213377.326</v>
      </c>
      <c r="J86" s="101">
        <f t="shared" si="9"/>
        <v>28.235900000000004</v>
      </c>
      <c r="K86" s="101">
        <f t="shared" si="9"/>
        <v>0</v>
      </c>
      <c r="L86" s="160">
        <f>$M$86</f>
        <v>0.193</v>
      </c>
      <c r="M86" s="217">
        <v>0.193</v>
      </c>
      <c r="N86" s="160">
        <v>0.21199999999999999</v>
      </c>
      <c r="O86" s="160">
        <v>0.23300000000000001</v>
      </c>
      <c r="P86" s="160">
        <v>0</v>
      </c>
      <c r="Q86" s="160"/>
    </row>
    <row r="87" spans="1:17" ht="19.5" customHeight="1">
      <c r="A87" s="117">
        <v>3</v>
      </c>
      <c r="B87" s="116" t="s">
        <v>104</v>
      </c>
      <c r="C87" s="117" t="s">
        <v>13</v>
      </c>
      <c r="D87" s="167">
        <f>L87</f>
        <v>0.20699999999999999</v>
      </c>
      <c r="E87" s="162">
        <f>VLOOKUP($B87,'VL-NC-M'!$B$6:$F$101,5,0)</f>
        <v>995354</v>
      </c>
      <c r="F87" s="265"/>
      <c r="G87" s="117"/>
      <c r="H87" s="265">
        <f>D87*E87</f>
        <v>206038.27799999999</v>
      </c>
      <c r="J87" s="101">
        <f t="shared" si="9"/>
        <v>30.284100000000002</v>
      </c>
      <c r="K87" s="101">
        <f t="shared" si="9"/>
        <v>0</v>
      </c>
      <c r="L87" s="167">
        <f>$M$87</f>
        <v>0.20699999999999999</v>
      </c>
      <c r="M87" s="222">
        <v>0.20699999999999999</v>
      </c>
      <c r="N87" s="167">
        <v>0.22700000000000001</v>
      </c>
      <c r="O87" s="167">
        <v>0.25</v>
      </c>
      <c r="P87" s="167">
        <v>0</v>
      </c>
      <c r="Q87" s="167"/>
    </row>
    <row r="88" spans="1:17" ht="19.5" customHeight="1">
      <c r="A88" s="119"/>
      <c r="B88" s="120" t="s">
        <v>127</v>
      </c>
      <c r="C88" s="121" t="s">
        <v>10</v>
      </c>
      <c r="D88" s="253"/>
      <c r="E88" s="254"/>
      <c r="F88" s="254">
        <f>SUM(F81:F87)</f>
        <v>0</v>
      </c>
      <c r="G88" s="254">
        <f>SUM(G81:G87)</f>
        <v>113850</v>
      </c>
      <c r="H88" s="254">
        <f>SUM(H81:H87)</f>
        <v>441645.14</v>
      </c>
      <c r="L88" s="558" t="str">
        <f>$M$88</f>
        <v>0,5 ÷ 12m</v>
      </c>
      <c r="M88" s="555" t="s">
        <v>268</v>
      </c>
      <c r="N88" s="708" t="s">
        <v>269</v>
      </c>
      <c r="O88" s="708" t="s">
        <v>270</v>
      </c>
      <c r="P88" s="708" t="s">
        <v>259</v>
      </c>
      <c r="Q88" s="708"/>
    </row>
    <row r="89" spans="1:17" ht="19.5" customHeight="1">
      <c r="A89" s="877" t="str">
        <f>"Lặn xử lý tín hiệu nằm từ độ sâu 0,5m-1m. Nước sâu "&amp;L103</f>
        <v>Lặn xử lý tín hiệu nằm từ độ sâu 0,5m-1m. Nước sâu 0,5 ÷ 12m</v>
      </c>
      <c r="B89" s="877"/>
      <c r="C89" s="877"/>
      <c r="D89" s="877"/>
      <c r="E89" s="877"/>
      <c r="F89" s="877"/>
      <c r="G89" s="877"/>
      <c r="H89" s="877"/>
    </row>
    <row r="90" spans="1:17" ht="19.5" customHeight="1">
      <c r="A90" s="877" t="str" cm="1">
        <f t="array" aca="1" ref="A90" ca="1">"Số hiệu định mức: 030.0500."&amp;INDIRECT(ADDRESS(ROW(L93),COLUMN(L93)+L93,1,1))</f>
        <v>Số hiệu định mức: 030.0500.1</v>
      </c>
      <c r="B90" s="877"/>
      <c r="C90" s="877"/>
      <c r="D90" s="877"/>
      <c r="E90" s="877"/>
      <c r="F90" s="877"/>
      <c r="G90" s="877"/>
      <c r="H90" s="877"/>
    </row>
    <row r="91" spans="1:17" ht="19.5" customHeight="1">
      <c r="A91" s="102"/>
      <c r="B91" s="14"/>
      <c r="C91" s="14"/>
      <c r="D91" s="14"/>
      <c r="E91" s="14"/>
      <c r="F91" s="14"/>
      <c r="G91" s="248" t="s">
        <v>130</v>
      </c>
      <c r="H91" s="22"/>
    </row>
    <row r="92" spans="1:17" ht="19.5" customHeight="1">
      <c r="A92" s="878" t="s">
        <v>18</v>
      </c>
      <c r="B92" s="878" t="s">
        <v>43</v>
      </c>
      <c r="C92" s="879" t="s">
        <v>42</v>
      </c>
      <c r="D92" s="879" t="s">
        <v>22</v>
      </c>
      <c r="E92" s="879" t="s">
        <v>237</v>
      </c>
      <c r="F92" s="880" t="s">
        <v>45</v>
      </c>
      <c r="G92" s="880"/>
      <c r="H92" s="880"/>
      <c r="L92" s="520" t="s">
        <v>254</v>
      </c>
      <c r="M92" s="836" t="s">
        <v>255</v>
      </c>
      <c r="N92" s="837"/>
      <c r="O92" s="837"/>
      <c r="P92" s="837"/>
      <c r="Q92" s="838"/>
    </row>
    <row r="93" spans="1:17" ht="19.5" customHeight="1">
      <c r="A93" s="878"/>
      <c r="B93" s="878"/>
      <c r="C93" s="879"/>
      <c r="D93" s="879"/>
      <c r="E93" s="879"/>
      <c r="F93" s="105" t="s">
        <v>59</v>
      </c>
      <c r="G93" s="105" t="s">
        <v>25</v>
      </c>
      <c r="H93" s="105" t="s">
        <v>81</v>
      </c>
      <c r="J93" s="186">
        <f>'Gia DT TC'!D24</f>
        <v>7</v>
      </c>
      <c r="K93" s="186">
        <f>'Gia DT TC'!E24</f>
        <v>0</v>
      </c>
      <c r="L93" s="521">
        <v>1</v>
      </c>
      <c r="M93" s="522">
        <v>1</v>
      </c>
      <c r="N93" s="522">
        <v>2</v>
      </c>
      <c r="O93" s="522">
        <v>3</v>
      </c>
      <c r="P93" s="522">
        <v>4</v>
      </c>
      <c r="Q93" s="522">
        <v>5</v>
      </c>
    </row>
    <row r="94" spans="1:17" ht="19.5" customHeight="1">
      <c r="A94" s="100" t="s">
        <v>1</v>
      </c>
      <c r="B94" s="106" t="s">
        <v>59</v>
      </c>
      <c r="C94" s="100" t="s">
        <v>5</v>
      </c>
      <c r="D94" s="281"/>
      <c r="E94" s="281"/>
      <c r="F94" s="249"/>
      <c r="G94" s="107"/>
      <c r="H94" s="107"/>
      <c r="L94" s="524">
        <f>$M$94</f>
        <v>0</v>
      </c>
      <c r="M94" s="525"/>
      <c r="N94" s="524"/>
      <c r="O94" s="524"/>
      <c r="P94" s="524"/>
      <c r="Q94" s="524"/>
    </row>
    <row r="95" spans="1:17" ht="19.5" customHeight="1">
      <c r="A95" s="110" t="s">
        <v>2</v>
      </c>
      <c r="B95" s="111" t="s">
        <v>25</v>
      </c>
      <c r="C95" s="110" t="s">
        <v>6</v>
      </c>
      <c r="D95" s="110"/>
      <c r="E95" s="110"/>
      <c r="F95" s="283"/>
      <c r="G95" s="11"/>
      <c r="H95" s="11"/>
      <c r="L95" s="524">
        <f>$M$95</f>
        <v>0</v>
      </c>
      <c r="M95" s="525"/>
      <c r="N95" s="524"/>
      <c r="O95" s="524"/>
      <c r="P95" s="524"/>
      <c r="Q95" s="524"/>
    </row>
    <row r="96" spans="1:17" ht="19.5" customHeight="1">
      <c r="A96" s="110"/>
      <c r="B96" s="109" t="s">
        <v>60</v>
      </c>
      <c r="C96" s="11" t="s">
        <v>40</v>
      </c>
      <c r="D96" s="161">
        <f>L96</f>
        <v>0.23</v>
      </c>
      <c r="E96" s="162">
        <f>VLOOKUP($B96,'VL-NC-M'!$B$6:$F$101,5,0)</f>
        <v>495000</v>
      </c>
      <c r="F96" s="162"/>
      <c r="G96" s="162">
        <f>+D96*E96</f>
        <v>113850</v>
      </c>
      <c r="H96" s="11"/>
      <c r="J96" s="101">
        <f>+$D96*J$93*$K$1</f>
        <v>1.7710000000000004</v>
      </c>
      <c r="K96" s="101">
        <f>+$D96*K$93*$K$1</f>
        <v>0</v>
      </c>
      <c r="L96" s="524">
        <f>$M$96</f>
        <v>0.23</v>
      </c>
      <c r="M96" s="525">
        <v>0.23</v>
      </c>
      <c r="N96" s="524">
        <v>0.26</v>
      </c>
      <c r="O96" s="524">
        <v>0.28999999999999998</v>
      </c>
      <c r="P96" s="524">
        <v>0</v>
      </c>
      <c r="Q96" s="524"/>
    </row>
    <row r="97" spans="1:17" ht="19.5" customHeight="1">
      <c r="A97" s="110" t="s">
        <v>3</v>
      </c>
      <c r="B97" s="111" t="s">
        <v>61</v>
      </c>
      <c r="C97" s="110" t="s">
        <v>7</v>
      </c>
      <c r="D97" s="287"/>
      <c r="E97" s="283"/>
      <c r="F97" s="283"/>
      <c r="G97" s="11"/>
      <c r="H97" s="11"/>
      <c r="L97" s="524">
        <f>$M$97</f>
        <v>0</v>
      </c>
      <c r="M97" s="525"/>
      <c r="N97" s="524"/>
      <c r="O97" s="524"/>
      <c r="P97" s="524"/>
      <c r="Q97" s="524"/>
    </row>
    <row r="98" spans="1:17" ht="19.5" customHeight="1">
      <c r="A98" s="11">
        <v>1</v>
      </c>
      <c r="B98" s="109" t="s">
        <v>99</v>
      </c>
      <c r="C98" s="11" t="s">
        <v>13</v>
      </c>
      <c r="D98" s="160">
        <f>L98</f>
        <v>1.4E-2</v>
      </c>
      <c r="E98" s="162">
        <f>VLOOKUP($B98,'VL-NC-M'!$B$6:$F$101,5,0)</f>
        <v>1587824</v>
      </c>
      <c r="F98" s="162"/>
      <c r="G98" s="11"/>
      <c r="H98" s="162">
        <f>D98*E98</f>
        <v>22229.536</v>
      </c>
      <c r="J98" s="101">
        <f t="shared" ref="J98:K102" si="10">+$D98*J$93*$K$1</f>
        <v>0.10780000000000001</v>
      </c>
      <c r="K98" s="101">
        <f t="shared" si="10"/>
        <v>0</v>
      </c>
      <c r="L98" s="544">
        <f>$M$98</f>
        <v>1.4E-2</v>
      </c>
      <c r="M98" s="545">
        <v>1.4E-2</v>
      </c>
      <c r="N98" s="544">
        <v>1.4999999999999999E-2</v>
      </c>
      <c r="O98" s="544">
        <v>1.7000000000000001E-2</v>
      </c>
      <c r="P98" s="524">
        <v>0</v>
      </c>
      <c r="Q98" s="524"/>
    </row>
    <row r="99" spans="1:17" ht="19.5" customHeight="1">
      <c r="A99" s="11">
        <v>2</v>
      </c>
      <c r="B99" s="109" t="s">
        <v>100</v>
      </c>
      <c r="C99" s="11" t="s">
        <v>13</v>
      </c>
      <c r="D99" s="160">
        <f>L99</f>
        <v>1.4E-2</v>
      </c>
      <c r="E99" s="162">
        <f>VLOOKUP($B99,'VL-NC-M'!$B$6:$F$101,5,0)</f>
        <v>554101</v>
      </c>
      <c r="F99" s="162"/>
      <c r="G99" s="11"/>
      <c r="H99" s="162">
        <f>D99*E99</f>
        <v>7757.4139999999998</v>
      </c>
      <c r="J99" s="101">
        <f t="shared" si="10"/>
        <v>0.10780000000000001</v>
      </c>
      <c r="K99" s="101">
        <f t="shared" si="10"/>
        <v>0</v>
      </c>
      <c r="L99" s="544">
        <f>$M$99</f>
        <v>1.4E-2</v>
      </c>
      <c r="M99" s="545">
        <v>1.4E-2</v>
      </c>
      <c r="N99" s="544">
        <v>1.4999999999999999E-2</v>
      </c>
      <c r="O99" s="544">
        <v>1.7000000000000001E-2</v>
      </c>
      <c r="P99" s="524">
        <v>0</v>
      </c>
      <c r="Q99" s="524"/>
    </row>
    <row r="100" spans="1:17" ht="19.5" customHeight="1">
      <c r="A100" s="11">
        <v>3</v>
      </c>
      <c r="B100" s="109" t="s">
        <v>110</v>
      </c>
      <c r="C100" s="11" t="s">
        <v>13</v>
      </c>
      <c r="D100" s="160">
        <f>L100</f>
        <v>0.153</v>
      </c>
      <c r="E100" s="162">
        <f>VLOOKUP($B100,'VL-NC-M'!$B$6:$F$101,5,0)</f>
        <v>1105582</v>
      </c>
      <c r="F100" s="162"/>
      <c r="G100" s="11"/>
      <c r="H100" s="162">
        <f>D100*E100</f>
        <v>169154.046</v>
      </c>
      <c r="J100" s="101">
        <f t="shared" si="10"/>
        <v>1.1781000000000001</v>
      </c>
      <c r="K100" s="101">
        <f t="shared" si="10"/>
        <v>0</v>
      </c>
      <c r="L100" s="544">
        <f>$M$100</f>
        <v>0.153</v>
      </c>
      <c r="M100" s="545">
        <v>0.153</v>
      </c>
      <c r="N100" s="544">
        <v>0.16800000000000001</v>
      </c>
      <c r="O100" s="544">
        <v>0.185</v>
      </c>
      <c r="P100" s="524">
        <v>0</v>
      </c>
      <c r="Q100" s="524"/>
    </row>
    <row r="101" spans="1:17" ht="19.5" customHeight="1">
      <c r="A101" s="11">
        <v>4</v>
      </c>
      <c r="B101" s="109" t="s">
        <v>113</v>
      </c>
      <c r="C101" s="11" t="s">
        <v>13</v>
      </c>
      <c r="D101" s="160">
        <f>L101</f>
        <v>0.125</v>
      </c>
      <c r="E101" s="162">
        <f>VLOOKUP($B101,'VL-NC-M'!$B$6:$F$101,5,0)</f>
        <v>2946909</v>
      </c>
      <c r="F101" s="162"/>
      <c r="G101" s="11"/>
      <c r="H101" s="162">
        <f>D101*E101</f>
        <v>368363.625</v>
      </c>
      <c r="J101" s="101">
        <f t="shared" si="10"/>
        <v>0.96250000000000013</v>
      </c>
      <c r="K101" s="101">
        <f t="shared" si="10"/>
        <v>0</v>
      </c>
      <c r="L101" s="544">
        <f>$M$101</f>
        <v>0.125</v>
      </c>
      <c r="M101" s="545">
        <v>0.125</v>
      </c>
      <c r="N101" s="544">
        <v>0.13800000000000001</v>
      </c>
      <c r="O101" s="544">
        <v>0.152</v>
      </c>
      <c r="P101" s="524">
        <v>0</v>
      </c>
      <c r="Q101" s="524"/>
    </row>
    <row r="102" spans="1:17" ht="19.5" customHeight="1">
      <c r="A102" s="117">
        <v>5</v>
      </c>
      <c r="B102" s="116" t="s">
        <v>104</v>
      </c>
      <c r="C102" s="117" t="s">
        <v>13</v>
      </c>
      <c r="D102" s="167">
        <f>L102</f>
        <v>0.19800000000000001</v>
      </c>
      <c r="E102" s="265">
        <f>VLOOKUP($B102,'VL-NC-M'!$B$6:$F$101,5,0)</f>
        <v>995354</v>
      </c>
      <c r="F102" s="265"/>
      <c r="G102" s="117"/>
      <c r="H102" s="265">
        <f>D102*E102</f>
        <v>197080.092</v>
      </c>
      <c r="J102" s="101">
        <f t="shared" si="10"/>
        <v>1.5246000000000002</v>
      </c>
      <c r="K102" s="101">
        <f t="shared" si="10"/>
        <v>0</v>
      </c>
      <c r="L102" s="544">
        <f>$M$102</f>
        <v>0.19800000000000001</v>
      </c>
      <c r="M102" s="545">
        <v>0.19800000000000001</v>
      </c>
      <c r="N102" s="544">
        <v>0.21299999999999999</v>
      </c>
      <c r="O102" s="544">
        <v>0.23</v>
      </c>
      <c r="P102" s="524">
        <v>0</v>
      </c>
      <c r="Q102" s="524"/>
    </row>
    <row r="103" spans="1:17" ht="19.5" customHeight="1">
      <c r="A103" s="119"/>
      <c r="B103" s="120" t="s">
        <v>127</v>
      </c>
      <c r="C103" s="121" t="s">
        <v>10</v>
      </c>
      <c r="D103" s="253"/>
      <c r="E103" s="254"/>
      <c r="F103" s="254">
        <f>SUM(F94:F102)</f>
        <v>0</v>
      </c>
      <c r="G103" s="254">
        <f>SUM(G94:G102)</f>
        <v>113850</v>
      </c>
      <c r="H103" s="254">
        <f>SUM(H94:H102)</f>
        <v>764584.71299999999</v>
      </c>
      <c r="L103" s="559" t="str">
        <f>$M$103</f>
        <v>0,5 ÷ 12m</v>
      </c>
      <c r="M103" s="555" t="s">
        <v>268</v>
      </c>
      <c r="N103" s="708" t="s">
        <v>269</v>
      </c>
      <c r="O103" s="708" t="s">
        <v>270</v>
      </c>
      <c r="P103" s="708" t="s">
        <v>259</v>
      </c>
      <c r="Q103" s="708"/>
    </row>
    <row r="104" spans="1:17" ht="19.5" customHeight="1">
      <c r="B104" s="125"/>
      <c r="C104" s="122"/>
      <c r="D104" s="266"/>
      <c r="E104" s="255"/>
      <c r="F104" s="256"/>
      <c r="G104" s="256"/>
      <c r="H104" s="256"/>
    </row>
    <row r="105" spans="1:17" ht="11.25" customHeight="1">
      <c r="B105" s="125"/>
      <c r="C105" s="122"/>
      <c r="D105" s="266"/>
      <c r="E105" s="255"/>
      <c r="F105" s="256"/>
      <c r="G105" s="256"/>
      <c r="H105" s="256"/>
    </row>
    <row r="106" spans="1:17" ht="19.5" customHeight="1">
      <c r="A106" s="877" t="str">
        <f>"Lặn xử lý tín hiệu nằm từ độ sâu 1m-3m. Nước sâu "&amp;L121</f>
        <v>Lặn xử lý tín hiệu nằm từ độ sâu 1m-3m. Nước sâu 0,5 ÷ 12m</v>
      </c>
      <c r="B106" s="877"/>
      <c r="C106" s="877"/>
      <c r="D106" s="877"/>
      <c r="E106" s="877"/>
      <c r="F106" s="877"/>
      <c r="G106" s="877"/>
      <c r="H106" s="877"/>
    </row>
    <row r="107" spans="1:17" ht="19.5" customHeight="1">
      <c r="A107" s="877" t="str" cm="1">
        <f t="array" aca="1" ref="A107" ca="1">"Số hiệu định mức: 030.0600."&amp;INDIRECT(ADDRESS(ROW(L110),COLUMN(L110)+L110,1,1))</f>
        <v>Số hiệu định mức: 030.0600.1</v>
      </c>
      <c r="B107" s="877"/>
      <c r="C107" s="877"/>
      <c r="D107" s="877"/>
      <c r="E107" s="877"/>
      <c r="F107" s="877"/>
      <c r="G107" s="877"/>
      <c r="H107" s="877"/>
    </row>
    <row r="108" spans="1:17" ht="19.5" customHeight="1">
      <c r="A108" s="102"/>
      <c r="B108" s="14"/>
      <c r="C108" s="14"/>
      <c r="D108" s="14"/>
      <c r="E108" s="14"/>
      <c r="F108" s="14"/>
      <c r="G108" s="248" t="s">
        <v>130</v>
      </c>
      <c r="H108" s="22"/>
    </row>
    <row r="109" spans="1:17" ht="19.5" customHeight="1">
      <c r="A109" s="878" t="s">
        <v>18</v>
      </c>
      <c r="B109" s="878" t="s">
        <v>43</v>
      </c>
      <c r="C109" s="879" t="s">
        <v>42</v>
      </c>
      <c r="D109" s="879" t="s">
        <v>22</v>
      </c>
      <c r="E109" s="879" t="s">
        <v>237</v>
      </c>
      <c r="F109" s="880" t="s">
        <v>45</v>
      </c>
      <c r="G109" s="880"/>
      <c r="H109" s="880"/>
      <c r="L109" s="520" t="s">
        <v>254</v>
      </c>
      <c r="M109" s="836" t="s">
        <v>255</v>
      </c>
      <c r="N109" s="837"/>
      <c r="O109" s="837"/>
      <c r="P109" s="837"/>
      <c r="Q109" s="838"/>
    </row>
    <row r="110" spans="1:17" ht="19.5" customHeight="1">
      <c r="A110" s="878"/>
      <c r="B110" s="878"/>
      <c r="C110" s="879"/>
      <c r="D110" s="879"/>
      <c r="E110" s="879"/>
      <c r="F110" s="105" t="s">
        <v>59</v>
      </c>
      <c r="G110" s="105" t="s">
        <v>25</v>
      </c>
      <c r="H110" s="105" t="s">
        <v>81</v>
      </c>
      <c r="J110" s="185">
        <f>'Gia DT TC'!D25</f>
        <v>1</v>
      </c>
      <c r="K110" s="185"/>
      <c r="L110" s="521">
        <v>1</v>
      </c>
      <c r="M110" s="522">
        <v>1</v>
      </c>
      <c r="N110" s="522">
        <v>2</v>
      </c>
      <c r="O110" s="522">
        <v>3</v>
      </c>
      <c r="P110" s="522">
        <v>4</v>
      </c>
      <c r="Q110" s="522">
        <v>5</v>
      </c>
    </row>
    <row r="111" spans="1:17" ht="19.5" customHeight="1">
      <c r="A111" s="100" t="s">
        <v>1</v>
      </c>
      <c r="B111" s="106" t="s">
        <v>59</v>
      </c>
      <c r="C111" s="100" t="s">
        <v>5</v>
      </c>
      <c r="D111" s="281"/>
      <c r="E111" s="282"/>
      <c r="F111" s="282"/>
      <c r="G111" s="107"/>
      <c r="H111" s="107"/>
      <c r="L111" s="524"/>
      <c r="M111" s="524"/>
      <c r="N111" s="524"/>
      <c r="O111" s="524"/>
      <c r="P111" s="524"/>
      <c r="Q111" s="524"/>
    </row>
    <row r="112" spans="1:17" ht="33.75" customHeight="1">
      <c r="A112" s="110"/>
      <c r="B112" s="126" t="s">
        <v>105</v>
      </c>
      <c r="C112" s="11" t="s">
        <v>238</v>
      </c>
      <c r="D112" s="161">
        <f>L112</f>
        <v>24.32</v>
      </c>
      <c r="E112" s="162">
        <f>VLOOKUP($B112,'VL-NC-M'!$B$81:$F$101,5,0)</f>
        <v>22000</v>
      </c>
      <c r="F112" s="162">
        <f>+D112*E112</f>
        <v>535040</v>
      </c>
      <c r="G112" s="161"/>
      <c r="H112" s="161"/>
      <c r="J112" s="101">
        <f>+$D112*J$110</f>
        <v>24.32</v>
      </c>
      <c r="K112" s="101">
        <f>+$D112*K$110</f>
        <v>0</v>
      </c>
      <c r="L112" s="161">
        <f>$M$112</f>
        <v>24.32</v>
      </c>
      <c r="M112" s="218">
        <v>24.32</v>
      </c>
      <c r="N112" s="161">
        <v>24.32</v>
      </c>
      <c r="O112" s="161">
        <v>24.32</v>
      </c>
      <c r="P112" s="161">
        <v>0</v>
      </c>
      <c r="Q112" s="161"/>
    </row>
    <row r="113" spans="1:17" ht="19.5" customHeight="1">
      <c r="A113" s="110" t="s">
        <v>2</v>
      </c>
      <c r="B113" s="111" t="s">
        <v>25</v>
      </c>
      <c r="C113" s="110" t="s">
        <v>6</v>
      </c>
      <c r="D113" s="164"/>
      <c r="E113" s="283"/>
      <c r="F113" s="283"/>
      <c r="G113" s="164"/>
      <c r="H113" s="164"/>
      <c r="L113" s="164"/>
      <c r="M113" s="164"/>
      <c r="N113" s="164"/>
      <c r="O113" s="164"/>
      <c r="P113" s="164"/>
      <c r="Q113" s="164"/>
    </row>
    <row r="114" spans="1:17" ht="19.5" customHeight="1">
      <c r="A114" s="110"/>
      <c r="B114" s="109" t="s">
        <v>60</v>
      </c>
      <c r="C114" s="11" t="s">
        <v>40</v>
      </c>
      <c r="D114" s="161">
        <f>L114</f>
        <v>1</v>
      </c>
      <c r="E114" s="162">
        <f>VLOOKUP($B114,'VL-NC-M'!$B$6:$F$101,5,0)</f>
        <v>495000</v>
      </c>
      <c r="F114" s="162"/>
      <c r="G114" s="162">
        <f>+D114*E114</f>
        <v>495000</v>
      </c>
      <c r="H114" s="161"/>
      <c r="J114" s="101">
        <f>+$D114*J$110*$K$1</f>
        <v>1.1000000000000001</v>
      </c>
      <c r="K114" s="101">
        <f>+$D114*K$110*$K$1</f>
        <v>0</v>
      </c>
      <c r="L114" s="161">
        <f>$M$114</f>
        <v>1</v>
      </c>
      <c r="M114" s="218">
        <v>1</v>
      </c>
      <c r="N114" s="161">
        <v>1.1000000000000001</v>
      </c>
      <c r="O114" s="161">
        <v>1.21</v>
      </c>
      <c r="P114" s="161">
        <v>0</v>
      </c>
      <c r="Q114" s="161"/>
    </row>
    <row r="115" spans="1:17" ht="19.5" customHeight="1">
      <c r="A115" s="110" t="s">
        <v>3</v>
      </c>
      <c r="B115" s="111" t="s">
        <v>61</v>
      </c>
      <c r="C115" s="110" t="s">
        <v>7</v>
      </c>
      <c r="D115" s="164"/>
      <c r="E115" s="283"/>
      <c r="F115" s="283"/>
      <c r="G115" s="164"/>
      <c r="H115" s="164"/>
      <c r="L115" s="164"/>
      <c r="M115" s="164"/>
      <c r="N115" s="164"/>
      <c r="O115" s="164"/>
      <c r="P115" s="164"/>
      <c r="Q115" s="164"/>
    </row>
    <row r="116" spans="1:17" ht="19.5" customHeight="1">
      <c r="A116" s="11">
        <v>1</v>
      </c>
      <c r="B116" s="109" t="s">
        <v>99</v>
      </c>
      <c r="C116" s="11" t="s">
        <v>13</v>
      </c>
      <c r="D116" s="160">
        <f>L116</f>
        <v>1.4E-2</v>
      </c>
      <c r="E116" s="162">
        <f>VLOOKUP($B116,'VL-NC-M'!$B$6:$F$101,5,0)</f>
        <v>1587824</v>
      </c>
      <c r="F116" s="162"/>
      <c r="G116" s="161"/>
      <c r="H116" s="162">
        <f>D116*E116</f>
        <v>22229.536</v>
      </c>
      <c r="J116" s="101">
        <f t="shared" ref="J116:K120" si="11">+$D116*J$110*$K$1</f>
        <v>1.5400000000000002E-2</v>
      </c>
      <c r="K116" s="101">
        <f t="shared" si="11"/>
        <v>0</v>
      </c>
      <c r="L116" s="160">
        <f>$M$116</f>
        <v>1.4E-2</v>
      </c>
      <c r="M116" s="217">
        <v>1.4E-2</v>
      </c>
      <c r="N116" s="160">
        <v>1.4999999999999999E-2</v>
      </c>
      <c r="O116" s="160">
        <v>1.7000000000000001E-2</v>
      </c>
      <c r="P116" s="160">
        <v>0</v>
      </c>
      <c r="Q116" s="160"/>
    </row>
    <row r="117" spans="1:17" ht="19.5" customHeight="1">
      <c r="A117" s="11">
        <v>2</v>
      </c>
      <c r="B117" s="109" t="s">
        <v>100</v>
      </c>
      <c r="C117" s="11" t="s">
        <v>13</v>
      </c>
      <c r="D117" s="160">
        <f>L117</f>
        <v>1.4E-2</v>
      </c>
      <c r="E117" s="162">
        <f>VLOOKUP($B117,'VL-NC-M'!$B$6:$F$101,5,0)</f>
        <v>554101</v>
      </c>
      <c r="F117" s="162"/>
      <c r="G117" s="161"/>
      <c r="H117" s="162">
        <f>D117*E117</f>
        <v>7757.4139999999998</v>
      </c>
      <c r="J117" s="101">
        <f t="shared" si="11"/>
        <v>1.5400000000000002E-2</v>
      </c>
      <c r="K117" s="101">
        <f t="shared" si="11"/>
        <v>0</v>
      </c>
      <c r="L117" s="160">
        <f>$M$117</f>
        <v>1.4E-2</v>
      </c>
      <c r="M117" s="217">
        <v>1.4E-2</v>
      </c>
      <c r="N117" s="160">
        <v>1.4999999999999999E-2</v>
      </c>
      <c r="O117" s="160">
        <v>1.7000000000000001E-2</v>
      </c>
      <c r="P117" s="160">
        <v>0</v>
      </c>
      <c r="Q117" s="160"/>
    </row>
    <row r="118" spans="1:17" ht="19.5" customHeight="1">
      <c r="A118" s="11">
        <v>3</v>
      </c>
      <c r="B118" s="109" t="s">
        <v>114</v>
      </c>
      <c r="C118" s="11" t="s">
        <v>13</v>
      </c>
      <c r="D118" s="160">
        <f>L118</f>
        <v>0.26400000000000001</v>
      </c>
      <c r="E118" s="162">
        <f>VLOOKUP($B118,'VL-NC-M'!$B$6:$F$101,5,0)</f>
        <v>1108263</v>
      </c>
      <c r="F118" s="162"/>
      <c r="G118" s="161"/>
      <c r="H118" s="162">
        <f>D118*E118</f>
        <v>292581.43200000003</v>
      </c>
      <c r="J118" s="101">
        <f t="shared" si="11"/>
        <v>0.29040000000000005</v>
      </c>
      <c r="K118" s="101">
        <f t="shared" si="11"/>
        <v>0</v>
      </c>
      <c r="L118" s="160">
        <f>$M$118</f>
        <v>0.26400000000000001</v>
      </c>
      <c r="M118" s="217">
        <v>0.26400000000000001</v>
      </c>
      <c r="N118" s="160">
        <v>0.28999999999999998</v>
      </c>
      <c r="O118" s="160">
        <v>0.31900000000000001</v>
      </c>
      <c r="P118" s="160">
        <v>0</v>
      </c>
      <c r="Q118" s="160"/>
    </row>
    <row r="119" spans="1:17" ht="19.5" customHeight="1">
      <c r="A119" s="11">
        <v>4</v>
      </c>
      <c r="B119" s="109" t="s">
        <v>113</v>
      </c>
      <c r="C119" s="11" t="s">
        <v>13</v>
      </c>
      <c r="D119" s="160">
        <f>L119</f>
        <v>0.125</v>
      </c>
      <c r="E119" s="162">
        <f>VLOOKUP($B119,'VL-NC-M'!$B$6:$F$101,5,0)</f>
        <v>2946909</v>
      </c>
      <c r="F119" s="162"/>
      <c r="G119" s="160"/>
      <c r="H119" s="162">
        <f>D119*E119</f>
        <v>368363.625</v>
      </c>
      <c r="J119" s="101">
        <f t="shared" si="11"/>
        <v>0.13750000000000001</v>
      </c>
      <c r="K119" s="101">
        <f t="shared" si="11"/>
        <v>0</v>
      </c>
      <c r="L119" s="160">
        <f>$M$119</f>
        <v>0.125</v>
      </c>
      <c r="M119" s="217">
        <v>0.125</v>
      </c>
      <c r="N119" s="160">
        <v>0.13800000000000001</v>
      </c>
      <c r="O119" s="160">
        <v>0.152</v>
      </c>
      <c r="P119" s="160">
        <v>0</v>
      </c>
      <c r="Q119" s="160"/>
    </row>
    <row r="120" spans="1:17" ht="19.5" customHeight="1">
      <c r="A120" s="117">
        <v>5</v>
      </c>
      <c r="B120" s="116" t="s">
        <v>104</v>
      </c>
      <c r="C120" s="117" t="s">
        <v>13</v>
      </c>
      <c r="D120" s="167">
        <f>L120</f>
        <v>0.41899999999999998</v>
      </c>
      <c r="E120" s="265">
        <f>VLOOKUP($B120,'VL-NC-M'!$B$6:$F$101,5,0)</f>
        <v>995354</v>
      </c>
      <c r="F120" s="265"/>
      <c r="G120" s="165"/>
      <c r="H120" s="265">
        <f>D120*E120</f>
        <v>417053.326</v>
      </c>
      <c r="J120" s="101">
        <f t="shared" si="11"/>
        <v>0.46090000000000003</v>
      </c>
      <c r="K120" s="101">
        <f t="shared" si="11"/>
        <v>0</v>
      </c>
      <c r="L120" s="167">
        <f>$M$120</f>
        <v>0.41899999999999998</v>
      </c>
      <c r="M120" s="222">
        <v>0.41899999999999998</v>
      </c>
      <c r="N120" s="167">
        <v>0.44500000000000001</v>
      </c>
      <c r="O120" s="167">
        <v>0.47399999999999998</v>
      </c>
      <c r="P120" s="167">
        <v>0</v>
      </c>
      <c r="Q120" s="167"/>
    </row>
    <row r="121" spans="1:17" ht="19.5" customHeight="1">
      <c r="A121" s="119"/>
      <c r="B121" s="120" t="s">
        <v>127</v>
      </c>
      <c r="C121" s="121" t="s">
        <v>10</v>
      </c>
      <c r="D121" s="253"/>
      <c r="E121" s="254"/>
      <c r="F121" s="254">
        <f>SUM(F112:F120)</f>
        <v>535040</v>
      </c>
      <c r="G121" s="254">
        <f>SUM(G112:G120)</f>
        <v>495000</v>
      </c>
      <c r="H121" s="254">
        <f>SUM(H112:H120)</f>
        <v>1107985.3330000001</v>
      </c>
      <c r="L121" s="556" t="str">
        <f>$M$121</f>
        <v>0,5 ÷ 12m</v>
      </c>
      <c r="M121" s="555" t="s">
        <v>268</v>
      </c>
      <c r="N121" s="708" t="s">
        <v>269</v>
      </c>
      <c r="O121" s="708" t="s">
        <v>270</v>
      </c>
      <c r="P121" s="708" t="s">
        <v>259</v>
      </c>
      <c r="Q121" s="708"/>
    </row>
    <row r="123" spans="1:17" hidden="1" outlineLevel="1">
      <c r="A123" s="877" t="str">
        <f>"Lặn xử lý tín hiệu nằm từ độ sâu 1m-5m. Nước sâu "&amp;L138</f>
        <v>Lặn xử lý tín hiệu nằm từ độ sâu 1m-5m. Nước sâu Không có</v>
      </c>
      <c r="B123" s="877"/>
      <c r="C123" s="877"/>
      <c r="D123" s="877"/>
      <c r="E123" s="877"/>
      <c r="F123" s="877"/>
      <c r="G123" s="877"/>
      <c r="H123" s="877"/>
    </row>
    <row r="124" spans="1:17" hidden="1" outlineLevel="1">
      <c r="A124" s="877" t="str" cm="1">
        <f t="array" aca="1" ref="A124" ca="1">"Số hiệu định mức: 030.0700."&amp;INDIRECT(ADDRESS(ROW(L127),COLUMN(L127)+L127,1,1))</f>
        <v>Số hiệu định mức: 030.0700.4</v>
      </c>
      <c r="B124" s="877"/>
      <c r="C124" s="877"/>
      <c r="D124" s="877"/>
      <c r="E124" s="877"/>
      <c r="F124" s="877"/>
      <c r="G124" s="877"/>
      <c r="H124" s="877"/>
    </row>
    <row r="125" spans="1:17" hidden="1" outlineLevel="1">
      <c r="A125" s="102"/>
      <c r="B125" s="14"/>
      <c r="C125" s="14"/>
      <c r="D125" s="14"/>
      <c r="E125" s="14"/>
      <c r="F125" s="14"/>
      <c r="G125" s="248" t="s">
        <v>130</v>
      </c>
      <c r="H125" s="22"/>
    </row>
    <row r="126" spans="1:17" hidden="1" outlineLevel="1">
      <c r="A126" s="878" t="s">
        <v>18</v>
      </c>
      <c r="B126" s="878" t="s">
        <v>43</v>
      </c>
      <c r="C126" s="879" t="s">
        <v>42</v>
      </c>
      <c r="D126" s="879" t="s">
        <v>22</v>
      </c>
      <c r="E126" s="879" t="s">
        <v>237</v>
      </c>
      <c r="F126" s="880" t="s">
        <v>45</v>
      </c>
      <c r="G126" s="880"/>
      <c r="H126" s="880"/>
      <c r="L126" s="520" t="s">
        <v>254</v>
      </c>
      <c r="M126" s="836" t="s">
        <v>255</v>
      </c>
      <c r="N126" s="837"/>
      <c r="O126" s="837"/>
      <c r="P126" s="837"/>
      <c r="Q126" s="838"/>
    </row>
    <row r="127" spans="1:17" hidden="1" outlineLevel="1">
      <c r="A127" s="878"/>
      <c r="B127" s="878"/>
      <c r="C127" s="879"/>
      <c r="D127" s="879"/>
      <c r="E127" s="879"/>
      <c r="F127" s="105" t="s">
        <v>59</v>
      </c>
      <c r="G127" s="105" t="s">
        <v>25</v>
      </c>
      <c r="H127" s="105" t="s">
        <v>81</v>
      </c>
      <c r="J127" s="185"/>
      <c r="K127" s="185">
        <f>'Gia DT TC'!E25</f>
        <v>0</v>
      </c>
      <c r="L127" s="521">
        <v>4</v>
      </c>
      <c r="M127" s="522">
        <v>1</v>
      </c>
      <c r="N127" s="522">
        <v>2</v>
      </c>
      <c r="O127" s="522">
        <v>3</v>
      </c>
      <c r="P127" s="522">
        <v>4</v>
      </c>
      <c r="Q127" s="522">
        <v>5</v>
      </c>
    </row>
    <row r="128" spans="1:17" hidden="1" outlineLevel="1">
      <c r="A128" s="100" t="s">
        <v>1</v>
      </c>
      <c r="B128" s="106" t="s">
        <v>59</v>
      </c>
      <c r="C128" s="100" t="s">
        <v>5</v>
      </c>
      <c r="D128" s="281"/>
      <c r="E128" s="282"/>
      <c r="F128" s="282"/>
      <c r="G128" s="107"/>
      <c r="H128" s="107"/>
      <c r="L128" s="524">
        <f>$P$128</f>
        <v>0</v>
      </c>
      <c r="M128" s="524"/>
      <c r="N128" s="524"/>
      <c r="O128" s="524"/>
      <c r="P128" s="525"/>
      <c r="Q128" s="524"/>
    </row>
    <row r="129" spans="1:17" ht="31.2" hidden="1" outlineLevel="1">
      <c r="A129" s="110"/>
      <c r="B129" s="126" t="s">
        <v>105</v>
      </c>
      <c r="C129" s="11" t="s">
        <v>238</v>
      </c>
      <c r="D129" s="161">
        <f>L129</f>
        <v>0</v>
      </c>
      <c r="E129" s="162">
        <f>VLOOKUP($B129,'VL-NC-M'!$B$81:$F$101,5,0)</f>
        <v>22000</v>
      </c>
      <c r="F129" s="162">
        <f>+D129*E129</f>
        <v>0</v>
      </c>
      <c r="G129" s="161"/>
      <c r="H129" s="161"/>
      <c r="J129" s="101">
        <f>+$D129*J$127</f>
        <v>0</v>
      </c>
      <c r="K129" s="101">
        <f>+$D129*K$127</f>
        <v>0</v>
      </c>
      <c r="L129" s="161">
        <f>$P$129</f>
        <v>0</v>
      </c>
      <c r="M129" s="161">
        <v>40.5</v>
      </c>
      <c r="N129" s="161">
        <v>40.5</v>
      </c>
      <c r="O129" s="161">
        <v>40.5</v>
      </c>
      <c r="P129" s="218">
        <v>0</v>
      </c>
      <c r="Q129" s="161"/>
    </row>
    <row r="130" spans="1:17" hidden="1" outlineLevel="1">
      <c r="A130" s="110" t="s">
        <v>2</v>
      </c>
      <c r="B130" s="111" t="s">
        <v>25</v>
      </c>
      <c r="C130" s="110" t="s">
        <v>6</v>
      </c>
      <c r="D130" s="164"/>
      <c r="E130" s="283"/>
      <c r="F130" s="283"/>
      <c r="G130" s="164"/>
      <c r="H130" s="164"/>
      <c r="L130" s="164">
        <f>$P$130</f>
        <v>0</v>
      </c>
      <c r="M130" s="161"/>
      <c r="N130" s="161"/>
      <c r="O130" s="161"/>
      <c r="P130" s="218"/>
      <c r="Q130" s="161"/>
    </row>
    <row r="131" spans="1:17" hidden="1" outlineLevel="1">
      <c r="A131" s="110"/>
      <c r="B131" s="109" t="s">
        <v>60</v>
      </c>
      <c r="C131" s="11" t="s">
        <v>40</v>
      </c>
      <c r="D131" s="161">
        <f>L131</f>
        <v>0</v>
      </c>
      <c r="E131" s="162">
        <f>VLOOKUP($B131,'VL-NC-M'!$B$6:$F$101,5,0)</f>
        <v>495000</v>
      </c>
      <c r="F131" s="162"/>
      <c r="G131" s="162">
        <f>+D131*E131</f>
        <v>0</v>
      </c>
      <c r="H131" s="161"/>
      <c r="J131" s="101">
        <f>+$D131*J$127*$K$1</f>
        <v>0</v>
      </c>
      <c r="K131" s="101">
        <f>+$D131*K$127*$K$1</f>
        <v>0</v>
      </c>
      <c r="L131" s="161">
        <f>$P$131</f>
        <v>0</v>
      </c>
      <c r="M131" s="161">
        <v>1.33</v>
      </c>
      <c r="N131" s="161">
        <v>1.46</v>
      </c>
      <c r="O131" s="161">
        <v>1.61</v>
      </c>
      <c r="P131" s="218">
        <v>0</v>
      </c>
      <c r="Q131" s="161"/>
    </row>
    <row r="132" spans="1:17" hidden="1" outlineLevel="1">
      <c r="A132" s="110" t="s">
        <v>3</v>
      </c>
      <c r="B132" s="111" t="s">
        <v>61</v>
      </c>
      <c r="C132" s="110" t="s">
        <v>7</v>
      </c>
      <c r="D132" s="164"/>
      <c r="E132" s="283"/>
      <c r="F132" s="283"/>
      <c r="G132" s="164"/>
      <c r="H132" s="164"/>
      <c r="L132" s="164">
        <f>$P$132</f>
        <v>0</v>
      </c>
      <c r="M132" s="161"/>
      <c r="N132" s="161"/>
      <c r="O132" s="161"/>
      <c r="P132" s="218"/>
      <c r="Q132" s="161"/>
    </row>
    <row r="133" spans="1:17" hidden="1" outlineLevel="1">
      <c r="A133" s="11">
        <v>1</v>
      </c>
      <c r="B133" s="109" t="s">
        <v>99</v>
      </c>
      <c r="C133" s="11" t="s">
        <v>13</v>
      </c>
      <c r="D133" s="160">
        <f>L133</f>
        <v>0</v>
      </c>
      <c r="E133" s="162">
        <f>VLOOKUP($B133,'VL-NC-M'!$B$6:$F$101,5,0)</f>
        <v>1587824</v>
      </c>
      <c r="F133" s="162"/>
      <c r="G133" s="161"/>
      <c r="H133" s="162">
        <f>D133*E133</f>
        <v>0</v>
      </c>
      <c r="J133" s="101">
        <f t="shared" ref="J133:K137" si="12">+$D133*J$127*$K$1</f>
        <v>0</v>
      </c>
      <c r="K133" s="101">
        <f t="shared" si="12"/>
        <v>0</v>
      </c>
      <c r="L133" s="160">
        <f>$P$133</f>
        <v>0</v>
      </c>
      <c r="M133" s="160">
        <v>1.4E-2</v>
      </c>
      <c r="N133" s="160">
        <v>1.4999999999999999E-2</v>
      </c>
      <c r="O133" s="160">
        <v>1.7000000000000001E-2</v>
      </c>
      <c r="P133" s="217">
        <v>0</v>
      </c>
      <c r="Q133" s="160"/>
    </row>
    <row r="134" spans="1:17" hidden="1" outlineLevel="1">
      <c r="A134" s="11">
        <v>2</v>
      </c>
      <c r="B134" s="109" t="s">
        <v>100</v>
      </c>
      <c r="C134" s="11" t="s">
        <v>13</v>
      </c>
      <c r="D134" s="160">
        <f>L134</f>
        <v>0</v>
      </c>
      <c r="E134" s="162">
        <f>VLOOKUP($B134,'VL-NC-M'!$B$6:$F$101,5,0)</f>
        <v>554101</v>
      </c>
      <c r="F134" s="162"/>
      <c r="G134" s="161"/>
      <c r="H134" s="162">
        <f>D134*E134</f>
        <v>0</v>
      </c>
      <c r="J134" s="101">
        <f t="shared" si="12"/>
        <v>0</v>
      </c>
      <c r="K134" s="101">
        <f t="shared" si="12"/>
        <v>0</v>
      </c>
      <c r="L134" s="160">
        <f>$P$134</f>
        <v>0</v>
      </c>
      <c r="M134" s="160">
        <v>1.4E-2</v>
      </c>
      <c r="N134" s="160">
        <v>1.4999999999999999E-2</v>
      </c>
      <c r="O134" s="160">
        <v>1.7000000000000001E-2</v>
      </c>
      <c r="P134" s="217">
        <v>0</v>
      </c>
      <c r="Q134" s="160"/>
    </row>
    <row r="135" spans="1:17" hidden="1" outlineLevel="1">
      <c r="A135" s="11">
        <v>3</v>
      </c>
      <c r="B135" s="109" t="s">
        <v>110</v>
      </c>
      <c r="C135" s="11" t="s">
        <v>13</v>
      </c>
      <c r="D135" s="160">
        <f>L135</f>
        <v>0</v>
      </c>
      <c r="E135" s="162">
        <f>VLOOKUP($B135,'VL-NC-M'!$B$6:$F$101,5,0)</f>
        <v>1105582</v>
      </c>
      <c r="F135" s="162"/>
      <c r="G135" s="161"/>
      <c r="H135" s="162">
        <f>D135*E135</f>
        <v>0</v>
      </c>
      <c r="J135" s="101">
        <f t="shared" si="12"/>
        <v>0</v>
      </c>
      <c r="K135" s="101">
        <f t="shared" si="12"/>
        <v>0</v>
      </c>
      <c r="L135" s="160">
        <f>$P$135</f>
        <v>0</v>
      </c>
      <c r="M135" s="160">
        <v>0.64</v>
      </c>
      <c r="N135" s="160">
        <v>0.70399999999999996</v>
      </c>
      <c r="O135" s="160">
        <v>0.77400000000000002</v>
      </c>
      <c r="P135" s="217">
        <v>0</v>
      </c>
      <c r="Q135" s="160"/>
    </row>
    <row r="136" spans="1:17" hidden="1" outlineLevel="1">
      <c r="A136" s="11">
        <v>4</v>
      </c>
      <c r="B136" s="109" t="s">
        <v>113</v>
      </c>
      <c r="C136" s="11" t="s">
        <v>13</v>
      </c>
      <c r="D136" s="160">
        <f>L136</f>
        <v>0</v>
      </c>
      <c r="E136" s="162">
        <f>VLOOKUP($B136,'VL-NC-M'!$B$6:$F$101,5,0)</f>
        <v>2946909</v>
      </c>
      <c r="F136" s="162"/>
      <c r="G136" s="160"/>
      <c r="H136" s="162">
        <f>D136*E136</f>
        <v>0</v>
      </c>
      <c r="J136" s="101">
        <f t="shared" si="12"/>
        <v>0</v>
      </c>
      <c r="K136" s="101">
        <f t="shared" si="12"/>
        <v>0</v>
      </c>
      <c r="L136" s="160">
        <f>$P$136</f>
        <v>0</v>
      </c>
      <c r="M136" s="160">
        <v>0.42</v>
      </c>
      <c r="N136" s="160">
        <v>0.46200000000000002</v>
      </c>
      <c r="O136" s="160">
        <v>0.51</v>
      </c>
      <c r="P136" s="217">
        <v>0</v>
      </c>
      <c r="Q136" s="160"/>
    </row>
    <row r="137" spans="1:17" hidden="1" outlineLevel="1">
      <c r="A137" s="117">
        <v>5</v>
      </c>
      <c r="B137" s="116" t="s">
        <v>104</v>
      </c>
      <c r="C137" s="117" t="s">
        <v>13</v>
      </c>
      <c r="D137" s="167">
        <f>L137</f>
        <v>0</v>
      </c>
      <c r="E137" s="265">
        <f>VLOOKUP($B137,'VL-NC-M'!$B$6:$F$101,5,0)</f>
        <v>995354</v>
      </c>
      <c r="F137" s="265"/>
      <c r="G137" s="165"/>
      <c r="H137" s="265">
        <f>D137*E137</f>
        <v>0</v>
      </c>
      <c r="J137" s="101">
        <f t="shared" si="12"/>
        <v>0</v>
      </c>
      <c r="K137" s="101">
        <f t="shared" si="12"/>
        <v>0</v>
      </c>
      <c r="L137" s="167">
        <f>$P$137</f>
        <v>0</v>
      </c>
      <c r="M137" s="167">
        <v>0.64</v>
      </c>
      <c r="N137" s="167">
        <v>0.70399999999999996</v>
      </c>
      <c r="O137" s="167">
        <v>0.77400000000000002</v>
      </c>
      <c r="P137" s="222">
        <v>0</v>
      </c>
      <c r="Q137" s="167"/>
    </row>
    <row r="138" spans="1:17" hidden="1" outlineLevel="1">
      <c r="A138" s="119"/>
      <c r="B138" s="120" t="s">
        <v>127</v>
      </c>
      <c r="C138" s="121" t="s">
        <v>10</v>
      </c>
      <c r="D138" s="253"/>
      <c r="E138" s="254"/>
      <c r="F138" s="254">
        <f>SUM(F129:F137)</f>
        <v>0</v>
      </c>
      <c r="G138" s="254">
        <f>SUM(G129:G137)</f>
        <v>0</v>
      </c>
      <c r="H138" s="254">
        <f>SUM(H129:H137)</f>
        <v>0</v>
      </c>
      <c r="L138" s="556" t="str">
        <f>$P$138</f>
        <v>Không có</v>
      </c>
      <c r="M138" s="708" t="s">
        <v>268</v>
      </c>
      <c r="N138" s="708" t="s">
        <v>269</v>
      </c>
      <c r="O138" s="708" t="s">
        <v>270</v>
      </c>
      <c r="P138" s="555" t="s">
        <v>259</v>
      </c>
      <c r="Q138" s="459"/>
    </row>
    <row r="139" spans="1:17" collapsed="1">
      <c r="B139" s="122"/>
      <c r="C139" s="122"/>
      <c r="D139" s="266"/>
      <c r="E139" s="255"/>
      <c r="F139" s="255"/>
      <c r="G139" s="255"/>
      <c r="H139" s="255"/>
    </row>
    <row r="140" spans="1:17">
      <c r="B140" s="122"/>
      <c r="C140" s="122"/>
      <c r="D140" s="266"/>
      <c r="E140" s="255"/>
      <c r="F140" s="255"/>
      <c r="G140" s="255"/>
      <c r="H140" s="255"/>
    </row>
    <row r="141" spans="1:17">
      <c r="B141" s="122"/>
      <c r="C141" s="122"/>
      <c r="D141" s="266"/>
      <c r="E141" s="255"/>
      <c r="F141" s="255"/>
      <c r="G141" s="255"/>
      <c r="H141" s="255"/>
    </row>
    <row r="232" spans="2:8">
      <c r="B232" s="122"/>
      <c r="C232" s="122"/>
      <c r="D232" s="266"/>
      <c r="E232" s="255"/>
      <c r="F232" s="255"/>
      <c r="G232" s="255"/>
      <c r="H232" s="255"/>
    </row>
    <row r="233" spans="2:8">
      <c r="B233" s="122"/>
      <c r="C233" s="122"/>
      <c r="D233" s="266"/>
      <c r="E233" s="255"/>
      <c r="F233" s="255"/>
      <c r="G233" s="255"/>
      <c r="H233" s="255"/>
    </row>
    <row r="234" spans="2:8">
      <c r="B234" s="122"/>
      <c r="C234" s="122"/>
      <c r="D234" s="266"/>
      <c r="E234" s="255"/>
      <c r="F234" s="255"/>
      <c r="G234" s="255"/>
      <c r="H234" s="255"/>
    </row>
    <row r="433" spans="1:8" s="104" customFormat="1" ht="14.25" customHeight="1">
      <c r="A433" s="122"/>
      <c r="B433" s="101"/>
      <c r="D433" s="245"/>
      <c r="E433" s="245"/>
      <c r="F433" s="245"/>
      <c r="G433" s="245"/>
      <c r="H433" s="245"/>
    </row>
    <row r="434" spans="1:8" s="104" customFormat="1" ht="14.25" hidden="1" customHeight="1">
      <c r="A434" s="122"/>
      <c r="B434" s="101"/>
      <c r="D434" s="245"/>
      <c r="E434" s="245"/>
      <c r="F434" s="245"/>
      <c r="G434" s="245"/>
      <c r="H434" s="245"/>
    </row>
    <row r="435" spans="1:8" s="104" customFormat="1" ht="14.25" hidden="1" customHeight="1">
      <c r="A435" s="122"/>
      <c r="B435" s="101"/>
      <c r="D435" s="245"/>
      <c r="E435" s="245"/>
      <c r="F435" s="245"/>
      <c r="G435" s="245"/>
      <c r="H435" s="245"/>
    </row>
    <row r="436" spans="1:8" s="104" customFormat="1" ht="14.25" hidden="1" customHeight="1">
      <c r="A436" s="122"/>
      <c r="B436" s="101"/>
      <c r="D436" s="245"/>
      <c r="E436" s="245"/>
      <c r="F436" s="245"/>
      <c r="G436" s="245"/>
      <c r="H436" s="245"/>
    </row>
    <row r="437" spans="1:8" s="104" customFormat="1" ht="14.25" hidden="1" customHeight="1">
      <c r="A437" s="122"/>
      <c r="B437" s="101"/>
      <c r="D437" s="245"/>
      <c r="E437" s="245"/>
      <c r="F437" s="245"/>
      <c r="G437" s="245"/>
      <c r="H437" s="245"/>
    </row>
    <row r="438" spans="1:8" s="104" customFormat="1" ht="14.25" hidden="1" customHeight="1">
      <c r="A438" s="122"/>
      <c r="B438" s="101"/>
      <c r="D438" s="245"/>
      <c r="E438" s="245"/>
      <c r="F438" s="245"/>
      <c r="G438" s="245"/>
      <c r="H438" s="245"/>
    </row>
  </sheetData>
  <autoFilter ref="A18:H409" xr:uid="{00000000-0009-0000-0000-000007000000}"/>
  <mergeCells count="72">
    <mergeCell ref="M126:Q126"/>
    <mergeCell ref="A123:H123"/>
    <mergeCell ref="A124:H124"/>
    <mergeCell ref="A126:A127"/>
    <mergeCell ref="B126:B127"/>
    <mergeCell ref="C126:C127"/>
    <mergeCell ref="D126:D127"/>
    <mergeCell ref="E126:E127"/>
    <mergeCell ref="F126:H126"/>
    <mergeCell ref="M92:Q92"/>
    <mergeCell ref="A106:H106"/>
    <mergeCell ref="A107:H107"/>
    <mergeCell ref="A109:A110"/>
    <mergeCell ref="B109:B110"/>
    <mergeCell ref="C109:C110"/>
    <mergeCell ref="D109:D110"/>
    <mergeCell ref="E109:E110"/>
    <mergeCell ref="F109:H109"/>
    <mergeCell ref="M109:Q109"/>
    <mergeCell ref="A89:H89"/>
    <mergeCell ref="A90:H90"/>
    <mergeCell ref="A92:A93"/>
    <mergeCell ref="B92:B93"/>
    <mergeCell ref="C92:C93"/>
    <mergeCell ref="D92:D93"/>
    <mergeCell ref="E92:E93"/>
    <mergeCell ref="F92:H92"/>
    <mergeCell ref="M61:Q61"/>
    <mergeCell ref="A76:H76"/>
    <mergeCell ref="A77:H77"/>
    <mergeCell ref="A79:A80"/>
    <mergeCell ref="B79:B80"/>
    <mergeCell ref="C79:C80"/>
    <mergeCell ref="D79:D80"/>
    <mergeCell ref="E79:E80"/>
    <mergeCell ref="F79:H79"/>
    <mergeCell ref="M79:Q79"/>
    <mergeCell ref="A58:H58"/>
    <mergeCell ref="A59:H59"/>
    <mergeCell ref="A61:A62"/>
    <mergeCell ref="B61:B62"/>
    <mergeCell ref="C61:C62"/>
    <mergeCell ref="D61:D62"/>
    <mergeCell ref="E61:E62"/>
    <mergeCell ref="F61:H61"/>
    <mergeCell ref="M16:Q16"/>
    <mergeCell ref="A36:H36"/>
    <mergeCell ref="A37:H37"/>
    <mergeCell ref="A39:A40"/>
    <mergeCell ref="B39:B40"/>
    <mergeCell ref="C39:C40"/>
    <mergeCell ref="D39:D40"/>
    <mergeCell ref="E39:E40"/>
    <mergeCell ref="F39:H39"/>
    <mergeCell ref="M39:Q39"/>
    <mergeCell ref="A13:H13"/>
    <mergeCell ref="A14:H14"/>
    <mergeCell ref="A16:A17"/>
    <mergeCell ref="B16:B17"/>
    <mergeCell ref="C16:C17"/>
    <mergeCell ref="D16:D17"/>
    <mergeCell ref="E16:E17"/>
    <mergeCell ref="F16:H16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80" orientation="portrait" r:id="rId1"/>
  <rowBreaks count="1" manualBreakCount="1">
    <brk id="57" max="7" man="1"/>
  </rowBreaks>
  <colBreaks count="1" manualBreakCount="1">
    <brk id="8" max="1048575" man="1"/>
  </colBreaks>
  <customProperties>
    <customPr name="TTBMVN.WorksheetRole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rgb="FFFFFF00"/>
  </sheetPr>
  <dimension ref="A1:N117"/>
  <sheetViews>
    <sheetView view="pageBreakPreview" topLeftCell="A4" zoomScale="60" zoomScaleNormal="85" workbookViewId="0">
      <selection activeCell="E25" sqref="E25"/>
    </sheetView>
  </sheetViews>
  <sheetFormatPr defaultColWidth="8.09765625" defaultRowHeight="18" outlineLevelRow="1" outlineLevelCol="1"/>
  <cols>
    <col min="1" max="1" width="6.09765625" style="318" customWidth="1"/>
    <col min="2" max="2" width="30.09765625" style="288" customWidth="1"/>
    <col min="3" max="3" width="7.59765625" style="319" customWidth="1"/>
    <col min="4" max="4" width="13.8984375" style="319" customWidth="1"/>
    <col min="5" max="5" width="12.69921875" style="319" customWidth="1"/>
    <col min="6" max="6" width="16.3984375" style="288" customWidth="1"/>
    <col min="7" max="7" width="8.09765625" style="288" hidden="1" customWidth="1" outlineLevel="1"/>
    <col min="8" max="8" width="13.09765625" style="288" hidden="1" customWidth="1" outlineLevel="1"/>
    <col min="9" max="9" width="8.09765625" style="288" hidden="1" customWidth="1" outlineLevel="1"/>
    <col min="10" max="10" width="8.09765625" style="288" collapsed="1"/>
    <col min="11" max="16384" width="8.09765625" style="288"/>
  </cols>
  <sheetData>
    <row r="1" spans="1:14" ht="22.5" customHeight="1">
      <c r="A1" s="883" t="s">
        <v>73</v>
      </c>
      <c r="B1" s="883"/>
      <c r="C1" s="883"/>
      <c r="D1" s="883"/>
      <c r="E1" s="883"/>
      <c r="F1" s="883"/>
    </row>
    <row r="2" spans="1:14" ht="22.5" customHeight="1">
      <c r="A2" s="883" t="s">
        <v>108</v>
      </c>
      <c r="B2" s="883"/>
      <c r="C2" s="883"/>
      <c r="D2" s="883"/>
      <c r="E2" s="883"/>
      <c r="F2" s="883"/>
    </row>
    <row r="3" spans="1:14" ht="43.5" customHeight="1">
      <c r="A3" s="884" t="s">
        <v>193</v>
      </c>
      <c r="B3" s="885"/>
      <c r="C3" s="885"/>
      <c r="D3" s="885"/>
      <c r="E3" s="885"/>
      <c r="F3" s="885"/>
    </row>
    <row r="4" spans="1:14" s="291" customFormat="1" ht="7.5" customHeight="1">
      <c r="A4" s="289"/>
      <c r="B4" s="290"/>
      <c r="C4" s="289"/>
      <c r="D4" s="289"/>
      <c r="E4" s="289"/>
      <c r="F4" s="290"/>
    </row>
    <row r="5" spans="1:14" s="293" customFormat="1" ht="34.5" customHeight="1">
      <c r="A5" s="292" t="s">
        <v>0</v>
      </c>
      <c r="B5" s="292" t="s">
        <v>33</v>
      </c>
      <c r="C5" s="292" t="s">
        <v>32</v>
      </c>
      <c r="D5" s="292" t="s">
        <v>83</v>
      </c>
      <c r="E5" s="292" t="s">
        <v>88</v>
      </c>
      <c r="F5" s="292" t="s">
        <v>24</v>
      </c>
    </row>
    <row r="6" spans="1:14" s="296" customFormat="1" ht="15.6">
      <c r="A6" s="294" t="s">
        <v>15</v>
      </c>
      <c r="B6" s="294" t="s">
        <v>16</v>
      </c>
      <c r="C6" s="294">
        <v>1</v>
      </c>
      <c r="D6" s="294">
        <v>2</v>
      </c>
      <c r="E6" s="294">
        <v>3</v>
      </c>
      <c r="F6" s="295" t="s">
        <v>82</v>
      </c>
      <c r="G6" s="296">
        <f>'THKP-TC'!$G$10</f>
        <v>2</v>
      </c>
    </row>
    <row r="7" spans="1:14" s="296" customFormat="1" ht="15.6">
      <c r="A7" s="292" t="s">
        <v>1</v>
      </c>
      <c r="B7" s="297" t="s">
        <v>115</v>
      </c>
      <c r="C7" s="298"/>
      <c r="D7" s="298"/>
      <c r="E7" s="298"/>
      <c r="F7" s="299">
        <f>IF(OR($G$6=1,$G$6=3),$I$7,SUM(F8:F10))</f>
        <v>450000</v>
      </c>
      <c r="G7" s="296">
        <v>1</v>
      </c>
      <c r="H7" s="299" t="s">
        <v>376</v>
      </c>
      <c r="I7" s="438">
        <v>180000</v>
      </c>
      <c r="J7" s="439"/>
      <c r="K7" s="439"/>
      <c r="L7" s="439"/>
      <c r="M7" s="439"/>
      <c r="N7" s="439"/>
    </row>
    <row r="8" spans="1:14" s="296" customFormat="1" ht="15.6">
      <c r="A8" s="300">
        <v>1</v>
      </c>
      <c r="B8" s="301" t="s">
        <v>37</v>
      </c>
      <c r="C8" s="302">
        <v>4.2</v>
      </c>
      <c r="D8" s="303">
        <v>2340000</v>
      </c>
      <c r="E8" s="300">
        <v>26</v>
      </c>
      <c r="F8" s="304">
        <f>D8*C8/26</f>
        <v>378000</v>
      </c>
      <c r="G8" s="296">
        <v>2</v>
      </c>
      <c r="H8" s="299" t="s">
        <v>377</v>
      </c>
      <c r="I8" s="438">
        <v>2340000</v>
      </c>
      <c r="J8" s="439"/>
      <c r="K8" s="439"/>
      <c r="L8" s="439"/>
      <c r="M8" s="439"/>
      <c r="N8" s="439"/>
    </row>
    <row r="9" spans="1:14" s="296" customFormat="1" ht="15.6">
      <c r="A9" s="305">
        <v>2</v>
      </c>
      <c r="B9" s="306" t="s">
        <v>35</v>
      </c>
      <c r="C9" s="307">
        <v>0.4</v>
      </c>
      <c r="D9" s="308">
        <f>+$D$8</f>
        <v>2340000</v>
      </c>
      <c r="E9" s="305">
        <v>26</v>
      </c>
      <c r="F9" s="309">
        <f>D8*C9/26</f>
        <v>36000</v>
      </c>
      <c r="G9" s="310"/>
      <c r="H9" s="310"/>
      <c r="I9" s="884"/>
      <c r="J9" s="885"/>
      <c r="K9" s="885"/>
      <c r="L9" s="885"/>
      <c r="M9" s="885"/>
      <c r="N9" s="885"/>
    </row>
    <row r="10" spans="1:14" s="296" customFormat="1" ht="15.6">
      <c r="A10" s="311">
        <v>3</v>
      </c>
      <c r="B10" s="99" t="s">
        <v>235</v>
      </c>
      <c r="C10" s="312">
        <v>0.4</v>
      </c>
      <c r="D10" s="313">
        <f>+$D$8</f>
        <v>2340000</v>
      </c>
      <c r="E10" s="311">
        <v>26</v>
      </c>
      <c r="F10" s="314">
        <f>D8*C10/26</f>
        <v>36000</v>
      </c>
    </row>
    <row r="11" spans="1:14" s="296" customFormat="1" ht="15.6">
      <c r="A11" s="298" t="s">
        <v>2</v>
      </c>
      <c r="B11" s="315" t="s">
        <v>60</v>
      </c>
      <c r="C11" s="298"/>
      <c r="D11" s="298"/>
      <c r="E11" s="298"/>
      <c r="F11" s="299">
        <f>IF(OR($G$6=1,$G$6=3),$I$7,SUM(F12:F14))</f>
        <v>495000</v>
      </c>
    </row>
    <row r="12" spans="1:14" s="296" customFormat="1" ht="15.6">
      <c r="A12" s="300">
        <v>1</v>
      </c>
      <c r="B12" s="301" t="s">
        <v>34</v>
      </c>
      <c r="C12" s="316">
        <v>4.7</v>
      </c>
      <c r="D12" s="303">
        <f>+$D$8</f>
        <v>2340000</v>
      </c>
      <c r="E12" s="300">
        <v>26</v>
      </c>
      <c r="F12" s="304">
        <f>D12*C12/26</f>
        <v>423000</v>
      </c>
    </row>
    <row r="13" spans="1:14" s="296" customFormat="1" ht="15.6">
      <c r="A13" s="305">
        <v>2</v>
      </c>
      <c r="B13" s="306" t="s">
        <v>35</v>
      </c>
      <c r="C13" s="307">
        <v>0.4</v>
      </c>
      <c r="D13" s="308">
        <f>+$D$8</f>
        <v>2340000</v>
      </c>
      <c r="E13" s="305">
        <v>26</v>
      </c>
      <c r="F13" s="309">
        <f>D12*C13/26</f>
        <v>36000</v>
      </c>
    </row>
    <row r="14" spans="1:14" s="296" customFormat="1" ht="15.6">
      <c r="A14" s="311">
        <v>3</v>
      </c>
      <c r="B14" s="99" t="s">
        <v>235</v>
      </c>
      <c r="C14" s="312">
        <v>0.4</v>
      </c>
      <c r="D14" s="313">
        <f>+$D$8</f>
        <v>2340000</v>
      </c>
      <c r="E14" s="311">
        <v>26</v>
      </c>
      <c r="F14" s="314">
        <f>D12*C14/26</f>
        <v>36000</v>
      </c>
    </row>
    <row r="15" spans="1:14" s="296" customFormat="1" ht="15.6">
      <c r="A15" s="298" t="s">
        <v>3</v>
      </c>
      <c r="B15" s="317" t="s">
        <v>64</v>
      </c>
      <c r="C15" s="298"/>
      <c r="D15" s="298"/>
      <c r="E15" s="298"/>
      <c r="F15" s="299">
        <f>IF(OR($G$6=1,$G$6=3),$I$7,SUM(F16:F18))</f>
        <v>517500</v>
      </c>
    </row>
    <row r="16" spans="1:14" s="296" customFormat="1" ht="15.6">
      <c r="A16" s="300">
        <v>1</v>
      </c>
      <c r="B16" s="301" t="s">
        <v>36</v>
      </c>
      <c r="C16" s="302">
        <v>4.95</v>
      </c>
      <c r="D16" s="303">
        <f>+D8</f>
        <v>2340000</v>
      </c>
      <c r="E16" s="300">
        <v>26</v>
      </c>
      <c r="F16" s="304">
        <f>D16*C16/26</f>
        <v>445500</v>
      </c>
    </row>
    <row r="17" spans="1:6" s="296" customFormat="1" ht="15.6">
      <c r="A17" s="305">
        <v>2</v>
      </c>
      <c r="B17" s="306" t="s">
        <v>35</v>
      </c>
      <c r="C17" s="307">
        <v>0.4</v>
      </c>
      <c r="D17" s="308">
        <f>+$D$8</f>
        <v>2340000</v>
      </c>
      <c r="E17" s="305">
        <v>26</v>
      </c>
      <c r="F17" s="309">
        <f>D16*C17/26</f>
        <v>36000</v>
      </c>
    </row>
    <row r="18" spans="1:6" s="296" customFormat="1" ht="15.6">
      <c r="A18" s="311">
        <v>3</v>
      </c>
      <c r="B18" s="99" t="s">
        <v>235</v>
      </c>
      <c r="C18" s="312">
        <v>0.4</v>
      </c>
      <c r="D18" s="313">
        <f>+$D$8</f>
        <v>2340000</v>
      </c>
      <c r="E18" s="311">
        <v>26</v>
      </c>
      <c r="F18" s="314">
        <f>D16*C18/26</f>
        <v>36000</v>
      </c>
    </row>
    <row r="19" spans="1:6" ht="10.5" customHeight="1"/>
    <row r="20" spans="1:6" ht="39" customHeight="1">
      <c r="A20" s="886" t="s">
        <v>192</v>
      </c>
      <c r="B20" s="887"/>
      <c r="C20" s="887"/>
      <c r="D20" s="887"/>
      <c r="E20" s="887"/>
      <c r="F20" s="887"/>
    </row>
    <row r="21" spans="1:6" ht="12" customHeight="1">
      <c r="A21" s="570"/>
      <c r="B21" s="571"/>
      <c r="C21" s="571"/>
      <c r="D21" s="571"/>
      <c r="E21" s="571"/>
      <c r="F21" s="571"/>
    </row>
    <row r="22" spans="1:6" ht="36" customHeight="1">
      <c r="A22" s="498" t="s">
        <v>0</v>
      </c>
      <c r="B22" s="498" t="s">
        <v>38</v>
      </c>
      <c r="C22" s="498" t="s">
        <v>23</v>
      </c>
      <c r="D22" s="498" t="s">
        <v>22</v>
      </c>
      <c r="E22" s="498" t="s">
        <v>84</v>
      </c>
      <c r="F22" s="292" t="s">
        <v>24</v>
      </c>
    </row>
    <row r="23" spans="1:6" outlineLevel="1">
      <c r="A23" s="572" t="str">
        <f>ROMAN(_xlfn.AGGREGATE(3,5,$B$23))</f>
        <v>I</v>
      </c>
      <c r="B23" s="573" t="s">
        <v>65</v>
      </c>
      <c r="C23" s="574"/>
      <c r="D23" s="574"/>
      <c r="E23" s="574"/>
      <c r="F23" s="320">
        <f>SUM(F24:F28)</f>
        <v>762996</v>
      </c>
    </row>
    <row r="24" spans="1:6" ht="18.75" customHeight="1" outlineLevel="1">
      <c r="A24" s="575">
        <v>1</v>
      </c>
      <c r="B24" s="576" t="s">
        <v>67</v>
      </c>
      <c r="C24" s="575" t="s">
        <v>39</v>
      </c>
      <c r="D24" s="575">
        <v>2</v>
      </c>
      <c r="E24" s="577">
        <v>12000</v>
      </c>
      <c r="F24" s="321">
        <f>D24*E24</f>
        <v>24000</v>
      </c>
    </row>
    <row r="25" spans="1:6" outlineLevel="1">
      <c r="A25" s="549">
        <v>2</v>
      </c>
      <c r="B25" s="578" t="s">
        <v>68</v>
      </c>
      <c r="C25" s="549" t="s">
        <v>13</v>
      </c>
      <c r="D25" s="549">
        <v>1</v>
      </c>
      <c r="E25" s="579">
        <v>60408</v>
      </c>
      <c r="F25" s="322">
        <f>D25*E25</f>
        <v>60408</v>
      </c>
    </row>
    <row r="26" spans="1:6" outlineLevel="1">
      <c r="A26" s="549">
        <v>3</v>
      </c>
      <c r="B26" s="578" t="s">
        <v>69</v>
      </c>
      <c r="C26" s="549" t="s">
        <v>13</v>
      </c>
      <c r="D26" s="549">
        <v>1</v>
      </c>
      <c r="E26" s="579">
        <v>135918</v>
      </c>
      <c r="F26" s="322">
        <f>D26*E26</f>
        <v>135918</v>
      </c>
    </row>
    <row r="27" spans="1:6" outlineLevel="1">
      <c r="A27" s="549">
        <v>4</v>
      </c>
      <c r="B27" s="578" t="s">
        <v>48</v>
      </c>
      <c r="C27" s="549" t="s">
        <v>13</v>
      </c>
      <c r="D27" s="549">
        <v>1</v>
      </c>
      <c r="E27" s="579">
        <v>25170</v>
      </c>
      <c r="F27" s="322">
        <f>D27*E27</f>
        <v>25170</v>
      </c>
    </row>
    <row r="28" spans="1:6" outlineLevel="1">
      <c r="A28" s="580">
        <v>5</v>
      </c>
      <c r="B28" s="84" t="s">
        <v>116</v>
      </c>
      <c r="C28" s="580" t="s">
        <v>40</v>
      </c>
      <c r="D28" s="580">
        <v>1</v>
      </c>
      <c r="E28" s="581">
        <f>F15</f>
        <v>517500</v>
      </c>
      <c r="F28" s="323">
        <f>D28*E28</f>
        <v>517500</v>
      </c>
    </row>
    <row r="29" spans="1:6">
      <c r="A29" s="572" t="str">
        <f>ROMAN(_xlfn.AGGREGATE(3,5,$B$23,$B$29))</f>
        <v>II</v>
      </c>
      <c r="B29" s="573" t="s">
        <v>47</v>
      </c>
      <c r="C29" s="574"/>
      <c r="D29" s="574"/>
      <c r="E29" s="574"/>
      <c r="F29" s="320">
        <f>SUM(F30:F34)</f>
        <v>1070324</v>
      </c>
    </row>
    <row r="30" spans="1:6" ht="18.75" customHeight="1">
      <c r="A30" s="575">
        <v>1</v>
      </c>
      <c r="B30" s="576" t="s">
        <v>67</v>
      </c>
      <c r="C30" s="575" t="s">
        <v>39</v>
      </c>
      <c r="D30" s="575">
        <v>3</v>
      </c>
      <c r="E30" s="577">
        <f>+E24</f>
        <v>12000</v>
      </c>
      <c r="F30" s="321">
        <f>D30*E30</f>
        <v>36000</v>
      </c>
    </row>
    <row r="31" spans="1:6">
      <c r="A31" s="549">
        <v>2</v>
      </c>
      <c r="B31" s="578" t="s">
        <v>68</v>
      </c>
      <c r="C31" s="549" t="s">
        <v>13</v>
      </c>
      <c r="D31" s="549">
        <v>1</v>
      </c>
      <c r="E31" s="579">
        <v>140952</v>
      </c>
      <c r="F31" s="322">
        <f>D31*E31</f>
        <v>140952</v>
      </c>
    </row>
    <row r="32" spans="1:6">
      <c r="A32" s="549">
        <v>3</v>
      </c>
      <c r="B32" s="578" t="s">
        <v>69</v>
      </c>
      <c r="C32" s="549" t="s">
        <v>13</v>
      </c>
      <c r="D32" s="549">
        <v>1</v>
      </c>
      <c r="E32" s="579">
        <v>317142</v>
      </c>
      <c r="F32" s="322">
        <f>D32*E32</f>
        <v>317142</v>
      </c>
    </row>
    <row r="33" spans="1:6">
      <c r="A33" s="549">
        <v>4</v>
      </c>
      <c r="B33" s="578" t="s">
        <v>48</v>
      </c>
      <c r="C33" s="549" t="s">
        <v>13</v>
      </c>
      <c r="D33" s="549">
        <v>1</v>
      </c>
      <c r="E33" s="579">
        <v>58730</v>
      </c>
      <c r="F33" s="322">
        <f>D33*E33</f>
        <v>58730</v>
      </c>
    </row>
    <row r="34" spans="1:6">
      <c r="A34" s="580">
        <v>5</v>
      </c>
      <c r="B34" s="84" t="str">
        <f>B28</f>
        <v>NC thợ bậc 8/10</v>
      </c>
      <c r="C34" s="580" t="s">
        <v>40</v>
      </c>
      <c r="D34" s="580">
        <v>1</v>
      </c>
      <c r="E34" s="581">
        <f>E28</f>
        <v>517500</v>
      </c>
      <c r="F34" s="323">
        <f>D34*E34</f>
        <v>517500</v>
      </c>
    </row>
    <row r="35" spans="1:6">
      <c r="A35" s="572" t="str">
        <f>ROMAN(_xlfn.AGGREGATE(3,5,$B$23,$B$29,$B$35))</f>
        <v>III</v>
      </c>
      <c r="B35" s="573" t="s">
        <v>99</v>
      </c>
      <c r="C35" s="574"/>
      <c r="D35" s="574"/>
      <c r="E35" s="574"/>
      <c r="F35" s="320">
        <f>SUM(F36:F40)</f>
        <v>1587824</v>
      </c>
    </row>
    <row r="36" spans="1:6">
      <c r="A36" s="575">
        <v>1</v>
      </c>
      <c r="B36" s="576" t="s">
        <v>67</v>
      </c>
      <c r="C36" s="575" t="s">
        <v>39</v>
      </c>
      <c r="D36" s="575">
        <v>3</v>
      </c>
      <c r="E36" s="577">
        <f>+E30</f>
        <v>12000</v>
      </c>
      <c r="F36" s="321">
        <f>D36*E36</f>
        <v>36000</v>
      </c>
    </row>
    <row r="37" spans="1:6">
      <c r="A37" s="549">
        <v>2</v>
      </c>
      <c r="B37" s="578" t="s">
        <v>68</v>
      </c>
      <c r="C37" s="549" t="s">
        <v>13</v>
      </c>
      <c r="D37" s="549">
        <v>1</v>
      </c>
      <c r="E37" s="579">
        <v>140952</v>
      </c>
      <c r="F37" s="322">
        <f>D37*E37</f>
        <v>140952</v>
      </c>
    </row>
    <row r="38" spans="1:6">
      <c r="A38" s="549">
        <v>3</v>
      </c>
      <c r="B38" s="578" t="s">
        <v>69</v>
      </c>
      <c r="C38" s="549" t="s">
        <v>13</v>
      </c>
      <c r="D38" s="549">
        <v>1</v>
      </c>
      <c r="E38" s="579">
        <v>317142</v>
      </c>
      <c r="F38" s="322">
        <f>D38*E38</f>
        <v>317142</v>
      </c>
    </row>
    <row r="39" spans="1:6">
      <c r="A39" s="549">
        <v>4</v>
      </c>
      <c r="B39" s="578" t="s">
        <v>48</v>
      </c>
      <c r="C39" s="549" t="s">
        <v>13</v>
      </c>
      <c r="D39" s="549">
        <v>1</v>
      </c>
      <c r="E39" s="579">
        <v>58730</v>
      </c>
      <c r="F39" s="322">
        <f>D39*E39</f>
        <v>58730</v>
      </c>
    </row>
    <row r="40" spans="1:6">
      <c r="A40" s="580">
        <v>5</v>
      </c>
      <c r="B40" s="84" t="str">
        <f>+B34</f>
        <v>NC thợ bậc 8/10</v>
      </c>
      <c r="C40" s="580" t="s">
        <v>40</v>
      </c>
      <c r="D40" s="580">
        <v>2</v>
      </c>
      <c r="E40" s="581">
        <f>E34</f>
        <v>517500</v>
      </c>
      <c r="F40" s="323">
        <f>D40*E40</f>
        <v>1035000</v>
      </c>
    </row>
    <row r="41" spans="1:6">
      <c r="A41" s="572" t="str">
        <f>ROMAN(_xlfn.AGGREGATE(3,5,$B$23,$B$29,$B$35,$B$41))</f>
        <v>IV</v>
      </c>
      <c r="B41" s="573" t="s">
        <v>101</v>
      </c>
      <c r="C41" s="574"/>
      <c r="D41" s="574"/>
      <c r="E41" s="574"/>
      <c r="F41" s="320">
        <f>SUM(F42:F45)</f>
        <v>518226</v>
      </c>
    </row>
    <row r="42" spans="1:6">
      <c r="A42" s="575">
        <v>1</v>
      </c>
      <c r="B42" s="576" t="s">
        <v>69</v>
      </c>
      <c r="C42" s="575" t="s">
        <v>13</v>
      </c>
      <c r="D42" s="575">
        <v>1</v>
      </c>
      <c r="E42" s="577">
        <v>15484</v>
      </c>
      <c r="F42" s="321">
        <f>D42*E42</f>
        <v>15484</v>
      </c>
    </row>
    <row r="43" spans="1:6">
      <c r="A43" s="549">
        <v>2</v>
      </c>
      <c r="B43" s="578" t="s">
        <v>68</v>
      </c>
      <c r="C43" s="549" t="s">
        <v>13</v>
      </c>
      <c r="D43" s="549">
        <v>1</v>
      </c>
      <c r="E43" s="579">
        <v>6194</v>
      </c>
      <c r="F43" s="322">
        <f>D43*E43</f>
        <v>6194</v>
      </c>
    </row>
    <row r="44" spans="1:6">
      <c r="A44" s="549">
        <v>3</v>
      </c>
      <c r="B44" s="578" t="str">
        <f>B39</f>
        <v>Chi phí khác</v>
      </c>
      <c r="C44" s="549" t="s">
        <v>13</v>
      </c>
      <c r="D44" s="549">
        <v>1</v>
      </c>
      <c r="E44" s="579">
        <v>1548</v>
      </c>
      <c r="F44" s="322">
        <f>D44*E44</f>
        <v>1548</v>
      </c>
    </row>
    <row r="45" spans="1:6">
      <c r="A45" s="584">
        <v>4</v>
      </c>
      <c r="B45" s="585" t="s">
        <v>161</v>
      </c>
      <c r="C45" s="584" t="s">
        <v>40</v>
      </c>
      <c r="D45" s="584">
        <v>1</v>
      </c>
      <c r="E45" s="586">
        <f>+F11</f>
        <v>495000</v>
      </c>
      <c r="F45" s="325">
        <f>D45*E45</f>
        <v>495000</v>
      </c>
    </row>
    <row r="46" spans="1:6">
      <c r="A46" s="572" t="str">
        <f>ROMAN(_xlfn.AGGREGATE(3,5,$B$23,$B$29,$B$35,$B$41,$B$46))</f>
        <v>V</v>
      </c>
      <c r="B46" s="573" t="s">
        <v>100</v>
      </c>
      <c r="C46" s="574"/>
      <c r="D46" s="574"/>
      <c r="E46" s="574"/>
      <c r="F46" s="320">
        <f>SUM(F47:F50)</f>
        <v>554101</v>
      </c>
    </row>
    <row r="47" spans="1:6">
      <c r="A47" s="575">
        <v>1</v>
      </c>
      <c r="B47" s="576" t="s">
        <v>69</v>
      </c>
      <c r="C47" s="575" t="s">
        <v>13</v>
      </c>
      <c r="D47" s="575">
        <v>1</v>
      </c>
      <c r="E47" s="577">
        <v>24401</v>
      </c>
      <c r="F47" s="321">
        <f>D47*E47</f>
        <v>24401</v>
      </c>
    </row>
    <row r="48" spans="1:6">
      <c r="A48" s="549">
        <v>2</v>
      </c>
      <c r="B48" s="578" t="s">
        <v>68</v>
      </c>
      <c r="C48" s="549" t="s">
        <v>13</v>
      </c>
      <c r="D48" s="549">
        <v>1</v>
      </c>
      <c r="E48" s="579">
        <v>9760</v>
      </c>
      <c r="F48" s="322">
        <f>D48*E48</f>
        <v>9760</v>
      </c>
    </row>
    <row r="49" spans="1:6">
      <c r="A49" s="549">
        <v>3</v>
      </c>
      <c r="B49" s="578" t="str">
        <f>B44</f>
        <v>Chi phí khác</v>
      </c>
      <c r="C49" s="549" t="s">
        <v>13</v>
      </c>
      <c r="D49" s="549">
        <v>1</v>
      </c>
      <c r="E49" s="579">
        <v>2440</v>
      </c>
      <c r="F49" s="322">
        <f>D49*E49</f>
        <v>2440</v>
      </c>
    </row>
    <row r="50" spans="1:6">
      <c r="A50" s="588">
        <v>4</v>
      </c>
      <c r="B50" s="589" t="s">
        <v>116</v>
      </c>
      <c r="C50" s="588" t="s">
        <v>40</v>
      </c>
      <c r="D50" s="588">
        <v>1</v>
      </c>
      <c r="E50" s="581">
        <f>+F15</f>
        <v>517500</v>
      </c>
      <c r="F50" s="326">
        <f>D50*E50</f>
        <v>517500</v>
      </c>
    </row>
    <row r="51" spans="1:6">
      <c r="A51" s="572" t="str">
        <f>ROMAN(_xlfn.AGGREGATE(3,5,$B$23,$B$29,$B$35,$B$41,$B$46,$B$51))</f>
        <v>VI</v>
      </c>
      <c r="B51" s="573" t="s">
        <v>104</v>
      </c>
      <c r="C51" s="574"/>
      <c r="D51" s="574"/>
      <c r="E51" s="574"/>
      <c r="F51" s="320">
        <f>SUM(F52:F55)</f>
        <v>995354</v>
      </c>
    </row>
    <row r="52" spans="1:6">
      <c r="A52" s="575">
        <v>1</v>
      </c>
      <c r="B52" s="576" t="s">
        <v>69</v>
      </c>
      <c r="C52" s="575" t="s">
        <v>13</v>
      </c>
      <c r="D52" s="575">
        <v>1</v>
      </c>
      <c r="E52" s="577">
        <v>55727</v>
      </c>
      <c r="F52" s="321">
        <f>D52*E52</f>
        <v>55727</v>
      </c>
    </row>
    <row r="53" spans="1:6">
      <c r="A53" s="549">
        <v>2</v>
      </c>
      <c r="B53" s="578" t="s">
        <v>68</v>
      </c>
      <c r="C53" s="549" t="s">
        <v>13</v>
      </c>
      <c r="D53" s="549">
        <v>1</v>
      </c>
      <c r="E53" s="579">
        <v>24767</v>
      </c>
      <c r="F53" s="322">
        <f>D53*E53</f>
        <v>24767</v>
      </c>
    </row>
    <row r="54" spans="1:6">
      <c r="A54" s="549">
        <v>3</v>
      </c>
      <c r="B54" s="578" t="str">
        <f>B49</f>
        <v>Chi phí khác</v>
      </c>
      <c r="C54" s="549" t="s">
        <v>13</v>
      </c>
      <c r="D54" s="549">
        <v>1</v>
      </c>
      <c r="E54" s="579">
        <v>14860</v>
      </c>
      <c r="F54" s="322">
        <f>D54*E54</f>
        <v>14860</v>
      </c>
    </row>
    <row r="55" spans="1:6">
      <c r="A55" s="588">
        <v>4</v>
      </c>
      <c r="B55" s="589" t="s">
        <v>115</v>
      </c>
      <c r="C55" s="588" t="s">
        <v>40</v>
      </c>
      <c r="D55" s="588">
        <v>2</v>
      </c>
      <c r="E55" s="581">
        <f>F7</f>
        <v>450000</v>
      </c>
      <c r="F55" s="326">
        <f>D55*E55</f>
        <v>900000</v>
      </c>
    </row>
    <row r="56" spans="1:6">
      <c r="A56" s="572" t="str">
        <f>ROMAN(_xlfn.AGGREGATE(3,5,$B$23,$B$29,$B$35,$B$41,$B$46,$B$51,$B$56))</f>
        <v>VII</v>
      </c>
      <c r="B56" s="573" t="s">
        <v>113</v>
      </c>
      <c r="C56" s="574"/>
      <c r="D56" s="574"/>
      <c r="E56" s="574"/>
      <c r="F56" s="320">
        <f>SUM(F57:F61)</f>
        <v>2946909</v>
      </c>
    </row>
    <row r="57" spans="1:6">
      <c r="A57" s="575">
        <v>1</v>
      </c>
      <c r="B57" s="576" t="s">
        <v>69</v>
      </c>
      <c r="C57" s="575" t="s">
        <v>13</v>
      </c>
      <c r="D57" s="575">
        <v>1</v>
      </c>
      <c r="E57" s="577">
        <v>137800</v>
      </c>
      <c r="F57" s="321">
        <f>D57*E57</f>
        <v>137800</v>
      </c>
    </row>
    <row r="58" spans="1:6">
      <c r="A58" s="549">
        <v>2</v>
      </c>
      <c r="B58" s="578" t="s">
        <v>68</v>
      </c>
      <c r="C58" s="549" t="s">
        <v>13</v>
      </c>
      <c r="D58" s="549">
        <v>1</v>
      </c>
      <c r="E58" s="579">
        <v>25911</v>
      </c>
      <c r="F58" s="322">
        <f>D58*E58</f>
        <v>25911</v>
      </c>
    </row>
    <row r="59" spans="1:6">
      <c r="A59" s="549">
        <v>3</v>
      </c>
      <c r="B59" s="578" t="str">
        <f>B54</f>
        <v>Chi phí khác</v>
      </c>
      <c r="C59" s="549" t="s">
        <v>13</v>
      </c>
      <c r="D59" s="549">
        <v>1</v>
      </c>
      <c r="E59" s="579">
        <v>58889</v>
      </c>
      <c r="F59" s="324">
        <f>D59*E59</f>
        <v>58889</v>
      </c>
    </row>
    <row r="60" spans="1:6">
      <c r="A60" s="549">
        <v>4</v>
      </c>
      <c r="B60" s="578" t="s">
        <v>106</v>
      </c>
      <c r="C60" s="549" t="s">
        <v>13</v>
      </c>
      <c r="D60" s="549">
        <v>1</v>
      </c>
      <c r="E60" s="579">
        <v>1689309</v>
      </c>
      <c r="F60" s="324">
        <f>D60*E60</f>
        <v>1689309</v>
      </c>
    </row>
    <row r="61" spans="1:6">
      <c r="A61" s="588">
        <v>5</v>
      </c>
      <c r="B61" s="589" t="s">
        <v>64</v>
      </c>
      <c r="C61" s="588" t="s">
        <v>40</v>
      </c>
      <c r="D61" s="588">
        <v>2</v>
      </c>
      <c r="E61" s="581">
        <f>+F15</f>
        <v>517500</v>
      </c>
      <c r="F61" s="327">
        <f>D61*E61</f>
        <v>1035000</v>
      </c>
    </row>
    <row r="62" spans="1:6">
      <c r="A62" s="572" t="str">
        <f>ROMAN(_xlfn.AGGREGATE(3,5,$B$23,$B$29,$B$35,$B$41,$B$46,$B$51,$B$56,$B$62))</f>
        <v>VIII</v>
      </c>
      <c r="B62" s="573" t="s">
        <v>110</v>
      </c>
      <c r="C62" s="574"/>
      <c r="D62" s="574"/>
      <c r="E62" s="574"/>
      <c r="F62" s="320">
        <f>SUM(F63:F66)</f>
        <v>1105582</v>
      </c>
    </row>
    <row r="63" spans="1:6">
      <c r="A63" s="575">
        <v>1</v>
      </c>
      <c r="B63" s="576" t="s">
        <v>69</v>
      </c>
      <c r="C63" s="575" t="s">
        <v>13</v>
      </c>
      <c r="D63" s="575">
        <v>1</v>
      </c>
      <c r="E63" s="577">
        <v>41792</v>
      </c>
      <c r="F63" s="328">
        <f>+D63*E63</f>
        <v>41792</v>
      </c>
    </row>
    <row r="64" spans="1:6">
      <c r="A64" s="549">
        <v>2</v>
      </c>
      <c r="B64" s="578" t="s">
        <v>68</v>
      </c>
      <c r="C64" s="549" t="s">
        <v>13</v>
      </c>
      <c r="D64" s="549">
        <v>1</v>
      </c>
      <c r="E64" s="579">
        <v>13931</v>
      </c>
      <c r="F64" s="329">
        <f>+D64*E64</f>
        <v>13931</v>
      </c>
    </row>
    <row r="65" spans="1:6">
      <c r="A65" s="549">
        <v>3</v>
      </c>
      <c r="B65" s="578" t="s">
        <v>48</v>
      </c>
      <c r="C65" s="549" t="s">
        <v>13</v>
      </c>
      <c r="D65" s="549">
        <v>1</v>
      </c>
      <c r="E65" s="579">
        <v>14859</v>
      </c>
      <c r="F65" s="329">
        <f>+D65*E65</f>
        <v>14859</v>
      </c>
    </row>
    <row r="66" spans="1:6">
      <c r="A66" s="580">
        <v>4</v>
      </c>
      <c r="B66" s="582" t="s">
        <v>64</v>
      </c>
      <c r="C66" s="580" t="s">
        <v>40</v>
      </c>
      <c r="D66" s="580">
        <v>2</v>
      </c>
      <c r="E66" s="581">
        <f>+$F$15</f>
        <v>517500</v>
      </c>
      <c r="F66" s="330">
        <f>+D66*E66</f>
        <v>1035000</v>
      </c>
    </row>
    <row r="67" spans="1:6" hidden="1" outlineLevel="1">
      <c r="A67" s="572" t="str">
        <f>ROMAN(_xlfn.AGGREGATE(3,5,$B$23,$B$29,$B$35,$B$41,$B$46,$B$51,$B$56,$B$62,$B$67))</f>
        <v>VIII</v>
      </c>
      <c r="B67" s="583" t="s">
        <v>114</v>
      </c>
      <c r="C67" s="501"/>
      <c r="D67" s="501"/>
      <c r="E67" s="501"/>
      <c r="F67" s="587">
        <f>SUM(F68:F71)</f>
        <v>1108263</v>
      </c>
    </row>
    <row r="68" spans="1:6" hidden="1" outlineLevel="1">
      <c r="A68" s="575">
        <v>1</v>
      </c>
      <c r="B68" s="576" t="s">
        <v>69</v>
      </c>
      <c r="C68" s="575" t="s">
        <v>13</v>
      </c>
      <c r="D68" s="575">
        <v>1</v>
      </c>
      <c r="E68" s="577">
        <v>43379</v>
      </c>
      <c r="F68" s="328">
        <f>+D68*E68</f>
        <v>43379</v>
      </c>
    </row>
    <row r="69" spans="1:6" hidden="1" outlineLevel="1">
      <c r="A69" s="549">
        <v>2</v>
      </c>
      <c r="B69" s="578" t="s">
        <v>68</v>
      </c>
      <c r="C69" s="549" t="s">
        <v>13</v>
      </c>
      <c r="D69" s="549">
        <v>1</v>
      </c>
      <c r="E69" s="579">
        <v>14460</v>
      </c>
      <c r="F69" s="329">
        <f>+D69*E69</f>
        <v>14460</v>
      </c>
    </row>
    <row r="70" spans="1:6" hidden="1" outlineLevel="1">
      <c r="A70" s="549">
        <v>3</v>
      </c>
      <c r="B70" s="578" t="s">
        <v>48</v>
      </c>
      <c r="C70" s="549" t="s">
        <v>13</v>
      </c>
      <c r="D70" s="549">
        <v>1</v>
      </c>
      <c r="E70" s="579">
        <v>15424</v>
      </c>
      <c r="F70" s="329">
        <f>+D70*E70</f>
        <v>15424</v>
      </c>
    </row>
    <row r="71" spans="1:6" hidden="1" outlineLevel="1">
      <c r="A71" s="580">
        <v>4</v>
      </c>
      <c r="B71" s="582" t="s">
        <v>64</v>
      </c>
      <c r="C71" s="580" t="s">
        <v>40</v>
      </c>
      <c r="D71" s="580">
        <v>2</v>
      </c>
      <c r="E71" s="581">
        <f>+$F$15</f>
        <v>517500</v>
      </c>
      <c r="F71" s="330">
        <f>+D71*E71</f>
        <v>1035000</v>
      </c>
    </row>
    <row r="72" spans="1:6" hidden="1" outlineLevel="1">
      <c r="A72" s="572" t="str">
        <f>ROMAN(_xlfn.AGGREGATE(3,5,$B$23,$B$29,$B$35,$B$41,$B$46,$B$51,$B$56,$B$62,$B$67,$B$72))</f>
        <v>VIII</v>
      </c>
      <c r="B72" s="583" t="s">
        <v>125</v>
      </c>
      <c r="C72" s="501" t="s">
        <v>13</v>
      </c>
      <c r="D72" s="501"/>
      <c r="E72" s="581"/>
      <c r="F72" s="587">
        <f>SUM(F73:F76)</f>
        <v>1112914</v>
      </c>
    </row>
    <row r="73" spans="1:6" hidden="1" outlineLevel="1">
      <c r="A73" s="575">
        <v>1</v>
      </c>
      <c r="B73" s="576" t="s">
        <v>69</v>
      </c>
      <c r="C73" s="575" t="s">
        <v>13</v>
      </c>
      <c r="D73" s="575">
        <v>1</v>
      </c>
      <c r="E73" s="577">
        <v>46133</v>
      </c>
      <c r="F73" s="328">
        <f>+D73*E73</f>
        <v>46133</v>
      </c>
    </row>
    <row r="74" spans="1:6" hidden="1" outlineLevel="1">
      <c r="A74" s="549">
        <v>2</v>
      </c>
      <c r="B74" s="578" t="s">
        <v>68</v>
      </c>
      <c r="C74" s="549" t="s">
        <v>13</v>
      </c>
      <c r="D74" s="549">
        <v>1</v>
      </c>
      <c r="E74" s="579">
        <v>15378</v>
      </c>
      <c r="F74" s="329">
        <f>+D74*E74</f>
        <v>15378</v>
      </c>
    </row>
    <row r="75" spans="1:6" hidden="1" outlineLevel="1">
      <c r="A75" s="549">
        <v>3</v>
      </c>
      <c r="B75" s="578" t="s">
        <v>48</v>
      </c>
      <c r="C75" s="549" t="s">
        <v>13</v>
      </c>
      <c r="D75" s="549">
        <v>1</v>
      </c>
      <c r="E75" s="579">
        <v>16403</v>
      </c>
      <c r="F75" s="329">
        <f>+D75*E75</f>
        <v>16403</v>
      </c>
    </row>
    <row r="76" spans="1:6" hidden="1" outlineLevel="1">
      <c r="A76" s="580">
        <v>4</v>
      </c>
      <c r="B76" s="582" t="s">
        <v>64</v>
      </c>
      <c r="C76" s="580" t="s">
        <v>40</v>
      </c>
      <c r="D76" s="580">
        <v>2</v>
      </c>
      <c r="E76" s="581">
        <f>+$F$15</f>
        <v>517500</v>
      </c>
      <c r="F76" s="330">
        <f>+D76*E76</f>
        <v>1035000</v>
      </c>
    </row>
    <row r="77" spans="1:6" collapsed="1">
      <c r="A77" s="571"/>
      <c r="B77" s="590"/>
      <c r="C77" s="571"/>
      <c r="D77" s="571"/>
      <c r="E77" s="591"/>
      <c r="F77" s="331"/>
    </row>
    <row r="78" spans="1:6">
      <c r="A78" s="887" t="s">
        <v>87</v>
      </c>
      <c r="B78" s="887"/>
      <c r="C78" s="887"/>
      <c r="D78" s="887"/>
      <c r="E78" s="887"/>
      <c r="F78" s="887"/>
    </row>
    <row r="79" spans="1:6">
      <c r="A79" s="592"/>
      <c r="B79" s="592"/>
      <c r="C79" s="592"/>
      <c r="D79" s="592"/>
      <c r="E79" s="592"/>
      <c r="F79" s="592"/>
    </row>
    <row r="80" spans="1:6">
      <c r="A80" s="498" t="s">
        <v>0</v>
      </c>
      <c r="B80" s="332" t="s">
        <v>70</v>
      </c>
      <c r="C80" s="333"/>
      <c r="D80" s="334" t="s">
        <v>19</v>
      </c>
      <c r="E80" s="334" t="s">
        <v>23</v>
      </c>
      <c r="F80" s="334" t="s">
        <v>71</v>
      </c>
    </row>
    <row r="81" spans="1:10">
      <c r="A81" s="575">
        <f>_xlfn.AGGREGATE(3,5,$B$81:B81)</f>
        <v>1</v>
      </c>
      <c r="B81" s="621" t="s">
        <v>62</v>
      </c>
      <c r="C81" s="622"/>
      <c r="D81" s="623" t="s">
        <v>85</v>
      </c>
      <c r="E81" s="624" t="s">
        <v>41</v>
      </c>
      <c r="F81" s="625">
        <v>100000</v>
      </c>
    </row>
    <row r="82" spans="1:10">
      <c r="A82" s="549">
        <f>_xlfn.AGGREGATE(3,5,$B$81:B82)</f>
        <v>2</v>
      </c>
      <c r="B82" s="594" t="s">
        <v>56</v>
      </c>
      <c r="C82" s="596"/>
      <c r="D82" s="335" t="s">
        <v>85</v>
      </c>
      <c r="E82" s="549" t="s">
        <v>41</v>
      </c>
      <c r="F82" s="336">
        <v>8000</v>
      </c>
      <c r="H82" s="288" t="s">
        <v>56</v>
      </c>
    </row>
    <row r="83" spans="1:10">
      <c r="A83" s="549">
        <f>_xlfn.AGGREGATE(3,5,$B$81:B83)</f>
        <v>3</v>
      </c>
      <c r="B83" s="594" t="s">
        <v>55</v>
      </c>
      <c r="C83" s="626"/>
      <c r="D83" s="335" t="s">
        <v>85</v>
      </c>
      <c r="E83" s="627" t="s">
        <v>41</v>
      </c>
      <c r="F83" s="336">
        <v>2500</v>
      </c>
      <c r="G83" s="288" t="s">
        <v>201</v>
      </c>
    </row>
    <row r="84" spans="1:10">
      <c r="A84" s="549">
        <f>_xlfn.AGGREGATE(3,5,$B$81:B84)</f>
        <v>4</v>
      </c>
      <c r="B84" s="594" t="s">
        <v>57</v>
      </c>
      <c r="C84" s="596"/>
      <c r="D84" s="335" t="s">
        <v>85</v>
      </c>
      <c r="E84" s="549" t="s">
        <v>41</v>
      </c>
      <c r="F84" s="336">
        <v>10000</v>
      </c>
    </row>
    <row r="85" spans="1:10">
      <c r="A85" s="549">
        <f>_xlfn.AGGREGATE(3,5,$B$81:B85)</f>
        <v>5</v>
      </c>
      <c r="B85" s="594" t="s">
        <v>54</v>
      </c>
      <c r="C85" s="596"/>
      <c r="D85" s="335" t="s">
        <v>85</v>
      </c>
      <c r="E85" s="549" t="s">
        <v>4</v>
      </c>
      <c r="F85" s="336">
        <v>2000</v>
      </c>
      <c r="J85" s="288">
        <v>805</v>
      </c>
    </row>
    <row r="86" spans="1:10">
      <c r="A86" s="549">
        <f>_xlfn.AGGREGATE(3,5,$B$81:B86)</f>
        <v>6</v>
      </c>
      <c r="B86" s="594" t="s">
        <v>58</v>
      </c>
      <c r="C86" s="596"/>
      <c r="D86" s="335" t="s">
        <v>85</v>
      </c>
      <c r="E86" s="549" t="s">
        <v>41</v>
      </c>
      <c r="F86" s="336">
        <v>10000</v>
      </c>
      <c r="G86" s="593"/>
    </row>
    <row r="87" spans="1:10">
      <c r="A87" s="549">
        <f>_xlfn.AGGREGATE(3,5,$B$81:B87)</f>
        <v>7</v>
      </c>
      <c r="B87" s="594" t="s">
        <v>66</v>
      </c>
      <c r="C87" s="596"/>
      <c r="D87" s="335" t="s">
        <v>85</v>
      </c>
      <c r="E87" s="549" t="s">
        <v>14</v>
      </c>
      <c r="F87" s="336">
        <v>3363636</v>
      </c>
    </row>
    <row r="88" spans="1:10">
      <c r="A88" s="549">
        <f>_xlfn.AGGREGATE(3,5,$B$81:B88)</f>
        <v>8</v>
      </c>
      <c r="B88" s="594" t="s">
        <v>46</v>
      </c>
      <c r="C88" s="596"/>
      <c r="D88" s="335" t="s">
        <v>85</v>
      </c>
      <c r="E88" s="549" t="s">
        <v>12</v>
      </c>
      <c r="F88" s="336">
        <v>23100</v>
      </c>
      <c r="G88" s="593"/>
      <c r="J88" s="288">
        <v>805</v>
      </c>
    </row>
    <row r="89" spans="1:10">
      <c r="A89" s="549">
        <f>_xlfn.AGGREGATE(3,5,$B$81:B89)</f>
        <v>9</v>
      </c>
      <c r="B89" s="594" t="s">
        <v>89</v>
      </c>
      <c r="C89" s="595"/>
      <c r="D89" s="335" t="s">
        <v>85</v>
      </c>
      <c r="E89" s="549" t="s">
        <v>41</v>
      </c>
      <c r="F89" s="336">
        <v>6000</v>
      </c>
    </row>
    <row r="90" spans="1:10">
      <c r="A90" s="549">
        <f>_xlfn.AGGREGATE(3,5,$B$81:B90)</f>
        <v>10</v>
      </c>
      <c r="B90" s="594" t="s">
        <v>90</v>
      </c>
      <c r="C90" s="595"/>
      <c r="D90" s="335" t="s">
        <v>85</v>
      </c>
      <c r="E90" s="549" t="s">
        <v>12</v>
      </c>
      <c r="F90" s="336">
        <v>18500</v>
      </c>
    </row>
    <row r="91" spans="1:10">
      <c r="A91" s="549">
        <f>_xlfn.AGGREGATE(3,5,$B$81:B91)</f>
        <v>11</v>
      </c>
      <c r="B91" s="594" t="s">
        <v>124</v>
      </c>
      <c r="C91" s="596"/>
      <c r="D91" s="335" t="s">
        <v>85</v>
      </c>
      <c r="E91" s="549" t="s">
        <v>41</v>
      </c>
      <c r="F91" s="336">
        <v>10000</v>
      </c>
      <c r="G91" s="882" t="s">
        <v>201</v>
      </c>
    </row>
    <row r="92" spans="1:10">
      <c r="A92" s="549">
        <f>_xlfn.AGGREGATE(3,5,$B$81:B92)</f>
        <v>12</v>
      </c>
      <c r="B92" s="597" t="s">
        <v>92</v>
      </c>
      <c r="C92" s="596"/>
      <c r="D92" s="335" t="s">
        <v>85</v>
      </c>
      <c r="E92" s="549" t="s">
        <v>41</v>
      </c>
      <c r="F92" s="617">
        <v>500000</v>
      </c>
      <c r="G92" s="882"/>
    </row>
    <row r="93" spans="1:10">
      <c r="A93" s="549">
        <f>_xlfn.AGGREGATE(3,5,$B$81:B93)</f>
        <v>13</v>
      </c>
      <c r="B93" s="597" t="s">
        <v>93</v>
      </c>
      <c r="C93" s="596"/>
      <c r="D93" s="335" t="s">
        <v>85</v>
      </c>
      <c r="E93" s="549" t="s">
        <v>41</v>
      </c>
      <c r="F93" s="617">
        <v>200000</v>
      </c>
      <c r="G93" s="882"/>
    </row>
    <row r="94" spans="1:10">
      <c r="A94" s="549">
        <f>_xlfn.AGGREGATE(3,5,$B$81:B94)</f>
        <v>14</v>
      </c>
      <c r="B94" s="597" t="s">
        <v>102</v>
      </c>
      <c r="C94" s="596"/>
      <c r="D94" s="335" t="s">
        <v>85</v>
      </c>
      <c r="E94" s="549" t="s">
        <v>41</v>
      </c>
      <c r="F94" s="617">
        <v>300000</v>
      </c>
      <c r="G94" s="882"/>
    </row>
    <row r="95" spans="1:10">
      <c r="A95" s="549">
        <f>_xlfn.AGGREGATE(3,5,$B$81:B95)</f>
        <v>15</v>
      </c>
      <c r="B95" s="597" t="s">
        <v>94</v>
      </c>
      <c r="C95" s="596"/>
      <c r="D95" s="335" t="s">
        <v>85</v>
      </c>
      <c r="E95" s="549" t="s">
        <v>41</v>
      </c>
      <c r="F95" s="617">
        <v>100000</v>
      </c>
      <c r="G95" s="882"/>
    </row>
    <row r="96" spans="1:10">
      <c r="A96" s="549">
        <f>_xlfn.AGGREGATE(3,5,$B$81:B96)</f>
        <v>16</v>
      </c>
      <c r="B96" s="597" t="s">
        <v>103</v>
      </c>
      <c r="C96" s="596"/>
      <c r="D96" s="335" t="s">
        <v>85</v>
      </c>
      <c r="E96" s="549" t="s">
        <v>41</v>
      </c>
      <c r="F96" s="617">
        <v>50000</v>
      </c>
      <c r="G96" s="882"/>
    </row>
    <row r="97" spans="1:7">
      <c r="A97" s="549">
        <f>_xlfn.AGGREGATE(3,5,$B$81:B97)</f>
        <v>17</v>
      </c>
      <c r="B97" s="597" t="s">
        <v>95</v>
      </c>
      <c r="C97" s="596"/>
      <c r="D97" s="335" t="s">
        <v>85</v>
      </c>
      <c r="E97" s="549" t="s">
        <v>41</v>
      </c>
      <c r="F97" s="336">
        <v>10000</v>
      </c>
      <c r="G97" s="882"/>
    </row>
    <row r="98" spans="1:7">
      <c r="A98" s="549">
        <f>_xlfn.AGGREGATE(3,5,$B$81:B98)</f>
        <v>18</v>
      </c>
      <c r="B98" s="597" t="s">
        <v>96</v>
      </c>
      <c r="C98" s="596"/>
      <c r="D98" s="335" t="s">
        <v>85</v>
      </c>
      <c r="E98" s="549" t="s">
        <v>4</v>
      </c>
      <c r="F98" s="336">
        <v>2000</v>
      </c>
      <c r="G98" s="882"/>
    </row>
    <row r="99" spans="1:7">
      <c r="A99" s="549">
        <f>_xlfn.AGGREGATE(3,5,$B$81:B99)</f>
        <v>19</v>
      </c>
      <c r="B99" s="597" t="s">
        <v>97</v>
      </c>
      <c r="C99" s="596"/>
      <c r="D99" s="335" t="s">
        <v>85</v>
      </c>
      <c r="E99" s="549" t="s">
        <v>4</v>
      </c>
      <c r="F99" s="336">
        <v>2500</v>
      </c>
      <c r="G99" s="882"/>
    </row>
    <row r="100" spans="1:7">
      <c r="A100" s="549">
        <f>_xlfn.AGGREGATE(3,5,$B$81:B100)</f>
        <v>20</v>
      </c>
      <c r="B100" s="597" t="s">
        <v>98</v>
      </c>
      <c r="C100" s="596"/>
      <c r="D100" s="335" t="s">
        <v>85</v>
      </c>
      <c r="E100" s="549" t="s">
        <v>4</v>
      </c>
      <c r="F100" s="336">
        <v>3000</v>
      </c>
      <c r="G100" s="882"/>
    </row>
    <row r="101" spans="1:7" ht="31.2">
      <c r="A101" s="580">
        <f>_xlfn.AGGREGATE(3,5,$B$81:B101)</f>
        <v>21</v>
      </c>
      <c r="B101" s="598" t="s">
        <v>105</v>
      </c>
      <c r="C101" s="599"/>
      <c r="D101" s="337" t="s">
        <v>85</v>
      </c>
      <c r="E101" s="580" t="s">
        <v>12</v>
      </c>
      <c r="F101" s="338">
        <v>22000</v>
      </c>
      <c r="G101" s="882"/>
    </row>
    <row r="109" spans="1:7">
      <c r="D109" s="288"/>
    </row>
    <row r="117" spans="4:4">
      <c r="D117" s="288"/>
    </row>
  </sheetData>
  <mergeCells count="7">
    <mergeCell ref="G91:G101"/>
    <mergeCell ref="A1:F1"/>
    <mergeCell ref="A2:F2"/>
    <mergeCell ref="A3:F3"/>
    <mergeCell ref="I9:N9"/>
    <mergeCell ref="A20:F20"/>
    <mergeCell ref="A78:F78"/>
  </mergeCells>
  <pageMargins left="1.0236220472440944" right="0.19685039370078741" top="0.74803149606299213" bottom="0.74803149606299213" header="0.51181102362204722" footer="0.51181102362204722"/>
  <pageSetup paperSize="9" scale="95" orientation="portrait" blackAndWhite="1" r:id="rId1"/>
  <headerFooter>
    <oddFooter>&amp;C&amp;P</oddFooter>
  </headerFooter>
  <rowBreaks count="1" manualBreakCount="1">
    <brk id="40" max="5" man="1"/>
  </rowBreaks>
  <customProperties>
    <customPr name="TTBMVN.WorksheetRole" r:id="rId2"/>
  </customProperties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2:R65"/>
  <sheetViews>
    <sheetView workbookViewId="0">
      <selection activeCell="P9" sqref="P9"/>
    </sheetView>
  </sheetViews>
  <sheetFormatPr defaultRowHeight="15.6"/>
  <cols>
    <col min="1" max="1" width="4.09765625" style="80" customWidth="1"/>
    <col min="2" max="2" width="25.69921875" style="80" customWidth="1"/>
    <col min="3" max="3" width="13.8984375" style="80" customWidth="1"/>
    <col min="4" max="4" width="8.8984375" style="80" bestFit="1" customWidth="1"/>
    <col min="5" max="5" width="10.09765625" style="80" bestFit="1" customWidth="1"/>
    <col min="6" max="6" width="10.3984375" style="80" bestFit="1" customWidth="1"/>
    <col min="7" max="7" width="12.09765625" style="80" bestFit="1" customWidth="1"/>
    <col min="8" max="8" width="10.8984375" style="80" bestFit="1" customWidth="1"/>
    <col min="9" max="9" width="10.3984375" style="80" customWidth="1"/>
    <col min="10" max="10" width="8.59765625" style="80" customWidth="1"/>
    <col min="11" max="11" width="8.8984375" style="80" bestFit="1" customWidth="1"/>
    <col min="12" max="12" width="10.8984375" style="80" bestFit="1" customWidth="1"/>
    <col min="13" max="13" width="8.8984375" style="80" bestFit="1" customWidth="1"/>
    <col min="14" max="14" width="9.8984375" style="80" bestFit="1" customWidth="1"/>
    <col min="15" max="15" width="12.09765625" style="80" customWidth="1"/>
    <col min="16" max="16" width="17.3984375" style="80" bestFit="1" customWidth="1"/>
    <col min="17" max="17" width="14.69921875" style="80" customWidth="1"/>
    <col min="18" max="256" width="8.69921875" style="80"/>
    <col min="257" max="257" width="4.09765625" style="80" customWidth="1"/>
    <col min="258" max="258" width="25.69921875" style="80" customWidth="1"/>
    <col min="259" max="259" width="8" style="80" customWidth="1"/>
    <col min="260" max="269" width="8.8984375" style="80" bestFit="1" customWidth="1"/>
    <col min="270" max="270" width="9.8984375" style="80" bestFit="1" customWidth="1"/>
    <col min="271" max="512" width="8.69921875" style="80"/>
    <col min="513" max="513" width="4.09765625" style="80" customWidth="1"/>
    <col min="514" max="514" width="25.69921875" style="80" customWidth="1"/>
    <col min="515" max="515" width="8" style="80" customWidth="1"/>
    <col min="516" max="525" width="8.8984375" style="80" bestFit="1" customWidth="1"/>
    <col min="526" max="526" width="9.8984375" style="80" bestFit="1" customWidth="1"/>
    <col min="527" max="768" width="8.69921875" style="80"/>
    <col min="769" max="769" width="4.09765625" style="80" customWidth="1"/>
    <col min="770" max="770" width="25.69921875" style="80" customWidth="1"/>
    <col min="771" max="771" width="8" style="80" customWidth="1"/>
    <col min="772" max="781" width="8.8984375" style="80" bestFit="1" customWidth="1"/>
    <col min="782" max="782" width="9.8984375" style="80" bestFit="1" customWidth="1"/>
    <col min="783" max="1024" width="8.69921875" style="80"/>
    <col min="1025" max="1025" width="4.09765625" style="80" customWidth="1"/>
    <col min="1026" max="1026" width="25.69921875" style="80" customWidth="1"/>
    <col min="1027" max="1027" width="8" style="80" customWidth="1"/>
    <col min="1028" max="1037" width="8.8984375" style="80" bestFit="1" customWidth="1"/>
    <col min="1038" max="1038" width="9.8984375" style="80" bestFit="1" customWidth="1"/>
    <col min="1039" max="1280" width="8.69921875" style="80"/>
    <col min="1281" max="1281" width="4.09765625" style="80" customWidth="1"/>
    <col min="1282" max="1282" width="25.69921875" style="80" customWidth="1"/>
    <col min="1283" max="1283" width="8" style="80" customWidth="1"/>
    <col min="1284" max="1293" width="8.8984375" style="80" bestFit="1" customWidth="1"/>
    <col min="1294" max="1294" width="9.8984375" style="80" bestFit="1" customWidth="1"/>
    <col min="1295" max="1536" width="8.69921875" style="80"/>
    <col min="1537" max="1537" width="4.09765625" style="80" customWidth="1"/>
    <col min="1538" max="1538" width="25.69921875" style="80" customWidth="1"/>
    <col min="1539" max="1539" width="8" style="80" customWidth="1"/>
    <col min="1540" max="1549" width="8.8984375" style="80" bestFit="1" customWidth="1"/>
    <col min="1550" max="1550" width="9.8984375" style="80" bestFit="1" customWidth="1"/>
    <col min="1551" max="1792" width="8.69921875" style="80"/>
    <col min="1793" max="1793" width="4.09765625" style="80" customWidth="1"/>
    <col min="1794" max="1794" width="25.69921875" style="80" customWidth="1"/>
    <col min="1795" max="1795" width="8" style="80" customWidth="1"/>
    <col min="1796" max="1805" width="8.8984375" style="80" bestFit="1" customWidth="1"/>
    <col min="1806" max="1806" width="9.8984375" style="80" bestFit="1" customWidth="1"/>
    <col min="1807" max="2048" width="8.69921875" style="80"/>
    <col min="2049" max="2049" width="4.09765625" style="80" customWidth="1"/>
    <col min="2050" max="2050" width="25.69921875" style="80" customWidth="1"/>
    <col min="2051" max="2051" width="8" style="80" customWidth="1"/>
    <col min="2052" max="2061" width="8.8984375" style="80" bestFit="1" customWidth="1"/>
    <col min="2062" max="2062" width="9.8984375" style="80" bestFit="1" customWidth="1"/>
    <col min="2063" max="2304" width="8.69921875" style="80"/>
    <col min="2305" max="2305" width="4.09765625" style="80" customWidth="1"/>
    <col min="2306" max="2306" width="25.69921875" style="80" customWidth="1"/>
    <col min="2307" max="2307" width="8" style="80" customWidth="1"/>
    <col min="2308" max="2317" width="8.8984375" style="80" bestFit="1" customWidth="1"/>
    <col min="2318" max="2318" width="9.8984375" style="80" bestFit="1" customWidth="1"/>
    <col min="2319" max="2560" width="8.69921875" style="80"/>
    <col min="2561" max="2561" width="4.09765625" style="80" customWidth="1"/>
    <col min="2562" max="2562" width="25.69921875" style="80" customWidth="1"/>
    <col min="2563" max="2563" width="8" style="80" customWidth="1"/>
    <col min="2564" max="2573" width="8.8984375" style="80" bestFit="1" customWidth="1"/>
    <col min="2574" max="2574" width="9.8984375" style="80" bestFit="1" customWidth="1"/>
    <col min="2575" max="2816" width="8.69921875" style="80"/>
    <col min="2817" max="2817" width="4.09765625" style="80" customWidth="1"/>
    <col min="2818" max="2818" width="25.69921875" style="80" customWidth="1"/>
    <col min="2819" max="2819" width="8" style="80" customWidth="1"/>
    <col min="2820" max="2829" width="8.8984375" style="80" bestFit="1" customWidth="1"/>
    <col min="2830" max="2830" width="9.8984375" style="80" bestFit="1" customWidth="1"/>
    <col min="2831" max="3072" width="8.69921875" style="80"/>
    <col min="3073" max="3073" width="4.09765625" style="80" customWidth="1"/>
    <col min="3074" max="3074" width="25.69921875" style="80" customWidth="1"/>
    <col min="3075" max="3075" width="8" style="80" customWidth="1"/>
    <col min="3076" max="3085" width="8.8984375" style="80" bestFit="1" customWidth="1"/>
    <col min="3086" max="3086" width="9.8984375" style="80" bestFit="1" customWidth="1"/>
    <col min="3087" max="3328" width="8.69921875" style="80"/>
    <col min="3329" max="3329" width="4.09765625" style="80" customWidth="1"/>
    <col min="3330" max="3330" width="25.69921875" style="80" customWidth="1"/>
    <col min="3331" max="3331" width="8" style="80" customWidth="1"/>
    <col min="3332" max="3341" width="8.8984375" style="80" bestFit="1" customWidth="1"/>
    <col min="3342" max="3342" width="9.8984375" style="80" bestFit="1" customWidth="1"/>
    <col min="3343" max="3584" width="8.69921875" style="80"/>
    <col min="3585" max="3585" width="4.09765625" style="80" customWidth="1"/>
    <col min="3586" max="3586" width="25.69921875" style="80" customWidth="1"/>
    <col min="3587" max="3587" width="8" style="80" customWidth="1"/>
    <col min="3588" max="3597" width="8.8984375" style="80" bestFit="1" customWidth="1"/>
    <col min="3598" max="3598" width="9.8984375" style="80" bestFit="1" customWidth="1"/>
    <col min="3599" max="3840" width="8.69921875" style="80"/>
    <col min="3841" max="3841" width="4.09765625" style="80" customWidth="1"/>
    <col min="3842" max="3842" width="25.69921875" style="80" customWidth="1"/>
    <col min="3843" max="3843" width="8" style="80" customWidth="1"/>
    <col min="3844" max="3853" width="8.8984375" style="80" bestFit="1" customWidth="1"/>
    <col min="3854" max="3854" width="9.8984375" style="80" bestFit="1" customWidth="1"/>
    <col min="3855" max="4096" width="8.69921875" style="80"/>
    <col min="4097" max="4097" width="4.09765625" style="80" customWidth="1"/>
    <col min="4098" max="4098" width="25.69921875" style="80" customWidth="1"/>
    <col min="4099" max="4099" width="8" style="80" customWidth="1"/>
    <col min="4100" max="4109" width="8.8984375" style="80" bestFit="1" customWidth="1"/>
    <col min="4110" max="4110" width="9.8984375" style="80" bestFit="1" customWidth="1"/>
    <col min="4111" max="4352" width="8.69921875" style="80"/>
    <col min="4353" max="4353" width="4.09765625" style="80" customWidth="1"/>
    <col min="4354" max="4354" width="25.69921875" style="80" customWidth="1"/>
    <col min="4355" max="4355" width="8" style="80" customWidth="1"/>
    <col min="4356" max="4365" width="8.8984375" style="80" bestFit="1" customWidth="1"/>
    <col min="4366" max="4366" width="9.8984375" style="80" bestFit="1" customWidth="1"/>
    <col min="4367" max="4608" width="8.69921875" style="80"/>
    <col min="4609" max="4609" width="4.09765625" style="80" customWidth="1"/>
    <col min="4610" max="4610" width="25.69921875" style="80" customWidth="1"/>
    <col min="4611" max="4611" width="8" style="80" customWidth="1"/>
    <col min="4612" max="4621" width="8.8984375" style="80" bestFit="1" customWidth="1"/>
    <col min="4622" max="4622" width="9.8984375" style="80" bestFit="1" customWidth="1"/>
    <col min="4623" max="4864" width="8.69921875" style="80"/>
    <col min="4865" max="4865" width="4.09765625" style="80" customWidth="1"/>
    <col min="4866" max="4866" width="25.69921875" style="80" customWidth="1"/>
    <col min="4867" max="4867" width="8" style="80" customWidth="1"/>
    <col min="4868" max="4877" width="8.8984375" style="80" bestFit="1" customWidth="1"/>
    <col min="4878" max="4878" width="9.8984375" style="80" bestFit="1" customWidth="1"/>
    <col min="4879" max="5120" width="8.69921875" style="80"/>
    <col min="5121" max="5121" width="4.09765625" style="80" customWidth="1"/>
    <col min="5122" max="5122" width="25.69921875" style="80" customWidth="1"/>
    <col min="5123" max="5123" width="8" style="80" customWidth="1"/>
    <col min="5124" max="5133" width="8.8984375" style="80" bestFit="1" customWidth="1"/>
    <col min="5134" max="5134" width="9.8984375" style="80" bestFit="1" customWidth="1"/>
    <col min="5135" max="5376" width="8.69921875" style="80"/>
    <col min="5377" max="5377" width="4.09765625" style="80" customWidth="1"/>
    <col min="5378" max="5378" width="25.69921875" style="80" customWidth="1"/>
    <col min="5379" max="5379" width="8" style="80" customWidth="1"/>
    <col min="5380" max="5389" width="8.8984375" style="80" bestFit="1" customWidth="1"/>
    <col min="5390" max="5390" width="9.8984375" style="80" bestFit="1" customWidth="1"/>
    <col min="5391" max="5632" width="8.69921875" style="80"/>
    <col min="5633" max="5633" width="4.09765625" style="80" customWidth="1"/>
    <col min="5634" max="5634" width="25.69921875" style="80" customWidth="1"/>
    <col min="5635" max="5635" width="8" style="80" customWidth="1"/>
    <col min="5636" max="5645" width="8.8984375" style="80" bestFit="1" customWidth="1"/>
    <col min="5646" max="5646" width="9.8984375" style="80" bestFit="1" customWidth="1"/>
    <col min="5647" max="5888" width="8.69921875" style="80"/>
    <col min="5889" max="5889" width="4.09765625" style="80" customWidth="1"/>
    <col min="5890" max="5890" width="25.69921875" style="80" customWidth="1"/>
    <col min="5891" max="5891" width="8" style="80" customWidth="1"/>
    <col min="5892" max="5901" width="8.8984375" style="80" bestFit="1" customWidth="1"/>
    <col min="5902" max="5902" width="9.8984375" style="80" bestFit="1" customWidth="1"/>
    <col min="5903" max="6144" width="8.69921875" style="80"/>
    <col min="6145" max="6145" width="4.09765625" style="80" customWidth="1"/>
    <col min="6146" max="6146" width="25.69921875" style="80" customWidth="1"/>
    <col min="6147" max="6147" width="8" style="80" customWidth="1"/>
    <col min="6148" max="6157" width="8.8984375" style="80" bestFit="1" customWidth="1"/>
    <col min="6158" max="6158" width="9.8984375" style="80" bestFit="1" customWidth="1"/>
    <col min="6159" max="6400" width="8.69921875" style="80"/>
    <col min="6401" max="6401" width="4.09765625" style="80" customWidth="1"/>
    <col min="6402" max="6402" width="25.69921875" style="80" customWidth="1"/>
    <col min="6403" max="6403" width="8" style="80" customWidth="1"/>
    <col min="6404" max="6413" width="8.8984375" style="80" bestFit="1" customWidth="1"/>
    <col min="6414" max="6414" width="9.8984375" style="80" bestFit="1" customWidth="1"/>
    <col min="6415" max="6656" width="8.69921875" style="80"/>
    <col min="6657" max="6657" width="4.09765625" style="80" customWidth="1"/>
    <col min="6658" max="6658" width="25.69921875" style="80" customWidth="1"/>
    <col min="6659" max="6659" width="8" style="80" customWidth="1"/>
    <col min="6660" max="6669" width="8.8984375" style="80" bestFit="1" customWidth="1"/>
    <col min="6670" max="6670" width="9.8984375" style="80" bestFit="1" customWidth="1"/>
    <col min="6671" max="6912" width="8.69921875" style="80"/>
    <col min="6913" max="6913" width="4.09765625" style="80" customWidth="1"/>
    <col min="6914" max="6914" width="25.69921875" style="80" customWidth="1"/>
    <col min="6915" max="6915" width="8" style="80" customWidth="1"/>
    <col min="6916" max="6925" width="8.8984375" style="80" bestFit="1" customWidth="1"/>
    <col min="6926" max="6926" width="9.8984375" style="80" bestFit="1" customWidth="1"/>
    <col min="6927" max="7168" width="8.69921875" style="80"/>
    <col min="7169" max="7169" width="4.09765625" style="80" customWidth="1"/>
    <col min="7170" max="7170" width="25.69921875" style="80" customWidth="1"/>
    <col min="7171" max="7171" width="8" style="80" customWidth="1"/>
    <col min="7172" max="7181" width="8.8984375" style="80" bestFit="1" customWidth="1"/>
    <col min="7182" max="7182" width="9.8984375" style="80" bestFit="1" customWidth="1"/>
    <col min="7183" max="7424" width="8.69921875" style="80"/>
    <col min="7425" max="7425" width="4.09765625" style="80" customWidth="1"/>
    <col min="7426" max="7426" width="25.69921875" style="80" customWidth="1"/>
    <col min="7427" max="7427" width="8" style="80" customWidth="1"/>
    <col min="7428" max="7437" width="8.8984375" style="80" bestFit="1" customWidth="1"/>
    <col min="7438" max="7438" width="9.8984375" style="80" bestFit="1" customWidth="1"/>
    <col min="7439" max="7680" width="8.69921875" style="80"/>
    <col min="7681" max="7681" width="4.09765625" style="80" customWidth="1"/>
    <col min="7682" max="7682" width="25.69921875" style="80" customWidth="1"/>
    <col min="7683" max="7683" width="8" style="80" customWidth="1"/>
    <col min="7684" max="7693" width="8.8984375" style="80" bestFit="1" customWidth="1"/>
    <col min="7694" max="7694" width="9.8984375" style="80" bestFit="1" customWidth="1"/>
    <col min="7695" max="7936" width="8.69921875" style="80"/>
    <col min="7937" max="7937" width="4.09765625" style="80" customWidth="1"/>
    <col min="7938" max="7938" width="25.69921875" style="80" customWidth="1"/>
    <col min="7939" max="7939" width="8" style="80" customWidth="1"/>
    <col min="7940" max="7949" width="8.8984375" style="80" bestFit="1" customWidth="1"/>
    <col min="7950" max="7950" width="9.8984375" style="80" bestFit="1" customWidth="1"/>
    <col min="7951" max="8192" width="8.69921875" style="80"/>
    <col min="8193" max="8193" width="4.09765625" style="80" customWidth="1"/>
    <col min="8194" max="8194" width="25.69921875" style="80" customWidth="1"/>
    <col min="8195" max="8195" width="8" style="80" customWidth="1"/>
    <col min="8196" max="8205" width="8.8984375" style="80" bestFit="1" customWidth="1"/>
    <col min="8206" max="8206" width="9.8984375" style="80" bestFit="1" customWidth="1"/>
    <col min="8207" max="8448" width="8.69921875" style="80"/>
    <col min="8449" max="8449" width="4.09765625" style="80" customWidth="1"/>
    <col min="8450" max="8450" width="25.69921875" style="80" customWidth="1"/>
    <col min="8451" max="8451" width="8" style="80" customWidth="1"/>
    <col min="8452" max="8461" width="8.8984375" style="80" bestFit="1" customWidth="1"/>
    <col min="8462" max="8462" width="9.8984375" style="80" bestFit="1" customWidth="1"/>
    <col min="8463" max="8704" width="8.69921875" style="80"/>
    <col min="8705" max="8705" width="4.09765625" style="80" customWidth="1"/>
    <col min="8706" max="8706" width="25.69921875" style="80" customWidth="1"/>
    <col min="8707" max="8707" width="8" style="80" customWidth="1"/>
    <col min="8708" max="8717" width="8.8984375" style="80" bestFit="1" customWidth="1"/>
    <col min="8718" max="8718" width="9.8984375" style="80" bestFit="1" customWidth="1"/>
    <col min="8719" max="8960" width="8.69921875" style="80"/>
    <col min="8961" max="8961" width="4.09765625" style="80" customWidth="1"/>
    <col min="8962" max="8962" width="25.69921875" style="80" customWidth="1"/>
    <col min="8963" max="8963" width="8" style="80" customWidth="1"/>
    <col min="8964" max="8973" width="8.8984375" style="80" bestFit="1" customWidth="1"/>
    <col min="8974" max="8974" width="9.8984375" style="80" bestFit="1" customWidth="1"/>
    <col min="8975" max="9216" width="8.69921875" style="80"/>
    <col min="9217" max="9217" width="4.09765625" style="80" customWidth="1"/>
    <col min="9218" max="9218" width="25.69921875" style="80" customWidth="1"/>
    <col min="9219" max="9219" width="8" style="80" customWidth="1"/>
    <col min="9220" max="9229" width="8.8984375" style="80" bestFit="1" customWidth="1"/>
    <col min="9230" max="9230" width="9.8984375" style="80" bestFit="1" customWidth="1"/>
    <col min="9231" max="9472" width="8.69921875" style="80"/>
    <col min="9473" max="9473" width="4.09765625" style="80" customWidth="1"/>
    <col min="9474" max="9474" width="25.69921875" style="80" customWidth="1"/>
    <col min="9475" max="9475" width="8" style="80" customWidth="1"/>
    <col min="9476" max="9485" width="8.8984375" style="80" bestFit="1" customWidth="1"/>
    <col min="9486" max="9486" width="9.8984375" style="80" bestFit="1" customWidth="1"/>
    <col min="9487" max="9728" width="8.69921875" style="80"/>
    <col min="9729" max="9729" width="4.09765625" style="80" customWidth="1"/>
    <col min="9730" max="9730" width="25.69921875" style="80" customWidth="1"/>
    <col min="9731" max="9731" width="8" style="80" customWidth="1"/>
    <col min="9732" max="9741" width="8.8984375" style="80" bestFit="1" customWidth="1"/>
    <col min="9742" max="9742" width="9.8984375" style="80" bestFit="1" customWidth="1"/>
    <col min="9743" max="9984" width="8.69921875" style="80"/>
    <col min="9985" max="9985" width="4.09765625" style="80" customWidth="1"/>
    <col min="9986" max="9986" width="25.69921875" style="80" customWidth="1"/>
    <col min="9987" max="9987" width="8" style="80" customWidth="1"/>
    <col min="9988" max="9997" width="8.8984375" style="80" bestFit="1" customWidth="1"/>
    <col min="9998" max="9998" width="9.8984375" style="80" bestFit="1" customWidth="1"/>
    <col min="9999" max="10240" width="8.69921875" style="80"/>
    <col min="10241" max="10241" width="4.09765625" style="80" customWidth="1"/>
    <col min="10242" max="10242" width="25.69921875" style="80" customWidth="1"/>
    <col min="10243" max="10243" width="8" style="80" customWidth="1"/>
    <col min="10244" max="10253" width="8.8984375" style="80" bestFit="1" customWidth="1"/>
    <col min="10254" max="10254" width="9.8984375" style="80" bestFit="1" customWidth="1"/>
    <col min="10255" max="10496" width="8.69921875" style="80"/>
    <col min="10497" max="10497" width="4.09765625" style="80" customWidth="1"/>
    <col min="10498" max="10498" width="25.69921875" style="80" customWidth="1"/>
    <col min="10499" max="10499" width="8" style="80" customWidth="1"/>
    <col min="10500" max="10509" width="8.8984375" style="80" bestFit="1" customWidth="1"/>
    <col min="10510" max="10510" width="9.8984375" style="80" bestFit="1" customWidth="1"/>
    <col min="10511" max="10752" width="8.69921875" style="80"/>
    <col min="10753" max="10753" width="4.09765625" style="80" customWidth="1"/>
    <col min="10754" max="10754" width="25.69921875" style="80" customWidth="1"/>
    <col min="10755" max="10755" width="8" style="80" customWidth="1"/>
    <col min="10756" max="10765" width="8.8984375" style="80" bestFit="1" customWidth="1"/>
    <col min="10766" max="10766" width="9.8984375" style="80" bestFit="1" customWidth="1"/>
    <col min="10767" max="11008" width="8.69921875" style="80"/>
    <col min="11009" max="11009" width="4.09765625" style="80" customWidth="1"/>
    <col min="11010" max="11010" width="25.69921875" style="80" customWidth="1"/>
    <col min="11011" max="11011" width="8" style="80" customWidth="1"/>
    <col min="11012" max="11021" width="8.8984375" style="80" bestFit="1" customWidth="1"/>
    <col min="11022" max="11022" width="9.8984375" style="80" bestFit="1" customWidth="1"/>
    <col min="11023" max="11264" width="8.69921875" style="80"/>
    <col min="11265" max="11265" width="4.09765625" style="80" customWidth="1"/>
    <col min="11266" max="11266" width="25.69921875" style="80" customWidth="1"/>
    <col min="11267" max="11267" width="8" style="80" customWidth="1"/>
    <col min="11268" max="11277" width="8.8984375" style="80" bestFit="1" customWidth="1"/>
    <col min="11278" max="11278" width="9.8984375" style="80" bestFit="1" customWidth="1"/>
    <col min="11279" max="11520" width="8.69921875" style="80"/>
    <col min="11521" max="11521" width="4.09765625" style="80" customWidth="1"/>
    <col min="11522" max="11522" width="25.69921875" style="80" customWidth="1"/>
    <col min="11523" max="11523" width="8" style="80" customWidth="1"/>
    <col min="11524" max="11533" width="8.8984375" style="80" bestFit="1" customWidth="1"/>
    <col min="11534" max="11534" width="9.8984375" style="80" bestFit="1" customWidth="1"/>
    <col min="11535" max="11776" width="8.69921875" style="80"/>
    <col min="11777" max="11777" width="4.09765625" style="80" customWidth="1"/>
    <col min="11778" max="11778" width="25.69921875" style="80" customWidth="1"/>
    <col min="11779" max="11779" width="8" style="80" customWidth="1"/>
    <col min="11780" max="11789" width="8.8984375" style="80" bestFit="1" customWidth="1"/>
    <col min="11790" max="11790" width="9.8984375" style="80" bestFit="1" customWidth="1"/>
    <col min="11791" max="12032" width="8.69921875" style="80"/>
    <col min="12033" max="12033" width="4.09765625" style="80" customWidth="1"/>
    <col min="12034" max="12034" width="25.69921875" style="80" customWidth="1"/>
    <col min="12035" max="12035" width="8" style="80" customWidth="1"/>
    <col min="12036" max="12045" width="8.8984375" style="80" bestFit="1" customWidth="1"/>
    <col min="12046" max="12046" width="9.8984375" style="80" bestFit="1" customWidth="1"/>
    <col min="12047" max="12288" width="8.69921875" style="80"/>
    <col min="12289" max="12289" width="4.09765625" style="80" customWidth="1"/>
    <col min="12290" max="12290" width="25.69921875" style="80" customWidth="1"/>
    <col min="12291" max="12291" width="8" style="80" customWidth="1"/>
    <col min="12292" max="12301" width="8.8984375" style="80" bestFit="1" customWidth="1"/>
    <col min="12302" max="12302" width="9.8984375" style="80" bestFit="1" customWidth="1"/>
    <col min="12303" max="12544" width="8.69921875" style="80"/>
    <col min="12545" max="12545" width="4.09765625" style="80" customWidth="1"/>
    <col min="12546" max="12546" width="25.69921875" style="80" customWidth="1"/>
    <col min="12547" max="12547" width="8" style="80" customWidth="1"/>
    <col min="12548" max="12557" width="8.8984375" style="80" bestFit="1" customWidth="1"/>
    <col min="12558" max="12558" width="9.8984375" style="80" bestFit="1" customWidth="1"/>
    <col min="12559" max="12800" width="8.69921875" style="80"/>
    <col min="12801" max="12801" width="4.09765625" style="80" customWidth="1"/>
    <col min="12802" max="12802" width="25.69921875" style="80" customWidth="1"/>
    <col min="12803" max="12803" width="8" style="80" customWidth="1"/>
    <col min="12804" max="12813" width="8.8984375" style="80" bestFit="1" customWidth="1"/>
    <col min="12814" max="12814" width="9.8984375" style="80" bestFit="1" customWidth="1"/>
    <col min="12815" max="13056" width="8.69921875" style="80"/>
    <col min="13057" max="13057" width="4.09765625" style="80" customWidth="1"/>
    <col min="13058" max="13058" width="25.69921875" style="80" customWidth="1"/>
    <col min="13059" max="13059" width="8" style="80" customWidth="1"/>
    <col min="13060" max="13069" width="8.8984375" style="80" bestFit="1" customWidth="1"/>
    <col min="13070" max="13070" width="9.8984375" style="80" bestFit="1" customWidth="1"/>
    <col min="13071" max="13312" width="8.69921875" style="80"/>
    <col min="13313" max="13313" width="4.09765625" style="80" customWidth="1"/>
    <col min="13314" max="13314" width="25.69921875" style="80" customWidth="1"/>
    <col min="13315" max="13315" width="8" style="80" customWidth="1"/>
    <col min="13316" max="13325" width="8.8984375" style="80" bestFit="1" customWidth="1"/>
    <col min="13326" max="13326" width="9.8984375" style="80" bestFit="1" customWidth="1"/>
    <col min="13327" max="13568" width="8.69921875" style="80"/>
    <col min="13569" max="13569" width="4.09765625" style="80" customWidth="1"/>
    <col min="13570" max="13570" width="25.69921875" style="80" customWidth="1"/>
    <col min="13571" max="13571" width="8" style="80" customWidth="1"/>
    <col min="13572" max="13581" width="8.8984375" style="80" bestFit="1" customWidth="1"/>
    <col min="13582" max="13582" width="9.8984375" style="80" bestFit="1" customWidth="1"/>
    <col min="13583" max="13824" width="8.69921875" style="80"/>
    <col min="13825" max="13825" width="4.09765625" style="80" customWidth="1"/>
    <col min="13826" max="13826" width="25.69921875" style="80" customWidth="1"/>
    <col min="13827" max="13827" width="8" style="80" customWidth="1"/>
    <col min="13828" max="13837" width="8.8984375" style="80" bestFit="1" customWidth="1"/>
    <col min="13838" max="13838" width="9.8984375" style="80" bestFit="1" customWidth="1"/>
    <col min="13839" max="14080" width="8.69921875" style="80"/>
    <col min="14081" max="14081" width="4.09765625" style="80" customWidth="1"/>
    <col min="14082" max="14082" width="25.69921875" style="80" customWidth="1"/>
    <col min="14083" max="14083" width="8" style="80" customWidth="1"/>
    <col min="14084" max="14093" width="8.8984375" style="80" bestFit="1" customWidth="1"/>
    <col min="14094" max="14094" width="9.8984375" style="80" bestFit="1" customWidth="1"/>
    <col min="14095" max="14336" width="8.69921875" style="80"/>
    <col min="14337" max="14337" width="4.09765625" style="80" customWidth="1"/>
    <col min="14338" max="14338" width="25.69921875" style="80" customWidth="1"/>
    <col min="14339" max="14339" width="8" style="80" customWidth="1"/>
    <col min="14340" max="14349" width="8.8984375" style="80" bestFit="1" customWidth="1"/>
    <col min="14350" max="14350" width="9.8984375" style="80" bestFit="1" customWidth="1"/>
    <col min="14351" max="14592" width="8.69921875" style="80"/>
    <col min="14593" max="14593" width="4.09765625" style="80" customWidth="1"/>
    <col min="14594" max="14594" width="25.69921875" style="80" customWidth="1"/>
    <col min="14595" max="14595" width="8" style="80" customWidth="1"/>
    <col min="14596" max="14605" width="8.8984375" style="80" bestFit="1" customWidth="1"/>
    <col min="14606" max="14606" width="9.8984375" style="80" bestFit="1" customWidth="1"/>
    <col min="14607" max="14848" width="8.69921875" style="80"/>
    <col min="14849" max="14849" width="4.09765625" style="80" customWidth="1"/>
    <col min="14850" max="14850" width="25.69921875" style="80" customWidth="1"/>
    <col min="14851" max="14851" width="8" style="80" customWidth="1"/>
    <col min="14852" max="14861" width="8.8984375" style="80" bestFit="1" customWidth="1"/>
    <col min="14862" max="14862" width="9.8984375" style="80" bestFit="1" customWidth="1"/>
    <col min="14863" max="15104" width="8.69921875" style="80"/>
    <col min="15105" max="15105" width="4.09765625" style="80" customWidth="1"/>
    <col min="15106" max="15106" width="25.69921875" style="80" customWidth="1"/>
    <col min="15107" max="15107" width="8" style="80" customWidth="1"/>
    <col min="15108" max="15117" width="8.8984375" style="80" bestFit="1" customWidth="1"/>
    <col min="15118" max="15118" width="9.8984375" style="80" bestFit="1" customWidth="1"/>
    <col min="15119" max="15360" width="8.69921875" style="80"/>
    <col min="15361" max="15361" width="4.09765625" style="80" customWidth="1"/>
    <col min="15362" max="15362" width="25.69921875" style="80" customWidth="1"/>
    <col min="15363" max="15363" width="8" style="80" customWidth="1"/>
    <col min="15364" max="15373" width="8.8984375" style="80" bestFit="1" customWidth="1"/>
    <col min="15374" max="15374" width="9.8984375" style="80" bestFit="1" customWidth="1"/>
    <col min="15375" max="15616" width="8.69921875" style="80"/>
    <col min="15617" max="15617" width="4.09765625" style="80" customWidth="1"/>
    <col min="15618" max="15618" width="25.69921875" style="80" customWidth="1"/>
    <col min="15619" max="15619" width="8" style="80" customWidth="1"/>
    <col min="15620" max="15629" width="8.8984375" style="80" bestFit="1" customWidth="1"/>
    <col min="15630" max="15630" width="9.8984375" style="80" bestFit="1" customWidth="1"/>
    <col min="15631" max="15872" width="8.69921875" style="80"/>
    <col min="15873" max="15873" width="4.09765625" style="80" customWidth="1"/>
    <col min="15874" max="15874" width="25.69921875" style="80" customWidth="1"/>
    <col min="15875" max="15875" width="8" style="80" customWidth="1"/>
    <col min="15876" max="15885" width="8.8984375" style="80" bestFit="1" customWidth="1"/>
    <col min="15886" max="15886" width="9.8984375" style="80" bestFit="1" customWidth="1"/>
    <col min="15887" max="16128" width="8.69921875" style="80"/>
    <col min="16129" max="16129" width="4.09765625" style="80" customWidth="1"/>
    <col min="16130" max="16130" width="25.69921875" style="80" customWidth="1"/>
    <col min="16131" max="16131" width="8" style="80" customWidth="1"/>
    <col min="16132" max="16141" width="8.8984375" style="80" bestFit="1" customWidth="1"/>
    <col min="16142" max="16142" width="9.8984375" style="80" bestFit="1" customWidth="1"/>
    <col min="16143" max="16384" width="8.69921875" style="80"/>
  </cols>
  <sheetData>
    <row r="2" spans="1:18">
      <c r="A2" s="889" t="s">
        <v>286</v>
      </c>
      <c r="B2" s="889"/>
      <c r="C2" s="889"/>
      <c r="D2" s="889"/>
      <c r="E2" s="889"/>
      <c r="F2" s="889"/>
      <c r="G2" s="889"/>
      <c r="H2" s="889"/>
      <c r="I2" s="889"/>
      <c r="J2" s="889"/>
      <c r="K2" s="889"/>
      <c r="L2" s="889"/>
      <c r="M2" s="889"/>
      <c r="N2" s="889"/>
    </row>
    <row r="3" spans="1:18">
      <c r="A3" s="890" t="s">
        <v>358</v>
      </c>
      <c r="B3" s="891"/>
      <c r="C3" s="891"/>
      <c r="D3" s="891"/>
      <c r="E3" s="891"/>
      <c r="F3" s="891"/>
      <c r="G3" s="891"/>
      <c r="H3" s="891"/>
      <c r="I3" s="891"/>
      <c r="J3" s="891"/>
      <c r="K3" s="891"/>
      <c r="L3" s="891"/>
      <c r="M3" s="891"/>
      <c r="N3" s="891"/>
    </row>
    <row r="4" spans="1:18">
      <c r="A4" s="97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P4" s="235"/>
      <c r="R4" s="173"/>
    </row>
    <row r="5" spans="1:18">
      <c r="A5" s="177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96" t="s">
        <v>231</v>
      </c>
      <c r="M5" s="176"/>
      <c r="N5" s="176"/>
      <c r="O5" s="378" t="s">
        <v>276</v>
      </c>
      <c r="P5" s="379">
        <f>'THKP-TC'!E16</f>
        <v>999276356</v>
      </c>
      <c r="Q5" s="235">
        <f>'THKP-TC'!E16</f>
        <v>999276356</v>
      </c>
    </row>
    <row r="6" spans="1:18">
      <c r="A6" s="892" t="s">
        <v>0</v>
      </c>
      <c r="B6" s="893" t="s">
        <v>222</v>
      </c>
      <c r="C6" s="95" t="s">
        <v>18</v>
      </c>
      <c r="D6" s="893" t="s">
        <v>230</v>
      </c>
      <c r="E6" s="893"/>
      <c r="F6" s="893"/>
      <c r="G6" s="893"/>
      <c r="H6" s="893"/>
      <c r="I6" s="893"/>
      <c r="J6" s="893"/>
      <c r="K6" s="893"/>
      <c r="L6" s="893"/>
      <c r="M6" s="893"/>
      <c r="N6" s="893"/>
      <c r="O6" s="201"/>
      <c r="P6" s="201"/>
    </row>
    <row r="7" spans="1:18">
      <c r="A7" s="892"/>
      <c r="B7" s="893"/>
      <c r="C7" s="94">
        <v>1</v>
      </c>
      <c r="D7" s="236">
        <v>10</v>
      </c>
      <c r="E7" s="236">
        <v>20</v>
      </c>
      <c r="F7" s="236">
        <v>50</v>
      </c>
      <c r="G7" s="236">
        <v>100</v>
      </c>
      <c r="H7" s="236">
        <v>200</v>
      </c>
      <c r="I7" s="236">
        <v>500</v>
      </c>
      <c r="J7" s="236">
        <v>1000</v>
      </c>
      <c r="K7" s="236">
        <v>2000</v>
      </c>
      <c r="L7" s="236">
        <v>5000</v>
      </c>
      <c r="M7" s="236">
        <v>8000</v>
      </c>
      <c r="N7" s="236">
        <v>10000</v>
      </c>
      <c r="O7" s="201" t="s">
        <v>275</v>
      </c>
      <c r="P7" s="454">
        <f>IFERROR(ROUND(O9-(O9-P9)*(P5/10^9-O8)/(P8-O8),3),0)</f>
        <v>2.8730000000000002</v>
      </c>
      <c r="Q7" s="201"/>
      <c r="R7" s="174"/>
    </row>
    <row r="8" spans="1:18" ht="19.95" customHeight="1">
      <c r="A8" s="93">
        <v>1</v>
      </c>
      <c r="B8" s="92" t="s">
        <v>229</v>
      </c>
      <c r="C8" s="92">
        <v>2</v>
      </c>
      <c r="D8" s="91">
        <v>3.2850000000000001</v>
      </c>
      <c r="E8" s="91">
        <v>2.8530000000000002</v>
      </c>
      <c r="F8" s="91">
        <v>2.4350000000000001</v>
      </c>
      <c r="G8" s="91">
        <v>1.845</v>
      </c>
      <c r="H8" s="91">
        <v>1.546</v>
      </c>
      <c r="I8" s="91">
        <v>1.1879999999999999</v>
      </c>
      <c r="J8" s="91">
        <v>0.79700000000000004</v>
      </c>
      <c r="K8" s="91">
        <v>0.69399999999999995</v>
      </c>
      <c r="L8" s="91">
        <v>0.62</v>
      </c>
      <c r="M8" s="91">
        <v>0.53</v>
      </c>
      <c r="N8" s="91">
        <v>0.47799999999999998</v>
      </c>
      <c r="O8" s="201">
        <f>LOOKUP(IF(P5/10^9&lt;10,10,P5/10^9),D7:N7)</f>
        <v>10</v>
      </c>
      <c r="P8" s="201" cm="1">
        <f t="array" ref="P8">INDEX(D7:N7,MATCH(IF(P5/10^9&lt;10,10,P5/10^9),D7:N7)+1)</f>
        <v>20</v>
      </c>
      <c r="Q8" s="201"/>
    </row>
    <row r="9" spans="1:18" ht="19.95" customHeight="1">
      <c r="A9" s="93">
        <v>2</v>
      </c>
      <c r="B9" s="92" t="s">
        <v>228</v>
      </c>
      <c r="C9" s="92">
        <v>3</v>
      </c>
      <c r="D9" s="91">
        <v>3.508</v>
      </c>
      <c r="E9" s="91">
        <v>3.137</v>
      </c>
      <c r="F9" s="91">
        <v>2.5590000000000002</v>
      </c>
      <c r="G9" s="91">
        <v>2.0739999999999998</v>
      </c>
      <c r="H9" s="91">
        <v>1.6040000000000001</v>
      </c>
      <c r="I9" s="91">
        <v>1.3009999999999999</v>
      </c>
      <c r="J9" s="91">
        <v>0.82299999999999995</v>
      </c>
      <c r="K9" s="91">
        <v>0.71599999999999997</v>
      </c>
      <c r="L9" s="91">
        <v>0.64</v>
      </c>
      <c r="M9" s="91">
        <v>0.55000000000000004</v>
      </c>
      <c r="N9" s="91">
        <v>0.49299999999999999</v>
      </c>
      <c r="O9" s="201">
        <f>D11</f>
        <v>2.5979999999999999</v>
      </c>
      <c r="P9" s="201">
        <f>E11</f>
        <v>2.2919999999999998</v>
      </c>
      <c r="Q9" s="201">
        <v>4</v>
      </c>
    </row>
    <row r="10" spans="1:18" ht="19.95" customHeight="1">
      <c r="A10" s="93">
        <v>3</v>
      </c>
      <c r="B10" s="92" t="s">
        <v>227</v>
      </c>
      <c r="C10" s="92">
        <v>4</v>
      </c>
      <c r="D10" s="91">
        <v>3.2029999999999998</v>
      </c>
      <c r="E10" s="91">
        <v>2.7</v>
      </c>
      <c r="F10" s="91">
        <v>2.3559999999999999</v>
      </c>
      <c r="G10" s="91">
        <v>1.714</v>
      </c>
      <c r="H10" s="91">
        <v>1.272</v>
      </c>
      <c r="I10" s="91">
        <v>1.0029999999999999</v>
      </c>
      <c r="J10" s="91">
        <v>0.73099999999999998</v>
      </c>
      <c r="K10" s="91">
        <v>0.63600000000000001</v>
      </c>
      <c r="L10" s="91">
        <v>0.55000000000000004</v>
      </c>
      <c r="M10" s="91">
        <v>0.48</v>
      </c>
      <c r="N10" s="91">
        <v>0.438</v>
      </c>
      <c r="O10" s="201" t="e">
        <f>HLOOKUP(O9,$D$7:$N$12,$Q$9,FALSE)</f>
        <v>#N/A</v>
      </c>
      <c r="P10" s="380"/>
      <c r="Q10" s="380"/>
    </row>
    <row r="11" spans="1:18" ht="19.95" customHeight="1">
      <c r="A11" s="93">
        <v>4</v>
      </c>
      <c r="B11" s="92" t="s">
        <v>226</v>
      </c>
      <c r="C11" s="92">
        <v>5</v>
      </c>
      <c r="D11" s="91">
        <v>2.5979999999999999</v>
      </c>
      <c r="E11" s="91">
        <v>2.2919999999999998</v>
      </c>
      <c r="F11" s="91">
        <v>2.0750000000000002</v>
      </c>
      <c r="G11" s="91">
        <v>1.5449999999999999</v>
      </c>
      <c r="H11" s="91">
        <v>1.1890000000000001</v>
      </c>
      <c r="I11" s="91">
        <v>0.95</v>
      </c>
      <c r="J11" s="91">
        <v>0.63100000000000001</v>
      </c>
      <c r="K11" s="91">
        <v>0.55000000000000004</v>
      </c>
      <c r="L11" s="91">
        <v>0.49</v>
      </c>
      <c r="M11" s="91">
        <v>0.42</v>
      </c>
      <c r="N11" s="91">
        <v>0.378</v>
      </c>
      <c r="O11" s="201" t="e">
        <f>HLOOKUP(O10,$D$7:$N$12,$Q$9,FALSE)</f>
        <v>#N/A</v>
      </c>
      <c r="P11" s="201"/>
      <c r="Q11" s="201"/>
    </row>
    <row r="12" spans="1:18" ht="19.95" customHeight="1">
      <c r="A12" s="93">
        <v>5</v>
      </c>
      <c r="B12" s="92" t="s">
        <v>225</v>
      </c>
      <c r="C12" s="92">
        <v>6</v>
      </c>
      <c r="D12" s="91">
        <v>2.5659999999999998</v>
      </c>
      <c r="E12" s="91">
        <v>2.2559999999999998</v>
      </c>
      <c r="F12" s="91">
        <v>1.984</v>
      </c>
      <c r="G12" s="91">
        <v>1.4610000000000001</v>
      </c>
      <c r="H12" s="91">
        <v>1.1419999999999999</v>
      </c>
      <c r="I12" s="91">
        <v>0.91200000000000003</v>
      </c>
      <c r="J12" s="91">
        <v>0.58399999999999996</v>
      </c>
      <c r="K12" s="91">
        <v>0.50900000000000001</v>
      </c>
      <c r="L12" s="91">
        <v>0.45200000000000001</v>
      </c>
      <c r="M12" s="91">
        <v>0.39</v>
      </c>
      <c r="N12" s="91">
        <v>0.35</v>
      </c>
      <c r="O12" s="201" t="e">
        <f>HLOOKUP(O11,$D$7:$N$12,$Q$9,FALSE)</f>
        <v>#N/A</v>
      </c>
      <c r="P12" s="201"/>
      <c r="Q12" s="201"/>
    </row>
    <row r="13" spans="1:18">
      <c r="O13" s="201"/>
      <c r="P13" s="201">
        <f>IFERROR(ROUND(2.292-(2.292-2.075)*(P5/10^9-20)/(50-20),3),0)</f>
        <v>2.4289999999999998</v>
      </c>
      <c r="Q13" s="201"/>
    </row>
    <row r="14" spans="1:18">
      <c r="O14" s="201"/>
      <c r="P14" s="201"/>
    </row>
    <row r="15" spans="1:18">
      <c r="A15" s="888" t="s">
        <v>287</v>
      </c>
      <c r="B15" s="888"/>
      <c r="C15" s="888"/>
      <c r="D15" s="888"/>
      <c r="E15" s="888"/>
      <c r="F15" s="888"/>
      <c r="G15" s="888"/>
      <c r="H15" s="888"/>
    </row>
    <row r="16" spans="1:18">
      <c r="A16" s="894" t="s">
        <v>357</v>
      </c>
      <c r="B16" s="894"/>
      <c r="C16" s="894"/>
      <c r="D16" s="894"/>
      <c r="E16" s="894"/>
      <c r="F16" s="894"/>
      <c r="G16" s="894"/>
      <c r="H16" s="894"/>
    </row>
    <row r="17" spans="1:13">
      <c r="A17" s="895" t="s">
        <v>224</v>
      </c>
      <c r="B17" s="895"/>
      <c r="C17" s="895"/>
      <c r="D17" s="895"/>
      <c r="E17" s="895"/>
      <c r="F17" s="895"/>
      <c r="G17" s="895"/>
      <c r="H17" s="895"/>
    </row>
    <row r="18" spans="1:13">
      <c r="A18" s="178"/>
      <c r="B18" s="178"/>
      <c r="C18" s="178"/>
      <c r="D18" s="178"/>
      <c r="E18" s="178"/>
      <c r="F18" s="178"/>
      <c r="G18" s="179" t="s">
        <v>223</v>
      </c>
      <c r="H18" s="178"/>
    </row>
    <row r="19" spans="1:13">
      <c r="A19" s="896" t="s">
        <v>0</v>
      </c>
      <c r="B19" s="896" t="s">
        <v>222</v>
      </c>
      <c r="C19" s="190"/>
      <c r="D19" s="897" t="s">
        <v>221</v>
      </c>
      <c r="E19" s="897"/>
      <c r="F19" s="897"/>
      <c r="G19" s="897"/>
      <c r="H19" s="897"/>
      <c r="I19" s="175" t="s">
        <v>278</v>
      </c>
      <c r="J19" s="904">
        <f>IF('THKP-TC'!$E$13&lt;15*10^9,15*10^9,'THKP-TC'!$E$13)</f>
        <v>15000000000</v>
      </c>
      <c r="K19" s="904"/>
      <c r="L19" s="898">
        <f>'THKP-TC'!E13</f>
        <v>839815452</v>
      </c>
      <c r="M19" s="898"/>
    </row>
    <row r="20" spans="1:13" ht="16.8">
      <c r="A20" s="896"/>
      <c r="B20" s="896"/>
      <c r="C20" s="190"/>
      <c r="D20" s="897" t="s">
        <v>220</v>
      </c>
      <c r="E20" s="897"/>
      <c r="F20" s="897"/>
      <c r="G20" s="897"/>
      <c r="H20" s="897"/>
      <c r="I20" s="80" t="s">
        <v>277</v>
      </c>
      <c r="J20" s="899" t="e">
        <f>I22</f>
        <v>#REF!</v>
      </c>
      <c r="K20" s="900"/>
    </row>
    <row r="21" spans="1:13">
      <c r="A21" s="896"/>
      <c r="B21" s="896"/>
      <c r="C21" s="190"/>
      <c r="D21" s="190">
        <v>15</v>
      </c>
      <c r="E21" s="190">
        <v>100</v>
      </c>
      <c r="F21" s="190">
        <v>500</v>
      </c>
      <c r="G21" s="190">
        <v>1000</v>
      </c>
      <c r="H21" s="192">
        <v>1000.00001</v>
      </c>
      <c r="I21" s="80">
        <f>LOOKUP(IF(J19/10^9&lt;15,15,J19/10^9),D21:H21)</f>
        <v>15</v>
      </c>
    </row>
    <row r="22" spans="1:13">
      <c r="A22" s="191">
        <v>1</v>
      </c>
      <c r="B22" s="193" t="s">
        <v>219</v>
      </c>
      <c r="C22" s="92">
        <v>2</v>
      </c>
      <c r="D22" s="191">
        <v>2.2000000000000002</v>
      </c>
      <c r="E22" s="191">
        <v>2</v>
      </c>
      <c r="F22" s="191">
        <v>1.9</v>
      </c>
      <c r="G22" s="191">
        <v>1.8</v>
      </c>
      <c r="H22" s="191">
        <v>1.7</v>
      </c>
      <c r="I22" s="80" t="e">
        <f>HLOOKUP(I21,$D$21:$H$23,$J$22,FALSE)</f>
        <v>#REF!</v>
      </c>
      <c r="J22" s="80" t="e">
        <f>VLOOKUP('THKP-TC'!$G$19,$B$22:$C$23,2,FALSE)</f>
        <v>#N/A</v>
      </c>
    </row>
    <row r="23" spans="1:13">
      <c r="A23" s="191">
        <v>2</v>
      </c>
      <c r="B23" s="193" t="s">
        <v>218</v>
      </c>
      <c r="C23" s="92">
        <v>3</v>
      </c>
      <c r="D23" s="191">
        <v>1.1000000000000001</v>
      </c>
      <c r="E23" s="191">
        <v>1</v>
      </c>
      <c r="F23" s="191">
        <v>0.95</v>
      </c>
      <c r="G23" s="191">
        <v>0.9</v>
      </c>
      <c r="H23" s="191">
        <v>0.85</v>
      </c>
    </row>
    <row r="26" spans="1:13" ht="16.8">
      <c r="A26" s="90" t="s">
        <v>217</v>
      </c>
      <c r="B26" s="180"/>
      <c r="C26" s="181"/>
      <c r="D26" s="182"/>
      <c r="E26" s="182"/>
    </row>
    <row r="27" spans="1:13">
      <c r="A27" s="182"/>
      <c r="B27" s="180"/>
      <c r="C27" s="181"/>
      <c r="D27" s="182"/>
      <c r="E27" s="182"/>
    </row>
    <row r="28" spans="1:13">
      <c r="A28" s="901" t="s">
        <v>0</v>
      </c>
      <c r="B28" s="901" t="s">
        <v>216</v>
      </c>
      <c r="C28" s="902" t="s">
        <v>18</v>
      </c>
      <c r="D28" s="901" t="s">
        <v>215</v>
      </c>
      <c r="E28" s="901"/>
      <c r="F28" s="901" t="s">
        <v>214</v>
      </c>
    </row>
    <row r="29" spans="1:13" ht="34.200000000000003">
      <c r="A29" s="901"/>
      <c r="B29" s="901"/>
      <c r="C29" s="903"/>
      <c r="D29" s="195" t="s">
        <v>285</v>
      </c>
      <c r="E29" s="195" t="s">
        <v>213</v>
      </c>
      <c r="F29" s="901"/>
      <c r="G29" s="80" t="s">
        <v>279</v>
      </c>
    </row>
    <row r="30" spans="1:13" ht="16.8">
      <c r="A30" s="195"/>
      <c r="B30" s="195"/>
      <c r="C30" s="196"/>
      <c r="D30" s="195" t="s">
        <v>28</v>
      </c>
      <c r="E30" s="195" t="s">
        <v>30</v>
      </c>
      <c r="F30" s="195"/>
      <c r="G30" s="455" t="e">
        <f>VLOOKUP(H30,$C$31:$D$38,2,FALSE)</f>
        <v>#REF!</v>
      </c>
      <c r="H30" s="187" t="e">
        <f>VLOOKUP('THKP-TC'!#REF!,$B$31:$C$38,2,FALSE)</f>
        <v>#REF!</v>
      </c>
    </row>
    <row r="31" spans="1:13" ht="16.8">
      <c r="A31" s="188">
        <v>1</v>
      </c>
      <c r="B31" s="189" t="s">
        <v>212</v>
      </c>
      <c r="C31" s="188">
        <v>2</v>
      </c>
      <c r="D31" s="188">
        <v>2</v>
      </c>
      <c r="E31" s="188">
        <v>1</v>
      </c>
      <c r="F31" s="188">
        <v>3</v>
      </c>
    </row>
    <row r="32" spans="1:13" ht="16.8">
      <c r="A32" s="188">
        <v>2</v>
      </c>
      <c r="B32" s="189" t="s">
        <v>211</v>
      </c>
      <c r="C32" s="188">
        <v>3</v>
      </c>
      <c r="D32" s="188">
        <v>2.5</v>
      </c>
      <c r="E32" s="188">
        <v>1</v>
      </c>
      <c r="F32" s="188">
        <v>3.5</v>
      </c>
    </row>
    <row r="33" spans="1:7" ht="16.8">
      <c r="A33" s="188">
        <v>3</v>
      </c>
      <c r="B33" s="189" t="s">
        <v>210</v>
      </c>
      <c r="C33" s="188">
        <v>4</v>
      </c>
      <c r="D33" s="188">
        <v>3</v>
      </c>
      <c r="E33" s="188">
        <v>1</v>
      </c>
      <c r="F33" s="188">
        <v>4</v>
      </c>
    </row>
    <row r="34" spans="1:7" ht="16.8">
      <c r="A34" s="188">
        <v>4</v>
      </c>
      <c r="B34" s="189" t="s">
        <v>209</v>
      </c>
      <c r="C34" s="188">
        <v>5</v>
      </c>
      <c r="D34" s="188">
        <v>3.5</v>
      </c>
      <c r="E34" s="188">
        <v>1</v>
      </c>
      <c r="F34" s="188">
        <v>4.5</v>
      </c>
    </row>
    <row r="35" spans="1:7" ht="16.8">
      <c r="A35" s="188">
        <v>5</v>
      </c>
      <c r="B35" s="189" t="s">
        <v>208</v>
      </c>
      <c r="C35" s="188">
        <v>6</v>
      </c>
      <c r="D35" s="188">
        <v>4</v>
      </c>
      <c r="E35" s="188">
        <v>1</v>
      </c>
      <c r="F35" s="188">
        <v>5</v>
      </c>
    </row>
    <row r="36" spans="1:7" ht="16.8">
      <c r="A36" s="188">
        <v>6</v>
      </c>
      <c r="B36" s="189" t="s">
        <v>207</v>
      </c>
      <c r="C36" s="188">
        <v>7</v>
      </c>
      <c r="D36" s="188">
        <v>4.5</v>
      </c>
      <c r="E36" s="188">
        <v>1</v>
      </c>
      <c r="F36" s="188">
        <v>5.5</v>
      </c>
    </row>
    <row r="37" spans="1:7" ht="16.8">
      <c r="A37" s="188">
        <v>7</v>
      </c>
      <c r="B37" s="189" t="s">
        <v>78</v>
      </c>
      <c r="C37" s="188">
        <v>8</v>
      </c>
      <c r="D37" s="188">
        <v>3</v>
      </c>
      <c r="E37" s="188">
        <v>1</v>
      </c>
      <c r="F37" s="188">
        <v>4</v>
      </c>
    </row>
    <row r="38" spans="1:7" ht="16.8">
      <c r="A38" s="188">
        <v>8</v>
      </c>
      <c r="B38" s="189" t="s">
        <v>206</v>
      </c>
      <c r="C38" s="188">
        <v>9</v>
      </c>
      <c r="D38" s="188">
        <v>5</v>
      </c>
      <c r="E38" s="188">
        <v>1</v>
      </c>
      <c r="F38" s="188">
        <v>6</v>
      </c>
    </row>
    <row r="40" spans="1:7">
      <c r="B40" s="89" t="s">
        <v>109</v>
      </c>
      <c r="C40" s="80" t="s">
        <v>29</v>
      </c>
    </row>
    <row r="41" spans="1:7">
      <c r="A41" s="88" t="s">
        <v>0</v>
      </c>
      <c r="B41" s="88" t="s">
        <v>205</v>
      </c>
      <c r="C41" s="88" t="s">
        <v>204</v>
      </c>
    </row>
    <row r="42" spans="1:7">
      <c r="A42" s="88"/>
      <c r="B42" s="88"/>
      <c r="C42" s="88">
        <v>1</v>
      </c>
      <c r="D42" s="175" t="s">
        <v>276</v>
      </c>
      <c r="E42" s="898">
        <f>IF('THKP-TC'!E16&lt;1*10^9,1*10^9,'THKP-TC'!E16)</f>
        <v>1000000000</v>
      </c>
      <c r="F42" s="898"/>
      <c r="G42" s="235">
        <f>'THKP-TC'!E16</f>
        <v>999276356</v>
      </c>
    </row>
    <row r="43" spans="1:7">
      <c r="A43" s="88"/>
      <c r="B43" s="197">
        <v>0</v>
      </c>
      <c r="C43" s="194">
        <v>0.5</v>
      </c>
      <c r="D43" s="175"/>
      <c r="E43" s="237"/>
      <c r="F43" s="237"/>
      <c r="G43" s="235"/>
    </row>
    <row r="44" spans="1:7">
      <c r="A44" s="87">
        <v>1</v>
      </c>
      <c r="B44" s="198">
        <v>1</v>
      </c>
      <c r="C44" s="87">
        <v>0.5</v>
      </c>
      <c r="E44" s="80" t="s">
        <v>280</v>
      </c>
      <c r="F44" s="456">
        <f>IF(E46&lt;C47,"Mức tối thiểu",IF(E46&gt;C48,"Mức tối đa",E45))</f>
        <v>0.5</v>
      </c>
    </row>
    <row r="45" spans="1:7">
      <c r="A45" s="87">
        <v>2</v>
      </c>
      <c r="B45" s="199">
        <v>5</v>
      </c>
      <c r="C45" s="87">
        <v>0.3</v>
      </c>
      <c r="E45" s="201">
        <f>VLOOKUP(F45,$B$43:$C$48,2,FALSE)</f>
        <v>0.5</v>
      </c>
      <c r="F45" s="201">
        <f>INDEX($B$43:$B$46,MATCH(E42/10^9,$B$43:$B$46))</f>
        <v>1</v>
      </c>
    </row>
    <row r="46" spans="1:7">
      <c r="A46" s="87">
        <v>3</v>
      </c>
      <c r="B46" s="200">
        <f>10*10^100</f>
        <v>9.9999999999999998E+100</v>
      </c>
      <c r="C46" s="87">
        <v>0.2</v>
      </c>
      <c r="E46" s="202">
        <f>G42%*E45</f>
        <v>4996381.78</v>
      </c>
      <c r="F46" s="187"/>
    </row>
    <row r="47" spans="1:7">
      <c r="A47" s="87">
        <v>4</v>
      </c>
      <c r="B47" s="119" t="s">
        <v>203</v>
      </c>
      <c r="C47" s="238">
        <v>2000000</v>
      </c>
      <c r="E47" s="172"/>
    </row>
    <row r="48" spans="1:7">
      <c r="A48" s="87">
        <v>5</v>
      </c>
      <c r="B48" s="119" t="s">
        <v>202</v>
      </c>
      <c r="C48" s="239">
        <v>60000000</v>
      </c>
      <c r="E48" s="172"/>
    </row>
    <row r="51" spans="1:5" ht="16.8">
      <c r="B51" s="89" t="s">
        <v>281</v>
      </c>
      <c r="C51" s="457" t="s">
        <v>273</v>
      </c>
    </row>
    <row r="52" spans="1:5" ht="16.8">
      <c r="A52" s="88" t="s">
        <v>0</v>
      </c>
      <c r="B52" s="88" t="s">
        <v>205</v>
      </c>
      <c r="C52" s="88" t="s">
        <v>204</v>
      </c>
      <c r="D52" s="80" t="s">
        <v>282</v>
      </c>
      <c r="E52" s="458">
        <f>IFERROR(VLOOKUP('THKP-TC'!$G$23,$B$53:$C$54,2,FALSE),0)</f>
        <v>0</v>
      </c>
    </row>
    <row r="53" spans="1:5">
      <c r="A53" s="87">
        <v>1</v>
      </c>
      <c r="B53" s="87" t="s">
        <v>283</v>
      </c>
      <c r="C53" s="87">
        <v>5</v>
      </c>
      <c r="D53" s="175"/>
    </row>
    <row r="54" spans="1:5">
      <c r="A54" s="87">
        <v>2</v>
      </c>
      <c r="B54" s="87" t="s">
        <v>284</v>
      </c>
      <c r="C54" s="87">
        <v>3</v>
      </c>
    </row>
    <row r="57" spans="1:5">
      <c r="B57" s="80" t="s">
        <v>535</v>
      </c>
    </row>
    <row r="58" spans="1:5" ht="16.8">
      <c r="B58" s="752" t="s">
        <v>536</v>
      </c>
    </row>
    <row r="59" spans="1:5" ht="42" thickBot="1">
      <c r="A59" s="753" t="s">
        <v>18</v>
      </c>
      <c r="B59" s="754" t="s">
        <v>537</v>
      </c>
      <c r="C59" s="755" t="s">
        <v>538</v>
      </c>
    </row>
    <row r="60" spans="1:5" ht="17.399999999999999" thickBot="1">
      <c r="A60" s="756">
        <v>1</v>
      </c>
      <c r="B60" s="757" t="s">
        <v>229</v>
      </c>
      <c r="C60" s="758">
        <v>5.5</v>
      </c>
    </row>
    <row r="61" spans="1:5" ht="17.399999999999999" thickBot="1">
      <c r="A61" s="756">
        <v>2</v>
      </c>
      <c r="B61" s="757" t="s">
        <v>228</v>
      </c>
      <c r="C61" s="758">
        <v>6</v>
      </c>
    </row>
    <row r="62" spans="1:5" ht="17.399999999999999" thickBot="1">
      <c r="A62" s="756">
        <v>3</v>
      </c>
      <c r="B62" s="757" t="s">
        <v>227</v>
      </c>
      <c r="C62" s="758">
        <v>6</v>
      </c>
    </row>
    <row r="63" spans="1:5" ht="34.200000000000003" thickBot="1">
      <c r="A63" s="756">
        <v>4</v>
      </c>
      <c r="B63" s="757" t="s">
        <v>539</v>
      </c>
      <c r="C63" s="758">
        <v>5.5</v>
      </c>
    </row>
    <row r="64" spans="1:5" ht="17.399999999999999" thickBot="1">
      <c r="A64" s="756">
        <v>5</v>
      </c>
      <c r="B64" s="757" t="s">
        <v>225</v>
      </c>
      <c r="C64" s="758">
        <v>5.5</v>
      </c>
    </row>
    <row r="65" spans="1:3" ht="151.19999999999999">
      <c r="A65" s="759">
        <v>6</v>
      </c>
      <c r="B65" s="760" t="s">
        <v>540</v>
      </c>
      <c r="C65" s="761">
        <v>6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E42:F42"/>
    <mergeCell ref="L19:M19"/>
    <mergeCell ref="D20:H20"/>
    <mergeCell ref="J20:K20"/>
    <mergeCell ref="A28:A29"/>
    <mergeCell ref="B28:B29"/>
    <mergeCell ref="C28:C29"/>
    <mergeCell ref="D28:E28"/>
    <mergeCell ref="F28:F29"/>
    <mergeCell ref="J19:K19"/>
    <mergeCell ref="A16:H16"/>
    <mergeCell ref="A17:H17"/>
    <mergeCell ref="A19:A21"/>
    <mergeCell ref="B19:B21"/>
    <mergeCell ref="D19:H19"/>
    <mergeCell ref="A15:H15"/>
    <mergeCell ref="A2:N2"/>
    <mergeCell ref="A3:N3"/>
    <mergeCell ref="A6:A7"/>
    <mergeCell ref="B6:B7"/>
    <mergeCell ref="D6:N6"/>
  </mergeCells>
  <conditionalFormatting sqref="D8:N12">
    <cfRule type="expression" dxfId="1" priority="1">
      <formula>$P$9=D8</formula>
    </cfRule>
    <cfRule type="expression" dxfId="0" priority="2">
      <formula>$O$9=D8</formula>
    </cfRule>
  </conditionalFormatting>
  <pageMargins left="0.7" right="0.7" top="0.75" bottom="0.75" header="0.3" footer="0.3"/>
  <customProperties>
    <customPr name="TTBMVN.WorksheetRol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FF0000"/>
    <pageSetUpPr fitToPage="1"/>
  </sheetPr>
  <dimension ref="A1:X18"/>
  <sheetViews>
    <sheetView view="pageBreakPreview" topLeftCell="A6" zoomScale="115" zoomScaleNormal="100" zoomScaleSheetLayoutView="115" workbookViewId="0">
      <selection activeCell="M15" sqref="M15"/>
    </sheetView>
  </sheetViews>
  <sheetFormatPr defaultColWidth="9" defaultRowHeight="13.8" outlineLevelCol="1"/>
  <cols>
    <col min="1" max="1" width="3.8984375" style="33" customWidth="1"/>
    <col min="2" max="2" width="13.59765625" style="33" customWidth="1"/>
    <col min="3" max="3" width="12" style="33" customWidth="1"/>
    <col min="4" max="4" width="12.8984375" style="65" hidden="1" customWidth="1" outlineLevel="1"/>
    <col min="5" max="5" width="9.09765625" style="65" customWidth="1" collapsed="1"/>
    <col min="6" max="6" width="9.09765625" style="65" customWidth="1"/>
    <col min="7" max="7" width="9.8984375" style="33" customWidth="1"/>
    <col min="8" max="8" width="9.59765625" style="33" customWidth="1"/>
    <col min="9" max="9" width="8.69921875" style="33" customWidth="1"/>
    <col min="10" max="10" width="8.09765625" style="33" customWidth="1"/>
    <col min="11" max="11" width="8.09765625" style="33" hidden="1" customWidth="1"/>
    <col min="12" max="12" width="7.8984375" style="33" customWidth="1"/>
    <col min="13" max="13" width="8.8984375" style="33" customWidth="1"/>
    <col min="14" max="14" width="7.3984375" style="33" hidden="1" customWidth="1"/>
    <col min="15" max="15" width="10.59765625" style="33" hidden="1" customWidth="1"/>
    <col min="16" max="16" width="5.69921875" style="33" customWidth="1"/>
    <col min="17" max="18" width="5.3984375" style="33" customWidth="1"/>
    <col min="19" max="19" width="5.69921875" style="33" customWidth="1"/>
    <col min="20" max="20" width="7.8984375" style="33" customWidth="1"/>
    <col min="21" max="21" width="7.3984375" style="33" customWidth="1"/>
    <col min="22" max="23" width="0" style="33" hidden="1" customWidth="1"/>
    <col min="24" max="16384" width="9" style="33"/>
  </cols>
  <sheetData>
    <row r="1" spans="1:24" s="32" customFormat="1" ht="36" customHeight="1">
      <c r="A1" s="905" t="s">
        <v>399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  <c r="T1" s="906"/>
      <c r="U1" s="906"/>
      <c r="V1" s="600"/>
      <c r="W1" s="600"/>
      <c r="X1" s="600"/>
    </row>
    <row r="2" spans="1:24" s="601" customFormat="1" ht="24" customHeight="1">
      <c r="A2" s="907" t="str">
        <f>'PL01'!C2</f>
        <v>Dự án: Cải tạo, nâng cấp  trạm bơm Trà Phương 3 tiêu thoát nước cho vùng các khu công nghiệp huyện Kim Động, Ân Thi, Yên Mỹ tỉnh Hưng Yên</v>
      </c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  <c r="T2" s="908"/>
      <c r="U2" s="908"/>
    </row>
    <row r="3" spans="1:24" s="601" customFormat="1" ht="24.75" customHeight="1">
      <c r="A3" s="907" t="str">
        <f>'PL01'!C4</f>
        <v>Địa điểm: Xã Hồng Quang, tỉnh Hưng Yên</v>
      </c>
      <c r="B3" s="908"/>
      <c r="C3" s="908"/>
      <c r="D3" s="908"/>
      <c r="E3" s="908"/>
      <c r="F3" s="908"/>
      <c r="G3" s="908"/>
      <c r="H3" s="908"/>
      <c r="I3" s="908"/>
      <c r="J3" s="908"/>
      <c r="K3" s="908"/>
      <c r="L3" s="908"/>
      <c r="M3" s="908"/>
      <c r="N3" s="908"/>
      <c r="O3" s="908"/>
      <c r="P3" s="908"/>
      <c r="Q3" s="908"/>
      <c r="R3" s="908"/>
      <c r="S3" s="908"/>
      <c r="T3" s="908"/>
      <c r="U3" s="908"/>
    </row>
    <row r="4" spans="1:24" s="32" customFormat="1" ht="33.6" hidden="1" customHeight="1">
      <c r="A4" s="908" t="s">
        <v>197</v>
      </c>
      <c r="B4" s="908"/>
      <c r="C4" s="908"/>
      <c r="D4" s="908"/>
      <c r="E4" s="908"/>
      <c r="F4" s="908"/>
      <c r="G4" s="908"/>
      <c r="H4" s="908"/>
      <c r="I4" s="908"/>
      <c r="J4" s="908"/>
      <c r="K4" s="908"/>
      <c r="L4" s="908"/>
      <c r="M4" s="908"/>
      <c r="N4" s="908"/>
      <c r="O4" s="908"/>
      <c r="P4" s="908"/>
      <c r="Q4" s="908"/>
      <c r="R4" s="908"/>
      <c r="S4" s="908"/>
      <c r="T4" s="908"/>
      <c r="U4" s="908"/>
    </row>
    <row r="5" spans="1:24" ht="28.95" customHeight="1">
      <c r="A5" s="909" t="s">
        <v>0</v>
      </c>
      <c r="B5" s="909" t="s">
        <v>132</v>
      </c>
      <c r="C5" s="909" t="s">
        <v>145</v>
      </c>
      <c r="D5" s="909" t="s">
        <v>146</v>
      </c>
      <c r="E5" s="911" t="s">
        <v>141</v>
      </c>
      <c r="F5" s="912"/>
      <c r="G5" s="909" t="s">
        <v>147</v>
      </c>
      <c r="H5" s="909" t="s">
        <v>148</v>
      </c>
      <c r="I5" s="909" t="s">
        <v>133</v>
      </c>
      <c r="J5" s="909" t="s">
        <v>194</v>
      </c>
      <c r="K5" s="909" t="s">
        <v>241</v>
      </c>
      <c r="L5" s="909" t="s">
        <v>393</v>
      </c>
      <c r="M5" s="909" t="s">
        <v>395</v>
      </c>
      <c r="N5" s="909" t="s">
        <v>394</v>
      </c>
      <c r="O5" s="909" t="s">
        <v>396</v>
      </c>
      <c r="P5" s="913" t="s">
        <v>134</v>
      </c>
      <c r="Q5" s="914"/>
      <c r="R5" s="914"/>
      <c r="S5" s="914"/>
      <c r="T5" s="915"/>
      <c r="U5" s="909" t="s">
        <v>19</v>
      </c>
    </row>
    <row r="6" spans="1:24" ht="49.5" customHeight="1">
      <c r="A6" s="910"/>
      <c r="B6" s="910"/>
      <c r="C6" s="910"/>
      <c r="D6" s="910"/>
      <c r="E6" s="147" t="s">
        <v>142</v>
      </c>
      <c r="F6" s="147" t="s">
        <v>143</v>
      </c>
      <c r="G6" s="910"/>
      <c r="H6" s="916"/>
      <c r="I6" s="910"/>
      <c r="J6" s="910"/>
      <c r="K6" s="910"/>
      <c r="L6" s="910"/>
      <c r="M6" s="910"/>
      <c r="N6" s="910"/>
      <c r="O6" s="910"/>
      <c r="P6" s="34" t="s">
        <v>135</v>
      </c>
      <c r="Q6" s="34" t="s">
        <v>136</v>
      </c>
      <c r="R6" s="34" t="s">
        <v>137</v>
      </c>
      <c r="S6" s="34" t="s">
        <v>138</v>
      </c>
      <c r="T6" s="34" t="s">
        <v>139</v>
      </c>
      <c r="U6" s="910"/>
    </row>
    <row r="7" spans="1:24" s="339" customFormat="1" ht="19.5" customHeight="1">
      <c r="A7" s="924">
        <v>1</v>
      </c>
      <c r="B7" s="921" t="s">
        <v>548</v>
      </c>
      <c r="C7" s="610">
        <v>1</v>
      </c>
      <c r="D7" s="611">
        <v>18178.45</v>
      </c>
      <c r="E7" s="612">
        <v>2295181.7400000002</v>
      </c>
      <c r="F7" s="612">
        <v>563595.63</v>
      </c>
      <c r="G7" s="136">
        <v>57</v>
      </c>
      <c r="H7" s="136">
        <f>10*10</f>
        <v>100</v>
      </c>
      <c r="I7" s="613">
        <v>1</v>
      </c>
      <c r="J7" s="613">
        <f>H7</f>
        <v>100</v>
      </c>
      <c r="K7" s="613">
        <v>0</v>
      </c>
      <c r="L7" s="613">
        <v>0</v>
      </c>
      <c r="M7" s="615">
        <v>0</v>
      </c>
      <c r="N7" s="613">
        <v>0</v>
      </c>
      <c r="O7" s="615">
        <v>0</v>
      </c>
      <c r="P7" s="613">
        <v>0</v>
      </c>
      <c r="Q7" s="614">
        <v>0</v>
      </c>
      <c r="R7" s="613">
        <v>0</v>
      </c>
      <c r="S7" s="613">
        <v>0</v>
      </c>
      <c r="T7" s="136">
        <f t="shared" ref="T7:T8" si="0">I7+L7+N7</f>
        <v>1</v>
      </c>
      <c r="U7" s="136"/>
      <c r="V7" s="340" t="e">
        <f>ROUND(W7*65%,0)</f>
        <v>#REF!</v>
      </c>
      <c r="W7" s="339" t="e">
        <f>+#REF!</f>
        <v>#REF!</v>
      </c>
    </row>
    <row r="8" spans="1:24" s="339" customFormat="1" ht="19.5" customHeight="1">
      <c r="A8" s="925"/>
      <c r="B8" s="922"/>
      <c r="C8" s="610">
        <v>2</v>
      </c>
      <c r="D8" s="611">
        <v>18178.45</v>
      </c>
      <c r="E8" s="612">
        <v>2296003.7200000002</v>
      </c>
      <c r="F8" s="612">
        <v>563590.93000000005</v>
      </c>
      <c r="G8" s="136">
        <v>45</v>
      </c>
      <c r="H8" s="136">
        <f>10*10</f>
        <v>100</v>
      </c>
      <c r="I8" s="613">
        <v>1</v>
      </c>
      <c r="J8" s="613">
        <f>H8</f>
        <v>100</v>
      </c>
      <c r="K8" s="613">
        <v>0</v>
      </c>
      <c r="L8" s="613">
        <v>0</v>
      </c>
      <c r="M8" s="615">
        <v>0</v>
      </c>
      <c r="N8" s="613">
        <v>0</v>
      </c>
      <c r="O8" s="615">
        <v>0</v>
      </c>
      <c r="P8" s="613">
        <v>0</v>
      </c>
      <c r="Q8" s="614">
        <v>0</v>
      </c>
      <c r="R8" s="613">
        <v>0</v>
      </c>
      <c r="S8" s="613">
        <v>0</v>
      </c>
      <c r="T8" s="136">
        <f t="shared" si="0"/>
        <v>1</v>
      </c>
      <c r="U8" s="136"/>
      <c r="V8" s="340" t="e">
        <f>ROUND(W8*65%,0)</f>
        <v>#REF!</v>
      </c>
      <c r="W8" s="339" t="e">
        <f>+#REF!</f>
        <v>#REF!</v>
      </c>
    </row>
    <row r="9" spans="1:24" s="339" customFormat="1" ht="19.5" customHeight="1">
      <c r="A9" s="925"/>
      <c r="B9" s="922"/>
      <c r="C9" s="610">
        <v>3</v>
      </c>
      <c r="D9" s="611">
        <v>18178.45</v>
      </c>
      <c r="E9" s="612">
        <v>2296078.14</v>
      </c>
      <c r="F9" s="612">
        <v>563494.42000000004</v>
      </c>
      <c r="G9" s="136">
        <v>52</v>
      </c>
      <c r="H9" s="136">
        <f>10*10</f>
        <v>100</v>
      </c>
      <c r="I9" s="613">
        <v>1</v>
      </c>
      <c r="J9" s="613">
        <f>H9</f>
        <v>100</v>
      </c>
      <c r="K9" s="613">
        <v>0</v>
      </c>
      <c r="L9" s="613">
        <v>1</v>
      </c>
      <c r="M9" s="615">
        <v>1.25</v>
      </c>
      <c r="N9" s="613">
        <v>0</v>
      </c>
      <c r="O9" s="615">
        <v>0</v>
      </c>
      <c r="P9" s="613">
        <v>0</v>
      </c>
      <c r="Q9" s="614">
        <v>0</v>
      </c>
      <c r="R9" s="613">
        <v>0</v>
      </c>
      <c r="S9" s="613">
        <v>0</v>
      </c>
      <c r="T9" s="136">
        <f t="shared" ref="T9" si="1">I9+L9+N9</f>
        <v>2</v>
      </c>
      <c r="U9" s="136"/>
      <c r="V9" s="340" t="e">
        <f>ROUND(W9*65%,0)</f>
        <v>#REF!</v>
      </c>
      <c r="W9" s="339" t="e">
        <f>+#REF!</f>
        <v>#REF!</v>
      </c>
    </row>
    <row r="10" spans="1:24" s="339" customFormat="1" ht="19.5" customHeight="1">
      <c r="A10" s="926"/>
      <c r="B10" s="923"/>
      <c r="C10" s="610">
        <v>4</v>
      </c>
      <c r="D10" s="611">
        <v>18178.45</v>
      </c>
      <c r="E10" s="612">
        <v>2296724.56</v>
      </c>
      <c r="F10" s="612">
        <v>563405.89</v>
      </c>
      <c r="G10" s="136">
        <v>47</v>
      </c>
      <c r="H10" s="136">
        <f>10*10</f>
        <v>100</v>
      </c>
      <c r="I10" s="613">
        <v>1</v>
      </c>
      <c r="J10" s="613">
        <f>H10</f>
        <v>100</v>
      </c>
      <c r="K10" s="613">
        <v>0</v>
      </c>
      <c r="L10" s="613">
        <v>0</v>
      </c>
      <c r="M10" s="615">
        <v>0</v>
      </c>
      <c r="N10" s="613">
        <v>0</v>
      </c>
      <c r="O10" s="615">
        <v>0</v>
      </c>
      <c r="P10" s="613">
        <v>0</v>
      </c>
      <c r="Q10" s="614">
        <v>0</v>
      </c>
      <c r="R10" s="613">
        <v>0</v>
      </c>
      <c r="S10" s="613">
        <v>0</v>
      </c>
      <c r="T10" s="136">
        <f t="shared" ref="T10" si="2">I10+L10+N10</f>
        <v>1</v>
      </c>
      <c r="U10" s="136"/>
      <c r="V10" s="340" t="e">
        <f>ROUND(W10*65%,0)</f>
        <v>#REF!</v>
      </c>
      <c r="W10" s="339" t="e">
        <f>+#REF!</f>
        <v>#REF!</v>
      </c>
    </row>
    <row r="11" spans="1:24" s="36" customFormat="1" ht="19.5" customHeight="1">
      <c r="A11" s="35" t="s">
        <v>79</v>
      </c>
      <c r="B11" s="35"/>
      <c r="C11" s="214">
        <f>COUNTA(C10:C10)</f>
        <v>1</v>
      </c>
      <c r="D11" s="82"/>
      <c r="E11" s="83"/>
      <c r="F11" s="83"/>
      <c r="G11" s="616">
        <f t="shared" ref="G11:T11" si="3">SUM(G7:G10)</f>
        <v>201</v>
      </c>
      <c r="H11" s="616">
        <f t="shared" si="3"/>
        <v>400</v>
      </c>
      <c r="I11" s="613">
        <f t="shared" si="3"/>
        <v>4</v>
      </c>
      <c r="J11" s="616">
        <f t="shared" si="3"/>
        <v>400</v>
      </c>
      <c r="K11" s="616">
        <f t="shared" si="3"/>
        <v>0</v>
      </c>
      <c r="L11" s="613">
        <f t="shared" si="3"/>
        <v>1</v>
      </c>
      <c r="M11" s="615">
        <f t="shared" si="3"/>
        <v>1.25</v>
      </c>
      <c r="N11" s="613">
        <f t="shared" si="3"/>
        <v>0</v>
      </c>
      <c r="O11" s="615">
        <f t="shared" si="3"/>
        <v>0</v>
      </c>
      <c r="P11" s="613">
        <f t="shared" si="3"/>
        <v>0</v>
      </c>
      <c r="Q11" s="614">
        <f t="shared" si="3"/>
        <v>0</v>
      </c>
      <c r="R11" s="613">
        <f t="shared" si="3"/>
        <v>0</v>
      </c>
      <c r="S11" s="613">
        <f t="shared" si="3"/>
        <v>0</v>
      </c>
      <c r="T11" s="136">
        <f t="shared" si="3"/>
        <v>5</v>
      </c>
      <c r="U11" s="136"/>
      <c r="V11" s="339">
        <f>+H11*0.6</f>
        <v>240</v>
      </c>
      <c r="W11" s="339"/>
    </row>
    <row r="12" spans="1:24" s="342" customFormat="1" ht="19.5" customHeight="1">
      <c r="A12" s="37" t="s">
        <v>144</v>
      </c>
      <c r="B12" s="38"/>
      <c r="C12" s="341"/>
      <c r="D12" s="38"/>
      <c r="E12" s="39"/>
      <c r="F12" s="39"/>
      <c r="G12" s="40">
        <f>+G11/H11</f>
        <v>0.50249999999999995</v>
      </c>
      <c r="H12" s="41"/>
      <c r="I12" s="42">
        <f>ROUND(I11*10^4/H11,0)*0+70</f>
        <v>70</v>
      </c>
      <c r="J12" s="37"/>
      <c r="K12" s="37"/>
      <c r="L12" s="151">
        <f>ROUND(L11*10^4/(K11+J11),0)*0+3</f>
        <v>3</v>
      </c>
      <c r="M12" s="43"/>
      <c r="N12" s="171">
        <v>0</v>
      </c>
      <c r="O12" s="42"/>
      <c r="P12" s="38"/>
      <c r="Q12" s="38"/>
      <c r="R12" s="38"/>
      <c r="S12" s="38"/>
      <c r="T12" s="38"/>
      <c r="U12" s="38"/>
      <c r="V12" s="44"/>
      <c r="W12" s="44"/>
    </row>
    <row r="13" spans="1:24" s="449" customFormat="1" ht="19.5" customHeight="1">
      <c r="A13" s="440"/>
      <c r="B13" s="440"/>
      <c r="C13" s="440"/>
      <c r="D13" s="441"/>
      <c r="E13" s="441"/>
      <c r="F13" s="441"/>
      <c r="G13" s="442"/>
      <c r="H13" s="443"/>
      <c r="I13" s="444"/>
      <c r="J13" s="445"/>
      <c r="K13" s="445"/>
      <c r="L13" s="446"/>
      <c r="M13" s="447"/>
      <c r="N13" s="444"/>
      <c r="O13" s="447"/>
      <c r="P13" s="440"/>
      <c r="Q13" s="440"/>
      <c r="R13" s="440"/>
      <c r="S13" s="440"/>
      <c r="T13" s="440"/>
      <c r="U13" s="440"/>
      <c r="V13" s="448"/>
      <c r="W13" s="448"/>
    </row>
    <row r="14" spans="1:24" s="50" customFormat="1" ht="25.5" customHeight="1">
      <c r="A14" s="919" t="s">
        <v>547</v>
      </c>
      <c r="B14" s="919"/>
      <c r="C14" s="919"/>
      <c r="D14" s="919"/>
      <c r="E14" s="919"/>
      <c r="F14" s="919"/>
      <c r="G14" s="47"/>
      <c r="H14" s="203"/>
      <c r="I14" s="48"/>
      <c r="J14" s="49"/>
      <c r="K14" s="49"/>
      <c r="L14" s="920" t="s">
        <v>140</v>
      </c>
      <c r="M14" s="920"/>
      <c r="N14" s="920"/>
      <c r="O14" s="920"/>
      <c r="P14" s="920"/>
      <c r="Q14" s="920"/>
      <c r="R14" s="920"/>
      <c r="S14" s="920"/>
      <c r="T14" s="920"/>
      <c r="U14" s="920"/>
    </row>
    <row r="15" spans="1:24" ht="30" customHeight="1">
      <c r="A15" s="51"/>
      <c r="B15" s="51"/>
      <c r="C15" s="51"/>
      <c r="D15" s="52"/>
      <c r="E15" s="52"/>
      <c r="F15" s="52"/>
      <c r="G15" s="53"/>
      <c r="H15" s="204"/>
      <c r="I15" s="54"/>
      <c r="J15" s="55"/>
      <c r="K15" s="55"/>
      <c r="L15" s="56"/>
      <c r="M15" s="343"/>
      <c r="N15" s="343"/>
      <c r="O15" s="343"/>
      <c r="P15" s="51"/>
      <c r="Q15" s="51"/>
      <c r="R15" s="51"/>
      <c r="S15" s="51"/>
      <c r="T15" s="51"/>
      <c r="U15" s="51"/>
    </row>
    <row r="16" spans="1:24" ht="21" customHeight="1">
      <c r="A16" s="51"/>
      <c r="B16" s="51"/>
      <c r="C16" s="51"/>
      <c r="D16" s="52"/>
      <c r="E16" s="52"/>
      <c r="F16" s="52"/>
      <c r="G16" s="344"/>
      <c r="H16" s="57"/>
      <c r="I16" s="56"/>
      <c r="J16" s="56"/>
      <c r="K16" s="56"/>
      <c r="L16" s="58"/>
      <c r="M16" s="59"/>
      <c r="N16" s="59"/>
      <c r="O16" s="59"/>
      <c r="P16" s="51"/>
      <c r="Q16" s="51"/>
      <c r="R16" s="51"/>
      <c r="S16" s="51"/>
      <c r="T16" s="51"/>
      <c r="U16" s="51"/>
    </row>
    <row r="17" spans="1:21" ht="21" customHeight="1">
      <c r="A17" s="51"/>
      <c r="B17" s="51"/>
      <c r="C17" s="51"/>
      <c r="D17" s="52"/>
      <c r="E17" s="52"/>
      <c r="F17" s="52"/>
      <c r="G17" s="51"/>
      <c r="H17" s="58"/>
      <c r="I17" s="58"/>
      <c r="J17" s="58"/>
      <c r="K17" s="58"/>
      <c r="L17" s="51"/>
      <c r="M17" s="51"/>
      <c r="N17" s="51"/>
      <c r="O17" s="51"/>
      <c r="P17" s="51"/>
      <c r="Q17" s="51"/>
      <c r="R17" s="51"/>
      <c r="S17" s="51"/>
      <c r="T17" s="51"/>
      <c r="U17" s="51"/>
    </row>
    <row r="18" spans="1:21" s="32" customFormat="1" ht="19.5" customHeight="1">
      <c r="A18" s="917"/>
      <c r="B18" s="917"/>
      <c r="C18" s="917"/>
      <c r="D18" s="917"/>
      <c r="E18" s="917"/>
      <c r="F18" s="917"/>
      <c r="G18" s="60"/>
      <c r="H18" s="61"/>
      <c r="I18" s="62"/>
      <c r="J18" s="62"/>
      <c r="K18" s="62"/>
      <c r="L18" s="918" t="s">
        <v>549</v>
      </c>
      <c r="M18" s="918"/>
      <c r="N18" s="918"/>
      <c r="O18" s="918"/>
      <c r="P18" s="918"/>
      <c r="Q18" s="918"/>
      <c r="R18" s="918"/>
      <c r="S18" s="918"/>
      <c r="T18" s="918"/>
      <c r="U18" s="918"/>
    </row>
  </sheetData>
  <mergeCells count="26">
    <mergeCell ref="A18:F18"/>
    <mergeCell ref="L18:U18"/>
    <mergeCell ref="J5:J6"/>
    <mergeCell ref="K5:K6"/>
    <mergeCell ref="L5:L6"/>
    <mergeCell ref="M5:M6"/>
    <mergeCell ref="A14:F14"/>
    <mergeCell ref="L14:U14"/>
    <mergeCell ref="B7:B10"/>
    <mergeCell ref="A7:A10"/>
    <mergeCell ref="A1:U1"/>
    <mergeCell ref="A2:U2"/>
    <mergeCell ref="A3:U3"/>
    <mergeCell ref="A4:U4"/>
    <mergeCell ref="A5:A6"/>
    <mergeCell ref="B5:B6"/>
    <mergeCell ref="C5:C6"/>
    <mergeCell ref="D5:D6"/>
    <mergeCell ref="E5:F5"/>
    <mergeCell ref="G5:G6"/>
    <mergeCell ref="N5:N6"/>
    <mergeCell ref="O5:O6"/>
    <mergeCell ref="P5:T5"/>
    <mergeCell ref="U5:U6"/>
    <mergeCell ref="H5:H6"/>
    <mergeCell ref="I5:I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93" orientation="landscape" r:id="rId1"/>
  <colBreaks count="1" manualBreakCount="1">
    <brk id="23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H16"/>
  <sheetViews>
    <sheetView workbookViewId="0">
      <selection activeCell="C9" sqref="C9"/>
    </sheetView>
  </sheetViews>
  <sheetFormatPr defaultColWidth="9" defaultRowHeight="18"/>
  <cols>
    <col min="1" max="1" width="5.59765625" style="568" customWidth="1"/>
    <col min="2" max="2" width="48.09765625" style="561" customWidth="1"/>
    <col min="3" max="3" width="27.8984375" style="561" customWidth="1"/>
    <col min="4" max="4" width="9" style="561"/>
    <col min="5" max="5" width="19.8984375" style="561" customWidth="1"/>
    <col min="6" max="7" width="9" style="561"/>
    <col min="8" max="8" width="24.09765625" style="561" customWidth="1"/>
    <col min="9" max="16384" width="9" style="561"/>
  </cols>
  <sheetData>
    <row r="1" spans="1:8" ht="38.25" customHeight="1">
      <c r="A1" s="927" t="s">
        <v>149</v>
      </c>
      <c r="B1" s="927"/>
      <c r="C1" s="927"/>
      <c r="D1" s="927"/>
      <c r="E1" s="560"/>
      <c r="F1" s="561">
        <f>WEEKDAY(E1)</f>
        <v>7</v>
      </c>
    </row>
    <row r="2" spans="1:8" ht="34.5" customHeight="1">
      <c r="A2" s="562" t="s">
        <v>0</v>
      </c>
      <c r="B2" s="562" t="s">
        <v>150</v>
      </c>
      <c r="C2" s="562" t="s">
        <v>151</v>
      </c>
      <c r="D2" s="562" t="s">
        <v>152</v>
      </c>
    </row>
    <row r="3" spans="1:8">
      <c r="A3" s="563">
        <v>1</v>
      </c>
      <c r="B3" s="564" t="s">
        <v>153</v>
      </c>
      <c r="C3" s="565">
        <v>45546</v>
      </c>
      <c r="D3" s="563">
        <f t="shared" ref="D3:D11" si="0">WEEKDAY(C3)</f>
        <v>4</v>
      </c>
      <c r="E3" s="561">
        <v>4077</v>
      </c>
      <c r="H3" s="566">
        <v>45018</v>
      </c>
    </row>
    <row r="4" spans="1:8">
      <c r="A4" s="563">
        <f t="shared" ref="A4:A12" si="1">+A3+1</f>
        <v>2</v>
      </c>
      <c r="B4" s="564" t="s">
        <v>391</v>
      </c>
      <c r="C4" s="565">
        <v>45666</v>
      </c>
      <c r="D4" s="563">
        <f t="shared" si="0"/>
        <v>5</v>
      </c>
      <c r="E4" s="561" t="s">
        <v>392</v>
      </c>
      <c r="H4" s="566">
        <v>45034</v>
      </c>
    </row>
    <row r="5" spans="1:8">
      <c r="A5" s="563">
        <f t="shared" si="1"/>
        <v>3</v>
      </c>
      <c r="B5" s="564" t="s">
        <v>183</v>
      </c>
      <c r="C5" s="565">
        <f>C4</f>
        <v>45666</v>
      </c>
      <c r="D5" s="563">
        <f t="shared" si="0"/>
        <v>5</v>
      </c>
      <c r="H5" s="566" t="e">
        <f>+#REF!+1</f>
        <v>#REF!</v>
      </c>
    </row>
    <row r="6" spans="1:8">
      <c r="A6" s="563">
        <f t="shared" si="1"/>
        <v>4</v>
      </c>
      <c r="B6" s="564" t="s">
        <v>154</v>
      </c>
      <c r="C6" s="565">
        <f>C5</f>
        <v>45666</v>
      </c>
      <c r="D6" s="563">
        <f t="shared" si="0"/>
        <v>5</v>
      </c>
      <c r="H6" s="566" t="e">
        <f>+H5</f>
        <v>#REF!</v>
      </c>
    </row>
    <row r="7" spans="1:8" ht="20.25" customHeight="1">
      <c r="A7" s="563">
        <f t="shared" si="1"/>
        <v>5</v>
      </c>
      <c r="B7" s="564" t="s">
        <v>155</v>
      </c>
      <c r="C7" s="565">
        <f>C6</f>
        <v>45666</v>
      </c>
      <c r="D7" s="563">
        <f t="shared" si="0"/>
        <v>5</v>
      </c>
      <c r="F7" s="561">
        <v>1</v>
      </c>
      <c r="H7" s="566" t="e">
        <f>+H6+1</f>
        <v>#REF!</v>
      </c>
    </row>
    <row r="8" spans="1:8">
      <c r="A8" s="563">
        <f t="shared" si="1"/>
        <v>6</v>
      </c>
      <c r="B8" s="564" t="s">
        <v>251</v>
      </c>
      <c r="C8" s="565">
        <f>C7+5</f>
        <v>45671</v>
      </c>
      <c r="D8" s="563">
        <f t="shared" si="0"/>
        <v>3</v>
      </c>
      <c r="F8" s="561">
        <v>12</v>
      </c>
      <c r="H8" s="566">
        <v>45036</v>
      </c>
    </row>
    <row r="9" spans="1:8">
      <c r="A9" s="563">
        <f t="shared" si="1"/>
        <v>7</v>
      </c>
      <c r="B9" s="564" t="s">
        <v>156</v>
      </c>
      <c r="C9" s="565">
        <f>C8+1</f>
        <v>45672</v>
      </c>
      <c r="D9" s="563">
        <f t="shared" si="0"/>
        <v>4</v>
      </c>
      <c r="F9" s="561">
        <v>2</v>
      </c>
      <c r="H9" s="566">
        <v>45037</v>
      </c>
    </row>
    <row r="10" spans="1:8">
      <c r="A10" s="563">
        <f t="shared" si="1"/>
        <v>8</v>
      </c>
      <c r="B10" s="564" t="s">
        <v>157</v>
      </c>
      <c r="C10" s="565">
        <f>C9</f>
        <v>45672</v>
      </c>
      <c r="D10" s="563">
        <f t="shared" si="0"/>
        <v>4</v>
      </c>
      <c r="F10" s="561">
        <v>1</v>
      </c>
      <c r="H10" s="566">
        <f>+H9+1</f>
        <v>45038</v>
      </c>
    </row>
    <row r="11" spans="1:8">
      <c r="A11" s="563">
        <f t="shared" si="1"/>
        <v>9</v>
      </c>
      <c r="B11" s="564" t="s">
        <v>158</v>
      </c>
      <c r="C11" s="565">
        <f>C10+1</f>
        <v>45673</v>
      </c>
      <c r="D11" s="563">
        <f t="shared" si="0"/>
        <v>5</v>
      </c>
      <c r="E11" s="561" t="e">
        <f>C11-#REF!+1</f>
        <v>#REF!</v>
      </c>
      <c r="H11" s="566">
        <v>45041</v>
      </c>
    </row>
    <row r="12" spans="1:8">
      <c r="A12" s="563">
        <f t="shared" si="1"/>
        <v>10</v>
      </c>
      <c r="B12" s="564" t="s">
        <v>159</v>
      </c>
      <c r="C12" s="567" t="s">
        <v>252</v>
      </c>
      <c r="D12" s="562"/>
    </row>
    <row r="14" spans="1:8">
      <c r="B14" s="569"/>
    </row>
    <row r="16" spans="1:8">
      <c r="B16" s="564"/>
    </row>
  </sheetData>
  <mergeCells count="1">
    <mergeCell ref="A1:D1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112" orientation="portrait" horizontalDpi="300" verticalDpi="300" r:id="rId1"/>
  <colBreaks count="1" manualBreakCount="1">
    <brk id="4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3">
    <tabColor rgb="FFFFFF00"/>
    <pageSetUpPr fitToPage="1"/>
  </sheetPr>
  <dimension ref="A1:S30"/>
  <sheetViews>
    <sheetView topLeftCell="A6" workbookViewId="0">
      <selection activeCell="N17" sqref="N17:S17"/>
    </sheetView>
  </sheetViews>
  <sheetFormatPr defaultColWidth="9" defaultRowHeight="15.6" outlineLevelCol="1"/>
  <cols>
    <col min="1" max="1" width="6.3984375" style="33" customWidth="1"/>
    <col min="2" max="2" width="16.09765625" style="33" customWidth="1"/>
    <col min="3" max="3" width="14.59765625" style="33" customWidth="1"/>
    <col min="4" max="4" width="12.8984375" style="33" hidden="1" customWidth="1" outlineLevel="1"/>
    <col min="5" max="5" width="10" style="33" customWidth="1" collapsed="1"/>
    <col min="6" max="6" width="10" style="33" customWidth="1"/>
    <col min="7" max="7" width="8.8984375" style="33" customWidth="1"/>
    <col min="8" max="8" width="9.8984375" style="33" customWidth="1"/>
    <col min="9" max="9" width="9.8984375" style="33" hidden="1" customWidth="1"/>
    <col min="10" max="10" width="9.09765625" style="33" customWidth="1"/>
    <col min="11" max="11" width="7.69921875" style="33" customWidth="1"/>
    <col min="12" max="12" width="8" style="33" customWidth="1"/>
    <col min="13" max="13" width="7.3984375" style="33" customWidth="1"/>
    <col min="14" max="14" width="7.3984375" style="33" hidden="1" customWidth="1"/>
    <col min="15" max="17" width="6.59765625" style="33" customWidth="1"/>
    <col min="18" max="19" width="8.3984375" style="33" customWidth="1"/>
    <col min="20" max="16384" width="9" style="602"/>
  </cols>
  <sheetData>
    <row r="1" spans="1:19" ht="33" customHeight="1">
      <c r="A1" s="905" t="s">
        <v>400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</row>
    <row r="2" spans="1:19" ht="36.75" customHeight="1">
      <c r="A2" s="907" t="str">
        <f>'PL01'!C2</f>
        <v>Dự án: Cải tạo, nâng cấp  trạm bơm Trà Phương 3 tiêu thoát nước cho vùng các khu công nghiệp huyện Kim Động, Ân Thi, Yên Mỹ tỉnh Hưng Yên</v>
      </c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</row>
    <row r="3" spans="1:19" ht="24.75" customHeight="1">
      <c r="A3" s="907" t="str">
        <f>'PL01'!C4</f>
        <v>Địa điểm: Xã Hồng Quang, tỉnh Hưng Yên</v>
      </c>
      <c r="B3" s="908"/>
      <c r="C3" s="908"/>
      <c r="D3" s="908"/>
      <c r="E3" s="908"/>
      <c r="F3" s="908"/>
      <c r="G3" s="908"/>
      <c r="H3" s="908"/>
      <c r="I3" s="908"/>
      <c r="J3" s="908"/>
      <c r="K3" s="908"/>
      <c r="L3" s="908"/>
      <c r="M3" s="908"/>
      <c r="N3" s="908"/>
      <c r="O3" s="908"/>
      <c r="P3" s="908"/>
      <c r="Q3" s="908"/>
      <c r="R3" s="908"/>
      <c r="S3" s="908"/>
    </row>
    <row r="4" spans="1:19" ht="8.25" customHeight="1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49"/>
    </row>
    <row r="5" spans="1:19" ht="29.4" customHeight="1">
      <c r="A5" s="909" t="s">
        <v>0</v>
      </c>
      <c r="B5" s="909" t="s">
        <v>132</v>
      </c>
      <c r="C5" s="909" t="s">
        <v>145</v>
      </c>
      <c r="D5" s="909" t="s">
        <v>146</v>
      </c>
      <c r="E5" s="911" t="s">
        <v>250</v>
      </c>
      <c r="F5" s="912"/>
      <c r="G5" s="909" t="s">
        <v>249</v>
      </c>
      <c r="H5" s="909" t="s">
        <v>544</v>
      </c>
      <c r="I5" s="909" t="s">
        <v>248</v>
      </c>
      <c r="J5" s="909" t="s">
        <v>247</v>
      </c>
      <c r="K5" s="909" t="s">
        <v>246</v>
      </c>
      <c r="L5" s="909" t="s">
        <v>245</v>
      </c>
      <c r="M5" s="909" t="s">
        <v>344</v>
      </c>
      <c r="N5" s="909" t="s">
        <v>244</v>
      </c>
      <c r="O5" s="929" t="s">
        <v>134</v>
      </c>
      <c r="P5" s="929"/>
      <c r="Q5" s="929"/>
      <c r="R5" s="929"/>
      <c r="S5" s="909" t="s">
        <v>19</v>
      </c>
    </row>
    <row r="6" spans="1:19" ht="60.6" customHeight="1">
      <c r="A6" s="910"/>
      <c r="B6" s="910"/>
      <c r="C6" s="910"/>
      <c r="D6" s="910"/>
      <c r="E6" s="147" t="s">
        <v>142</v>
      </c>
      <c r="F6" s="147" t="s">
        <v>143</v>
      </c>
      <c r="G6" s="910"/>
      <c r="H6" s="910"/>
      <c r="I6" s="910"/>
      <c r="J6" s="910"/>
      <c r="K6" s="910"/>
      <c r="L6" s="910"/>
      <c r="M6" s="910"/>
      <c r="N6" s="910"/>
      <c r="O6" s="148" t="s">
        <v>136</v>
      </c>
      <c r="P6" s="148" t="s">
        <v>137</v>
      </c>
      <c r="Q6" s="148" t="s">
        <v>138</v>
      </c>
      <c r="R6" s="148" t="s">
        <v>243</v>
      </c>
      <c r="S6" s="910"/>
    </row>
    <row r="7" spans="1:19" ht="20.25" customHeight="1">
      <c r="A7" s="930">
        <v>1</v>
      </c>
      <c r="B7" s="932" t="s">
        <v>548</v>
      </c>
      <c r="C7" s="170">
        <v>1</v>
      </c>
      <c r="D7" s="603"/>
      <c r="E7" s="604">
        <v>2295413.5</v>
      </c>
      <c r="F7" s="604">
        <v>563644.49</v>
      </c>
      <c r="G7" s="146">
        <f>20*20</f>
        <v>400</v>
      </c>
      <c r="H7" s="146">
        <f>G7</f>
        <v>400</v>
      </c>
      <c r="I7" s="146">
        <v>0</v>
      </c>
      <c r="J7" s="146">
        <f>SUM(K7:N7)</f>
        <v>2</v>
      </c>
      <c r="K7" s="146">
        <v>1</v>
      </c>
      <c r="L7" s="146">
        <v>0</v>
      </c>
      <c r="M7" s="146">
        <v>1</v>
      </c>
      <c r="N7" s="146"/>
      <c r="O7" s="146">
        <v>0</v>
      </c>
      <c r="P7" s="146">
        <v>0</v>
      </c>
      <c r="Q7" s="146">
        <v>0</v>
      </c>
      <c r="R7" s="146">
        <f>J7</f>
        <v>2</v>
      </c>
      <c r="S7" s="145"/>
    </row>
    <row r="8" spans="1:19" ht="20.25" customHeight="1">
      <c r="A8" s="931"/>
      <c r="B8" s="933"/>
      <c r="C8" s="170">
        <v>2</v>
      </c>
      <c r="D8" s="603"/>
      <c r="E8" s="604">
        <v>2296823.8199999998</v>
      </c>
      <c r="F8" s="604">
        <v>563376.64000000001</v>
      </c>
      <c r="G8" s="146">
        <f>20*20</f>
        <v>400</v>
      </c>
      <c r="H8" s="146">
        <f>G8</f>
        <v>400</v>
      </c>
      <c r="I8" s="146">
        <v>0</v>
      </c>
      <c r="J8" s="146">
        <f>SUM(K8:N8)</f>
        <v>2</v>
      </c>
      <c r="K8" s="146">
        <v>1</v>
      </c>
      <c r="L8" s="146">
        <v>1</v>
      </c>
      <c r="M8" s="146">
        <v>0</v>
      </c>
      <c r="N8" s="146"/>
      <c r="O8" s="146">
        <v>0</v>
      </c>
      <c r="P8" s="146">
        <v>0</v>
      </c>
      <c r="Q8" s="146">
        <v>0</v>
      </c>
      <c r="R8" s="146">
        <f>J8</f>
        <v>2</v>
      </c>
      <c r="S8" s="145"/>
    </row>
    <row r="9" spans="1:19" ht="20.25" customHeight="1">
      <c r="A9" s="35" t="s">
        <v>79</v>
      </c>
      <c r="B9" s="141"/>
      <c r="C9" s="214"/>
      <c r="D9" s="140"/>
      <c r="E9" s="605"/>
      <c r="F9" s="605"/>
      <c r="G9" s="143">
        <f t="shared" ref="G9:N9" si="0">SUM(G7:G8)</f>
        <v>800</v>
      </c>
      <c r="H9" s="143">
        <f t="shared" si="0"/>
        <v>800</v>
      </c>
      <c r="I9" s="143">
        <f t="shared" si="0"/>
        <v>0</v>
      </c>
      <c r="J9" s="144">
        <f t="shared" si="0"/>
        <v>4</v>
      </c>
      <c r="K9" s="144">
        <f>SUM(K7:K8)</f>
        <v>2</v>
      </c>
      <c r="L9" s="144">
        <f t="shared" si="0"/>
        <v>1</v>
      </c>
      <c r="M9" s="144">
        <f t="shared" ref="M9" si="1">SUM(M7:M8)</f>
        <v>1</v>
      </c>
      <c r="N9" s="144">
        <f t="shared" si="0"/>
        <v>0</v>
      </c>
      <c r="O9" s="143"/>
      <c r="P9" s="143"/>
      <c r="Q9" s="143"/>
      <c r="R9" s="143">
        <f>SUM(R7:R8)</f>
        <v>4</v>
      </c>
      <c r="S9" s="136"/>
    </row>
    <row r="10" spans="1:19" ht="20.25" customHeight="1">
      <c r="A10" s="142" t="s">
        <v>144</v>
      </c>
      <c r="B10" s="141"/>
      <c r="C10" s="136"/>
      <c r="D10" s="140"/>
      <c r="E10" s="605"/>
      <c r="F10" s="605"/>
      <c r="G10" s="137"/>
      <c r="H10" s="137"/>
      <c r="I10" s="137"/>
      <c r="J10" s="139"/>
      <c r="K10" s="139">
        <f>ROUND(K9*10^4/G9,0)*0+20</f>
        <v>20</v>
      </c>
      <c r="L10" s="139">
        <f>ROUND(L9*10^4/G9,0)*0+1</f>
        <v>1</v>
      </c>
      <c r="M10" s="138">
        <v>0.1</v>
      </c>
      <c r="N10" s="138">
        <v>0</v>
      </c>
      <c r="O10" s="137"/>
      <c r="P10" s="137"/>
      <c r="Q10" s="137"/>
      <c r="R10" s="137"/>
      <c r="S10" s="136"/>
    </row>
    <row r="11" spans="1:19" ht="16.8">
      <c r="A11" s="45"/>
      <c r="B11" s="45"/>
      <c r="C11" s="45"/>
      <c r="D11" s="45"/>
      <c r="E11" s="45"/>
      <c r="F11" s="45"/>
      <c r="G11" s="213"/>
      <c r="H11" s="135"/>
      <c r="I11" s="135"/>
      <c r="J11" s="46"/>
      <c r="K11" s="45"/>
      <c r="L11" s="46"/>
      <c r="M11" s="134"/>
      <c r="N11" s="134"/>
      <c r="O11" s="45"/>
      <c r="P11" s="45"/>
      <c r="Q11" s="45"/>
      <c r="R11" s="45"/>
      <c r="S11" s="45"/>
    </row>
    <row r="12" spans="1:19" ht="16.8">
      <c r="A12" s="917" t="str">
        <f>THNK_C!A14</f>
        <v>CÁN BỘ QUẢN LÝ CHẤT LƯỢNG</v>
      </c>
      <c r="B12" s="917"/>
      <c r="C12" s="917"/>
      <c r="D12" s="917"/>
      <c r="E12" s="917"/>
      <c r="F12" s="917"/>
      <c r="G12" s="917"/>
      <c r="H12" s="130"/>
      <c r="I12" s="130"/>
      <c r="J12" s="132"/>
      <c r="K12" s="133"/>
      <c r="L12" s="133"/>
      <c r="M12" s="133"/>
      <c r="N12" s="928" t="s">
        <v>140</v>
      </c>
      <c r="O12" s="928"/>
      <c r="P12" s="928"/>
      <c r="Q12" s="928"/>
      <c r="R12" s="928"/>
      <c r="S12" s="928"/>
    </row>
    <row r="13" spans="1:19" ht="16.8">
      <c r="A13" s="130"/>
      <c r="B13" s="130"/>
      <c r="C13" s="130"/>
      <c r="D13" s="130"/>
      <c r="E13" s="130"/>
      <c r="F13" s="130"/>
      <c r="G13" s="130"/>
      <c r="H13" s="132"/>
      <c r="I13" s="132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1:19" ht="16.8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1:19" ht="16.8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1:19" ht="25.8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1:19" ht="16.8">
      <c r="A17" s="917"/>
      <c r="B17" s="917"/>
      <c r="C17" s="917"/>
      <c r="D17" s="917"/>
      <c r="E17" s="917"/>
      <c r="F17" s="917"/>
      <c r="G17" s="917"/>
      <c r="H17" s="130"/>
      <c r="I17" s="130"/>
      <c r="J17" s="130"/>
      <c r="K17" s="130"/>
      <c r="L17" s="130"/>
      <c r="M17" s="130"/>
      <c r="N17" s="928" t="str">
        <f>THNK_C!L18</f>
        <v>Nguyễn Đình Duy</v>
      </c>
      <c r="O17" s="928"/>
      <c r="P17" s="928"/>
      <c r="Q17" s="928"/>
      <c r="R17" s="928"/>
      <c r="S17" s="928"/>
    </row>
    <row r="18" spans="1:19" ht="16.8">
      <c r="A18" s="130"/>
      <c r="B18" s="130"/>
      <c r="C18" s="131"/>
      <c r="D18" s="131"/>
      <c r="E18" s="131"/>
      <c r="F18" s="131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1:19">
      <c r="A19" s="63"/>
      <c r="B19" s="63"/>
      <c r="C19" s="63"/>
      <c r="D19" s="63"/>
      <c r="E19" s="152"/>
      <c r="J19" s="63"/>
      <c r="K19" s="63"/>
      <c r="L19" s="63"/>
      <c r="M19" s="63"/>
      <c r="N19" s="63"/>
      <c r="O19" s="63"/>
      <c r="P19" s="63"/>
      <c r="Q19" s="63"/>
      <c r="R19" s="63"/>
      <c r="S19" s="63"/>
    </row>
    <row r="20" spans="1:19">
      <c r="A20" s="63"/>
      <c r="B20" s="63"/>
      <c r="C20" s="63"/>
      <c r="D20" s="63"/>
      <c r="J20" s="63"/>
      <c r="K20" s="63"/>
      <c r="L20" s="63"/>
      <c r="M20" s="63"/>
      <c r="N20" s="63"/>
      <c r="O20" s="63"/>
      <c r="P20" s="63"/>
      <c r="Q20" s="63"/>
      <c r="R20" s="63"/>
      <c r="S20" s="63"/>
    </row>
    <row r="21" spans="1:19">
      <c r="A21" s="63"/>
      <c r="B21" s="63"/>
      <c r="C21" s="63"/>
      <c r="D21" s="63"/>
      <c r="J21" s="63"/>
      <c r="K21" s="63"/>
      <c r="L21" s="63"/>
      <c r="M21" s="63"/>
      <c r="N21" s="63"/>
      <c r="O21" s="63"/>
      <c r="P21" s="63"/>
      <c r="Q21" s="63"/>
      <c r="R21" s="63"/>
      <c r="S21" s="63"/>
    </row>
    <row r="22" spans="1:19">
      <c r="A22" s="63"/>
      <c r="B22" s="63"/>
      <c r="C22" s="63"/>
      <c r="D22" s="63"/>
      <c r="J22" s="63"/>
      <c r="K22" s="63"/>
      <c r="L22" s="63"/>
      <c r="M22" s="63"/>
      <c r="N22" s="63"/>
      <c r="O22" s="63"/>
      <c r="P22" s="63"/>
      <c r="Q22" s="63"/>
      <c r="R22" s="63"/>
      <c r="S22" s="63"/>
    </row>
    <row r="23" spans="1:19">
      <c r="A23" s="63"/>
      <c r="B23" s="63"/>
      <c r="C23" s="63"/>
      <c r="D23" s="63"/>
      <c r="J23" s="63"/>
      <c r="K23" s="63"/>
      <c r="L23" s="63"/>
      <c r="M23" s="63"/>
      <c r="N23" s="63"/>
      <c r="O23" s="63"/>
      <c r="P23" s="63"/>
      <c r="Q23" s="63"/>
      <c r="R23" s="63"/>
      <c r="S23" s="63"/>
    </row>
    <row r="24" spans="1:19">
      <c r="A24" s="63"/>
      <c r="B24" s="63"/>
      <c r="C24" s="63"/>
      <c r="D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19">
      <c r="A25" s="63"/>
      <c r="B25" s="63"/>
      <c r="C25" s="63"/>
      <c r="D25" s="63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1:19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1:19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1:19">
      <c r="A28" s="63"/>
      <c r="B28" s="63"/>
      <c r="C28" s="129"/>
      <c r="D28" s="129"/>
      <c r="E28" s="129"/>
      <c r="F28" s="129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30" spans="1:19">
      <c r="C30" s="64"/>
      <c r="D30" s="64"/>
      <c r="E30" s="64"/>
      <c r="F30" s="64"/>
    </row>
  </sheetData>
  <mergeCells count="24">
    <mergeCell ref="A17:G17"/>
    <mergeCell ref="N17:S17"/>
    <mergeCell ref="O5:R5"/>
    <mergeCell ref="S5:S6"/>
    <mergeCell ref="A7:A8"/>
    <mergeCell ref="B7:B8"/>
    <mergeCell ref="A12:G12"/>
    <mergeCell ref="N12:S12"/>
    <mergeCell ref="I5:I6"/>
    <mergeCell ref="J5:J6"/>
    <mergeCell ref="K5:K6"/>
    <mergeCell ref="L5:L6"/>
    <mergeCell ref="M5:M6"/>
    <mergeCell ref="N5:N6"/>
    <mergeCell ref="A1:S1"/>
    <mergeCell ref="A2:S2"/>
    <mergeCell ref="A3:S3"/>
    <mergeCell ref="A5:A6"/>
    <mergeCell ref="B5:B6"/>
    <mergeCell ref="C5:C6"/>
    <mergeCell ref="D5:D6"/>
    <mergeCell ref="E5:F5"/>
    <mergeCell ref="G5:G6"/>
    <mergeCell ref="H5:H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83" orientation="landscape" blackAndWhite="1" r:id="rId1"/>
  <headerFooter>
    <oddFooter>&amp;C&amp;P/&amp;N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R63"/>
  <sheetViews>
    <sheetView topLeftCell="A29" zoomScaleNormal="100" workbookViewId="0">
      <selection activeCell="F49" sqref="F49"/>
    </sheetView>
  </sheetViews>
  <sheetFormatPr defaultColWidth="9" defaultRowHeight="15.6" outlineLevelRow="1" outlineLevelCol="1"/>
  <cols>
    <col min="1" max="1" width="5.69921875" style="12" customWidth="1"/>
    <col min="2" max="2" width="34.69921875" style="12" customWidth="1"/>
    <col min="3" max="3" width="7.8984375" style="12" customWidth="1"/>
    <col min="4" max="4" width="18.09765625" style="12" customWidth="1"/>
    <col min="5" max="5" width="15.59765625" style="12" hidden="1" customWidth="1"/>
    <col min="6" max="6" width="13.3984375" style="12" bestFit="1" customWidth="1"/>
    <col min="7" max="7" width="17.09765625" style="12" customWidth="1"/>
    <col min="8" max="8" width="14.69921875" style="12" hidden="1" customWidth="1"/>
    <col min="9" max="9" width="17.3984375" style="12" customWidth="1"/>
    <col min="10" max="10" width="16.3984375" style="12" customWidth="1"/>
    <col min="11" max="12" width="9" style="12"/>
    <col min="13" max="13" width="33.8984375" style="12" customWidth="1" outlineLevel="1"/>
    <col min="14" max="14" width="12.59765625" style="12" bestFit="1" customWidth="1" outlineLevel="1"/>
    <col min="15" max="15" width="10" style="12" customWidth="1" outlineLevel="1"/>
    <col min="16" max="16" width="9" style="12" customWidth="1" outlineLevel="1"/>
    <col min="17" max="17" width="10" style="12" customWidth="1" outlineLevel="1"/>
    <col min="18" max="18" width="9" style="453"/>
    <col min="19" max="16384" width="9" style="12"/>
  </cols>
  <sheetData>
    <row r="1" spans="1:16" ht="27.75" customHeight="1">
      <c r="A1" s="938" t="s">
        <v>74</v>
      </c>
      <c r="B1" s="938"/>
      <c r="C1" s="938"/>
      <c r="D1" s="938"/>
      <c r="E1" s="938"/>
      <c r="F1" s="938"/>
      <c r="G1" s="938"/>
      <c r="H1" s="938"/>
      <c r="I1" s="938"/>
    </row>
    <row r="2" spans="1:16" ht="31.5" customHeight="1">
      <c r="A2" s="939" t="s">
        <v>0</v>
      </c>
      <c r="B2" s="941" t="s">
        <v>70</v>
      </c>
      <c r="C2" s="943" t="s">
        <v>23</v>
      </c>
      <c r="D2" s="943" t="s">
        <v>22</v>
      </c>
      <c r="E2" s="943"/>
      <c r="F2" s="943" t="s">
        <v>71</v>
      </c>
      <c r="G2" s="943" t="s">
        <v>45</v>
      </c>
      <c r="H2" s="943"/>
      <c r="I2" s="345" t="s">
        <v>19</v>
      </c>
    </row>
    <row r="3" spans="1:16" ht="31.5" customHeight="1">
      <c r="A3" s="940"/>
      <c r="B3" s="942"/>
      <c r="C3" s="944"/>
      <c r="D3" s="346" t="s">
        <v>165</v>
      </c>
      <c r="E3" s="346" t="s">
        <v>164</v>
      </c>
      <c r="F3" s="944"/>
      <c r="G3" s="346" t="s">
        <v>165</v>
      </c>
      <c r="H3" s="346" t="s">
        <v>164</v>
      </c>
      <c r="I3" s="346"/>
    </row>
    <row r="4" spans="1:16" ht="22.5" customHeight="1">
      <c r="A4" s="8" t="s">
        <v>15</v>
      </c>
      <c r="B4" s="347" t="s">
        <v>26</v>
      </c>
      <c r="C4" s="348"/>
      <c r="D4" s="348"/>
      <c r="E4" s="348"/>
      <c r="F4" s="348"/>
      <c r="G4" s="348"/>
      <c r="H4" s="348"/>
      <c r="I4" s="348"/>
    </row>
    <row r="5" spans="1:16" ht="22.5" customHeight="1" outlineLevel="1">
      <c r="A5" s="8" t="s">
        <v>1</v>
      </c>
      <c r="B5" s="347" t="s">
        <v>177</v>
      </c>
      <c r="C5" s="348"/>
      <c r="D5" s="348"/>
      <c r="E5" s="348"/>
      <c r="F5" s="348"/>
      <c r="G5" s="349">
        <f>SUM(G6:G27)</f>
        <v>12540585.619588798</v>
      </c>
      <c r="H5" s="349" t="e">
        <f>SUM(H6:H27)</f>
        <v>#REF!</v>
      </c>
      <c r="I5" s="349">
        <f>'THKP-TC'!E10</f>
        <v>12540586</v>
      </c>
    </row>
    <row r="6" spans="1:16" outlineLevel="1" collapsed="1">
      <c r="A6" s="21">
        <v>1</v>
      </c>
      <c r="B6" s="18" t="str">
        <f>'VL-NC-M'!B81</f>
        <v>Cọc bê tông cốt thép (12x12x120)cm</v>
      </c>
      <c r="C6" s="350" t="str">
        <f>+'VL-NC-M'!E81</f>
        <v>Cái</v>
      </c>
      <c r="D6" s="351">
        <f>+SUMIF('DG Can'!$B$5:$B$145,$B6,'DG Can'!$J$5:$J$145)+SUMIF('DG Nuoc'!$B$7:$B$139,$B6,'DG Nuoc'!$J$7:$J$139)</f>
        <v>15.24</v>
      </c>
      <c r="E6" s="351" t="e">
        <f>SUMIF(#REF!,$B6,#REF!)+SUMIF(#REF!,$B6,#REF!)</f>
        <v>#REF!</v>
      </c>
      <c r="F6" s="352">
        <f>VLOOKUP(B6,'VL-NC-M'!$B$80:$F$102,5,0)</f>
        <v>100000</v>
      </c>
      <c r="G6" s="353">
        <f>+D6*$F6</f>
        <v>1524000</v>
      </c>
      <c r="H6" s="353" t="e">
        <f>+E6*$F6</f>
        <v>#REF!</v>
      </c>
      <c r="I6" s="18"/>
    </row>
    <row r="7" spans="1:16">
      <c r="A7" s="11">
        <f>COUNT($A$5:A6)+1</f>
        <v>2</v>
      </c>
      <c r="B7" s="18" t="str">
        <f>'VL-NC-M'!B82</f>
        <v>Cọc gỗ d = 3cm, L= 50 cm</v>
      </c>
      <c r="C7" s="354" t="str">
        <f>+'VL-NC-M'!E82</f>
        <v>Cái</v>
      </c>
      <c r="D7" s="351">
        <f>+SUMIF('DG Can'!$B$5:$B$145,$B7,'DG Can'!$J$5:$J$145)+SUMIF('DG Nuoc'!$B$7:$B$139,$B7,'DG Nuoc'!$J$7:$J$139)</f>
        <v>253.03999999999996</v>
      </c>
      <c r="E7" s="355" t="e">
        <f>SUMIF(#REF!,$B7,#REF!)+SUMIF(#REF!,$B7,#REF!)</f>
        <v>#REF!</v>
      </c>
      <c r="F7" s="352">
        <f>VLOOKUP(B7,'VL-NC-M'!$B$80:$F$102,5,0)</f>
        <v>8000</v>
      </c>
      <c r="G7" s="356">
        <f t="shared" ref="G7:H33" si="0">+D7*$F7</f>
        <v>2024319.9999999998</v>
      </c>
      <c r="H7" s="356" t="e">
        <f t="shared" si="0"/>
        <v>#REF!</v>
      </c>
      <c r="I7" s="13"/>
    </row>
    <row r="8" spans="1:16" outlineLevel="1">
      <c r="A8" s="11">
        <f>COUNT($A$5:A7)+1</f>
        <v>3</v>
      </c>
      <c r="B8" s="18" t="str">
        <f>'VL-NC-M'!B83</f>
        <v>Cờ đỏ đuôi nheo</v>
      </c>
      <c r="C8" s="354" t="str">
        <f>+'VL-NC-M'!E83</f>
        <v>Cái</v>
      </c>
      <c r="D8" s="351">
        <f>+SUMIF('DG Can'!$B$5:$B$145,$B8,'DG Can'!$J$5:$J$145)+SUMIF('DG Nuoc'!$B$7:$B$139,$B8,'DG Nuoc'!$J$7:$J$139)</f>
        <v>7.62</v>
      </c>
      <c r="E8" s="355" t="e">
        <f>SUMIF(#REF!,$B8,#REF!)+SUMIF(#REF!,$B8,#REF!)</f>
        <v>#REF!</v>
      </c>
      <c r="F8" s="352">
        <f>VLOOKUP(B8,'VL-NC-M'!$B$80:$F$102,5,0)</f>
        <v>2500</v>
      </c>
      <c r="G8" s="356">
        <f t="shared" si="0"/>
        <v>19050</v>
      </c>
      <c r="H8" s="356" t="e">
        <f t="shared" si="0"/>
        <v>#REF!</v>
      </c>
      <c r="I8" s="13"/>
    </row>
    <row r="9" spans="1:16">
      <c r="A9" s="11">
        <f>COUNT($A$5:A8)+1</f>
        <v>4</v>
      </c>
      <c r="B9" s="18" t="str">
        <f>'VL-NC-M'!B84</f>
        <v>Cờ đỏ to ( 40 x 60 ) cm</v>
      </c>
      <c r="C9" s="354" t="str">
        <f>+'VL-NC-M'!E84</f>
        <v>Cái</v>
      </c>
      <c r="D9" s="351">
        <f>+SUMIF('DG Can'!$B$5:$B$145,$B9,'DG Can'!$J$5:$J$145)+SUMIF('DG Nuoc'!$B$7:$B$139,$B9,'DG Nuoc'!$J$7:$J$139)</f>
        <v>2.4699999999999998</v>
      </c>
      <c r="E9" s="355" t="e">
        <f>SUMIF(#REF!,$B9,#REF!)+SUMIF(#REF!,$B9,#REF!)</f>
        <v>#REF!</v>
      </c>
      <c r="F9" s="352">
        <f>VLOOKUP(B9,'VL-NC-M'!$B$80:$F$102,5,0)</f>
        <v>10000</v>
      </c>
      <c r="G9" s="356">
        <f t="shared" si="0"/>
        <v>24699.999999999996</v>
      </c>
      <c r="H9" s="356" t="e">
        <f t="shared" si="0"/>
        <v>#REF!</v>
      </c>
      <c r="I9" s="13"/>
    </row>
    <row r="10" spans="1:16">
      <c r="A10" s="11">
        <f>COUNT($A$5:A9)+1</f>
        <v>5</v>
      </c>
      <c r="B10" s="18" t="str">
        <f>'VL-NC-M'!B85</f>
        <v>Dây thừng 10 mm</v>
      </c>
      <c r="C10" s="354" t="str">
        <f>+'VL-NC-M'!E85</f>
        <v>m</v>
      </c>
      <c r="D10" s="351">
        <f>+SUMIF('DG Can'!$B$5:$B$145,$B10,'DG Can'!$J$5:$J$145)+SUMIF('DG Nuoc'!$B$7:$B$139,$B10,'DG Nuoc'!$J$7:$J$139)</f>
        <v>502.27</v>
      </c>
      <c r="E10" s="355" t="e">
        <f>SUMIF(#REF!,$B10,#REF!)+SUMIF(#REF!,$B10,#REF!)</f>
        <v>#REF!</v>
      </c>
      <c r="F10" s="352">
        <f>VLOOKUP(B10,'VL-NC-M'!$B$80:$F$102,5,0)</f>
        <v>2000</v>
      </c>
      <c r="G10" s="356">
        <f t="shared" si="0"/>
        <v>1004540</v>
      </c>
      <c r="H10" s="356" t="e">
        <f t="shared" si="0"/>
        <v>#REF!</v>
      </c>
      <c r="I10" s="13"/>
    </row>
    <row r="11" spans="1:16" outlineLevel="1">
      <c r="A11" s="11">
        <f>COUNT($A$5:A10)+1</f>
        <v>6</v>
      </c>
      <c r="B11" s="18" t="str">
        <f>'VL-NC-M'!B86</f>
        <v>Cọc tre d=8, L=200 Cm</v>
      </c>
      <c r="C11" s="354" t="str">
        <f>+'VL-NC-M'!E86</f>
        <v>Cái</v>
      </c>
      <c r="D11" s="351">
        <f>+SUMIF('DG Can'!$B$5:$B$145,$B11,'DG Can'!$J$5:$J$145)+SUMIF('DG Nuoc'!$B$7:$B$139,$B11,'DG Nuoc'!$J$7:$J$139)</f>
        <v>4.0040000000000004</v>
      </c>
      <c r="E11" s="355" t="e">
        <f>SUMIF(#REF!,$B11,#REF!)+SUMIF(#REF!,$B11,#REF!)</f>
        <v>#REF!</v>
      </c>
      <c r="F11" s="352">
        <f>VLOOKUP(B11,'VL-NC-M'!$B$80:$F$102,5,0)</f>
        <v>10000</v>
      </c>
      <c r="G11" s="356">
        <f t="shared" si="0"/>
        <v>40040.000000000007</v>
      </c>
      <c r="H11" s="356" t="e">
        <f t="shared" si="0"/>
        <v>#REF!</v>
      </c>
      <c r="I11" s="13"/>
    </row>
    <row r="12" spans="1:16">
      <c r="A12" s="11">
        <f>COUNT($A$5:A10)+1</f>
        <v>6</v>
      </c>
      <c r="B12" s="18" t="str">
        <f>'VL-NC-M'!B87</f>
        <v>Ván gỗ dày 3 Cm</v>
      </c>
      <c r="C12" s="354" t="str">
        <f>+'VL-NC-M'!E87</f>
        <v>m3</v>
      </c>
      <c r="D12" s="351">
        <f>+SUMIF('DG Can'!$B$5:$B$145,$B12,'DG Can'!$J$5:$J$145)+SUMIF('DG Nuoc'!$B$7:$B$139,$B12,'DG Nuoc'!$J$7:$J$139)</f>
        <v>8.0079999999999998E-2</v>
      </c>
      <c r="E12" s="355" t="e">
        <f>SUMIF(#REF!,$B12,#REF!)+SUMIF(#REF!,$B12,#REF!)</f>
        <v>#REF!</v>
      </c>
      <c r="F12" s="352">
        <f>VLOOKUP(B12,'VL-NC-M'!$B$80:$F$102,5,0)</f>
        <v>3363636</v>
      </c>
      <c r="G12" s="356">
        <f t="shared" si="0"/>
        <v>269359.97087999998</v>
      </c>
      <c r="H12" s="356" t="e">
        <f t="shared" si="0"/>
        <v>#REF!</v>
      </c>
      <c r="I12" s="13"/>
    </row>
    <row r="13" spans="1:16">
      <c r="A13" s="11">
        <f>COUNT($A$5:A12)</f>
        <v>7</v>
      </c>
      <c r="B13" s="18" t="str">
        <f>'VL-NC-M'!B88</f>
        <v>Đinh 10 cm</v>
      </c>
      <c r="C13" s="354" t="str">
        <f>+'VL-NC-M'!E88</f>
        <v>Kg</v>
      </c>
      <c r="D13" s="351">
        <f>+SUMIF('DG Can'!$B$5:$B$145,$B13,'DG Can'!$J$5:$J$145)+SUMIF('DG Nuoc'!$B$7:$B$139,$B13,'DG Nuoc'!$J$7:$J$139)</f>
        <v>3.0029999999999997</v>
      </c>
      <c r="E13" s="355" t="e">
        <f>SUMIF(#REF!,$B13,#REF!)+SUMIF(#REF!,$B13,#REF!)</f>
        <v>#REF!</v>
      </c>
      <c r="F13" s="352">
        <f>VLOOKUP(B13,'VL-NC-M'!$B$80:$F$102,5,0)</f>
        <v>23100</v>
      </c>
      <c r="G13" s="356">
        <f t="shared" si="0"/>
        <v>69369.299999999988</v>
      </c>
      <c r="H13" s="356" t="e">
        <f t="shared" si="0"/>
        <v>#REF!</v>
      </c>
      <c r="I13" s="13"/>
    </row>
    <row r="14" spans="1:16" outlineLevel="1">
      <c r="A14" s="11">
        <f>COUNT($A$5:A13)</f>
        <v>8</v>
      </c>
      <c r="B14" s="18" t="str">
        <f>'VL-NC-M'!B89</f>
        <v>Đinh 2 mỏ</v>
      </c>
      <c r="C14" s="354" t="str">
        <f>+'VL-NC-M'!E89</f>
        <v>Cái</v>
      </c>
      <c r="D14" s="351">
        <f>+SUMIF('DG Can'!$B$5:$B$145,$B14,'DG Can'!$J$5:$J$145)+SUMIF('DG Nuoc'!$B$7:$B$139,$B14,'DG Nuoc'!$J$7:$J$139)</f>
        <v>0</v>
      </c>
      <c r="E14" s="355" t="e">
        <f>SUMIF(#REF!,$B14,#REF!)+SUMIF(#REF!,$B14,#REF!)</f>
        <v>#REF!</v>
      </c>
      <c r="F14" s="352">
        <f>VLOOKUP(B14,'VL-NC-M'!$B$80:$F$102,5,0)</f>
        <v>6000</v>
      </c>
      <c r="G14" s="356">
        <f t="shared" si="0"/>
        <v>0</v>
      </c>
      <c r="H14" s="356" t="e">
        <f t="shared" si="0"/>
        <v>#REF!</v>
      </c>
      <c r="I14" s="13"/>
    </row>
    <row r="15" spans="1:16" ht="21.75" customHeight="1" outlineLevel="1">
      <c r="A15" s="11">
        <f>COUNT($A$5:A14)</f>
        <v>9</v>
      </c>
      <c r="B15" s="18" t="str">
        <f>'VL-NC-M'!B90</f>
        <v>Dây thép buộc 2 ly</v>
      </c>
      <c r="C15" s="354" t="str">
        <f>+'VL-NC-M'!E90</f>
        <v>Kg</v>
      </c>
      <c r="D15" s="351">
        <f>+SUMIF('DG Can'!$B$5:$B$145,$B15,'DG Can'!$J$5:$J$145)+SUMIF('DG Nuoc'!$B$7:$B$139,$B15,'DG Nuoc'!$J$7:$J$139)</f>
        <v>0</v>
      </c>
      <c r="E15" s="355" t="e">
        <f>SUMIF(#REF!,$B15,#REF!)+SUMIF(#REF!,$B15,#REF!)</f>
        <v>#REF!</v>
      </c>
      <c r="F15" s="352">
        <f>VLOOKUP(B15,'VL-NC-M'!$B$80:$F$102,5,0)</f>
        <v>18500</v>
      </c>
      <c r="G15" s="356">
        <f t="shared" si="0"/>
        <v>0</v>
      </c>
      <c r="H15" s="356" t="e">
        <f t="shared" si="0"/>
        <v>#REF!</v>
      </c>
      <c r="I15" s="13"/>
      <c r="M15" s="934" t="s">
        <v>190</v>
      </c>
      <c r="N15" s="935"/>
      <c r="O15" s="935"/>
      <c r="P15" s="22"/>
    </row>
    <row r="16" spans="1:16" outlineLevel="1">
      <c r="A16" s="11">
        <f>COUNT($A$5:A15)</f>
        <v>10</v>
      </c>
      <c r="B16" s="18" t="str">
        <f>'VL-NC-M'!B91</f>
        <v>Sào tre d=7, L=500 Cm</v>
      </c>
      <c r="C16" s="354" t="str">
        <f>+'VL-NC-M'!E91</f>
        <v>Cái</v>
      </c>
      <c r="D16" s="351">
        <f>+SUMIF('DG Can'!$B$5:$B$145,$B16,'DG Can'!$J$5:$J$145)+SUMIF('DG Nuoc'!$B$7:$B$139,$B16,'DG Nuoc'!$J$7:$J$139)</f>
        <v>0</v>
      </c>
      <c r="E16" s="355" t="e">
        <f>SUMIF(#REF!,$B16,#REF!)+SUMIF(#REF!,$B16,#REF!)</f>
        <v>#REF!</v>
      </c>
      <c r="F16" s="352">
        <f>VLOOKUP(B16,'VL-NC-M'!$B$80:$F$102,5,0)</f>
        <v>10000</v>
      </c>
      <c r="G16" s="356">
        <f t="shared" si="0"/>
        <v>0</v>
      </c>
      <c r="H16" s="356" t="e">
        <f t="shared" si="0"/>
        <v>#REF!</v>
      </c>
      <c r="I16" s="13"/>
      <c r="N16" s="12" t="s">
        <v>77</v>
      </c>
      <c r="O16" s="12" t="s">
        <v>78</v>
      </c>
    </row>
    <row r="17" spans="1:17" outlineLevel="1">
      <c r="A17" s="11">
        <f>COUNT($A$5:A16)+1</f>
        <v>12</v>
      </c>
      <c r="B17" s="18" t="str">
        <f>'VL-NC-M'!B92</f>
        <v>Mỏ neo loại 50 kg</v>
      </c>
      <c r="C17" s="354" t="str">
        <f>+'VL-NC-M'!E92</f>
        <v>Cái</v>
      </c>
      <c r="D17" s="351">
        <f>+SUMIF('DG Can'!$B$5:$B$145,$B17,'DG Can'!$J$5:$J$145)+SUMIF('DG Nuoc'!$B$7:$B$139,$B17,'DG Nuoc'!$J$7:$J$139)</f>
        <v>0.42336000000000001</v>
      </c>
      <c r="E17" s="355" t="e">
        <f>SUMIF(#REF!,$B17,#REF!)+SUMIF(#REF!,$B17,#REF!)</f>
        <v>#REF!</v>
      </c>
      <c r="F17" s="352">
        <f>VLOOKUP(B17,'VL-NC-M'!$B$80:$F$102,5,0)</f>
        <v>500000</v>
      </c>
      <c r="G17" s="356">
        <f t="shared" si="0"/>
        <v>211680</v>
      </c>
      <c r="H17" s="356" t="e">
        <f t="shared" si="0"/>
        <v>#REF!</v>
      </c>
      <c r="I17" s="13"/>
    </row>
    <row r="18" spans="1:17" outlineLevel="1">
      <c r="A18" s="11">
        <f>COUNT($A$5:A17)+1</f>
        <v>13</v>
      </c>
      <c r="B18" s="18" t="str">
        <f>'VL-NC-M'!B93</f>
        <v>Mỏ neo loại 20 kg</v>
      </c>
      <c r="C18" s="354" t="str">
        <f>+'VL-NC-M'!E93</f>
        <v>Cái</v>
      </c>
      <c r="D18" s="351">
        <f>+SUMIF('DG Can'!$B$5:$B$145,$B18,'DG Can'!$J$5:$J$145)+SUMIF('DG Nuoc'!$B$7:$B$139,$B18,'DG Nuoc'!$J$7:$J$139)</f>
        <v>0.84672000000000003</v>
      </c>
      <c r="E18" s="355" t="e">
        <f>SUMIF(#REF!,$B18,#REF!)+SUMIF(#REF!,$B18,#REF!)</f>
        <v>#REF!</v>
      </c>
      <c r="F18" s="352">
        <f>VLOOKUP(B18,'VL-NC-M'!$B$80:$F$102,5,0)</f>
        <v>200000</v>
      </c>
      <c r="G18" s="356">
        <f t="shared" si="0"/>
        <v>169344</v>
      </c>
      <c r="H18" s="356" t="e">
        <f t="shared" si="0"/>
        <v>#REF!</v>
      </c>
      <c r="I18" s="13"/>
    </row>
    <row r="19" spans="1:17" outlineLevel="1">
      <c r="A19" s="11">
        <f>COUNT($A$5:A18)+1</f>
        <v>14</v>
      </c>
      <c r="B19" s="18" t="str">
        <f>'VL-NC-M'!B94</f>
        <v>Mỏ neo đặc biệt loại 20kg</v>
      </c>
      <c r="C19" s="354" t="str">
        <f>+'VL-NC-M'!E94</f>
        <v>Cái</v>
      </c>
      <c r="D19" s="351">
        <f>+SUMIF('DG Can'!$B$5:$B$145,$B19,'DG Can'!$J$5:$J$145)+SUMIF('DG Nuoc'!$B$7:$B$139,$B19,'DG Nuoc'!$J$7:$J$139)</f>
        <v>0.28200000000000003</v>
      </c>
      <c r="E19" s="355" t="e">
        <f>SUMIF(#REF!,$B19,#REF!)+SUMIF(#REF!,$B19,#REF!)</f>
        <v>#REF!</v>
      </c>
      <c r="F19" s="352">
        <f>VLOOKUP(B19,'VL-NC-M'!$B$80:$F$102,5,0)</f>
        <v>300000</v>
      </c>
      <c r="G19" s="356">
        <f t="shared" si="0"/>
        <v>84600.000000000015</v>
      </c>
      <c r="H19" s="356" t="e">
        <f t="shared" si="0"/>
        <v>#REF!</v>
      </c>
      <c r="I19" s="13"/>
    </row>
    <row r="20" spans="1:17" outlineLevel="1">
      <c r="A20" s="11">
        <f>COUNT($A$5:A19)+1</f>
        <v>15</v>
      </c>
      <c r="B20" s="18" t="str">
        <f>'VL-NC-M'!B95</f>
        <v>Phao lớn 1m3</v>
      </c>
      <c r="C20" s="354" t="str">
        <f>+'VL-NC-M'!E95</f>
        <v>Cái</v>
      </c>
      <c r="D20" s="351">
        <f>+SUMIF('DG Can'!$B$5:$B$145,$B20,'DG Can'!$J$5:$J$145)+SUMIF('DG Nuoc'!$B$7:$B$139,$B20,'DG Nuoc'!$J$7:$J$139)</f>
        <v>4.2336</v>
      </c>
      <c r="E20" s="355" t="e">
        <f>SUMIF(#REF!,$B20,#REF!)+SUMIF(#REF!,$B20,#REF!)</f>
        <v>#REF!</v>
      </c>
      <c r="F20" s="352">
        <f>VLOOKUP(B20,'VL-NC-M'!$B$80:$F$102,5,0)</f>
        <v>100000</v>
      </c>
      <c r="G20" s="356">
        <f t="shared" si="0"/>
        <v>423360</v>
      </c>
      <c r="H20" s="356" t="e">
        <f t="shared" si="0"/>
        <v>#REF!</v>
      </c>
      <c r="I20" s="13"/>
    </row>
    <row r="21" spans="1:17" outlineLevel="1">
      <c r="A21" s="11">
        <f>COUNT($A$5:A20)+1</f>
        <v>16</v>
      </c>
      <c r="B21" s="18" t="str">
        <f>'VL-NC-M'!B96</f>
        <v>Phao nhựa tròn phi 30 cm</v>
      </c>
      <c r="C21" s="354" t="str">
        <f>+'VL-NC-M'!E96</f>
        <v>Cái</v>
      </c>
      <c r="D21" s="351">
        <f>+SUMIF('DG Can'!$B$5:$B$145,$B21,'DG Can'!$J$5:$J$145)+SUMIF('DG Nuoc'!$B$7:$B$139,$B21,'DG Nuoc'!$J$7:$J$139)</f>
        <v>9.447000000000001</v>
      </c>
      <c r="E21" s="355" t="e">
        <f>SUMIF(#REF!,$B21,#REF!)+SUMIF(#REF!,$B21,#REF!)</f>
        <v>#REF!</v>
      </c>
      <c r="F21" s="352">
        <f>VLOOKUP(B21,'VL-NC-M'!$B$80:$F$102,5,0)</f>
        <v>50000</v>
      </c>
      <c r="G21" s="356">
        <f t="shared" si="0"/>
        <v>472350.00000000006</v>
      </c>
      <c r="H21" s="356" t="e">
        <f t="shared" si="0"/>
        <v>#REF!</v>
      </c>
      <c r="I21" s="13"/>
    </row>
    <row r="22" spans="1:17" outlineLevel="1">
      <c r="A22" s="11">
        <f>COUNT($A$5:A21)+1</f>
        <v>17</v>
      </c>
      <c r="B22" s="18" t="str">
        <f>'VL-NC-M'!B97</f>
        <v>Phao nhỏ phi 12 cm</v>
      </c>
      <c r="C22" s="354" t="str">
        <f>+'VL-NC-M'!E97</f>
        <v>Cái</v>
      </c>
      <c r="D22" s="351">
        <f>+SUMIF('DG Can'!$B$5:$B$145,$B22,'DG Can'!$J$5:$J$145)+SUMIF('DG Nuoc'!$B$7:$B$139,$B22,'DG Nuoc'!$J$7:$J$139)</f>
        <v>52.92</v>
      </c>
      <c r="E22" s="355" t="e">
        <f>SUMIF(#REF!,$B22,#REF!)+SUMIF(#REF!,$B22,#REF!)</f>
        <v>#REF!</v>
      </c>
      <c r="F22" s="352">
        <f>VLOOKUP(B22,'VL-NC-M'!$B$80:$F$102,5,0)</f>
        <v>10000</v>
      </c>
      <c r="G22" s="356">
        <f t="shared" si="0"/>
        <v>529200</v>
      </c>
      <c r="H22" s="356" t="e">
        <f t="shared" si="0"/>
        <v>#REF!</v>
      </c>
      <c r="I22" s="13"/>
    </row>
    <row r="23" spans="1:17" outlineLevel="1">
      <c r="A23" s="11">
        <f>COUNT($A$5:A22)+1</f>
        <v>18</v>
      </c>
      <c r="B23" s="18" t="str">
        <f>'VL-NC-M'!B98</f>
        <v>Dây Nilon phi 10mm</v>
      </c>
      <c r="C23" s="354" t="str">
        <f>+'VL-NC-M'!E98</f>
        <v>m</v>
      </c>
      <c r="D23" s="351">
        <f>+SUMIF('DG Can'!$B$5:$B$145,$B23,'DG Can'!$J$5:$J$145)+SUMIF('DG Nuoc'!$B$7:$B$139,$B23,'DG Nuoc'!$J$7:$J$139)</f>
        <v>2087.4</v>
      </c>
      <c r="E23" s="355" t="e">
        <f>SUMIF(#REF!,$B23,#REF!)+SUMIF(#REF!,$B23,#REF!)</f>
        <v>#REF!</v>
      </c>
      <c r="F23" s="352">
        <f>VLOOKUP(B23,'VL-NC-M'!$B$80:$F$102,5,0)</f>
        <v>2000</v>
      </c>
      <c r="G23" s="356">
        <f t="shared" si="0"/>
        <v>4174800</v>
      </c>
      <c r="H23" s="356" t="e">
        <f t="shared" si="0"/>
        <v>#REF!</v>
      </c>
      <c r="I23" s="13"/>
    </row>
    <row r="24" spans="1:17" outlineLevel="1">
      <c r="A24" s="11">
        <f>COUNT($A$5:A23)+1</f>
        <v>19</v>
      </c>
      <c r="B24" s="18" t="str">
        <f>'VL-NC-M'!B99</f>
        <v>Dây Nilon phi 12mm</v>
      </c>
      <c r="C24" s="354" t="str">
        <f>+'VL-NC-M'!E99</f>
        <v>m</v>
      </c>
      <c r="D24" s="351">
        <f>+SUMIF('DG Can'!$B$5:$B$145,$B24,'DG Can'!$J$5:$J$145)+SUMIF('DG Nuoc'!$B$7:$B$139,$B24,'DG Nuoc'!$J$7:$J$139)</f>
        <v>128.4</v>
      </c>
      <c r="E24" s="355" t="e">
        <f>SUMIF(#REF!,$B24,#REF!)+SUMIF(#REF!,$B24,#REF!)</f>
        <v>#REF!</v>
      </c>
      <c r="F24" s="352">
        <f>VLOOKUP(B24,'VL-NC-M'!$B$80:$F$102,5,0)</f>
        <v>2500</v>
      </c>
      <c r="G24" s="356">
        <f t="shared" si="0"/>
        <v>321000</v>
      </c>
      <c r="H24" s="356" t="e">
        <f t="shared" si="0"/>
        <v>#REF!</v>
      </c>
      <c r="I24" s="13"/>
    </row>
    <row r="25" spans="1:17" outlineLevel="1">
      <c r="A25" s="11">
        <f>COUNT($A$5:A24)+1</f>
        <v>20</v>
      </c>
      <c r="B25" s="18" t="str">
        <f>'VL-NC-M'!B100</f>
        <v>Dây Nilon phi 18mm</v>
      </c>
      <c r="C25" s="354" t="str">
        <f>+'VL-NC-M'!E100</f>
        <v>m</v>
      </c>
      <c r="D25" s="351">
        <f>+SUMIF('DG Can'!$B$5:$B$145,$B25,'DG Can'!$J$5:$J$145)+SUMIF('DG Nuoc'!$B$7:$B$139,$B25,'DG Nuoc'!$J$7:$J$139)</f>
        <v>114.30720000000002</v>
      </c>
      <c r="E25" s="355" t="e">
        <f>SUMIF(#REF!,$B25,#REF!)+SUMIF(#REF!,$B25,#REF!)</f>
        <v>#REF!</v>
      </c>
      <c r="F25" s="352">
        <f>VLOOKUP(B25,'VL-NC-M'!$B$80:$F$102,5,0)</f>
        <v>3000</v>
      </c>
      <c r="G25" s="356">
        <f t="shared" si="0"/>
        <v>342921.60000000009</v>
      </c>
      <c r="H25" s="356" t="e">
        <f t="shared" si="0"/>
        <v>#REF!</v>
      </c>
      <c r="I25" s="13"/>
    </row>
    <row r="26" spans="1:17" outlineLevel="1">
      <c r="A26" s="11">
        <f>COUNT($A$5:A25)+1</f>
        <v>21</v>
      </c>
      <c r="B26" s="18" t="str">
        <f>'VL-NC-M'!B101</f>
        <v>Khung gia công bằng tôn 3mm và sắt góc (45x45)mm</v>
      </c>
      <c r="C26" s="354" t="str">
        <f>+'VL-NC-M'!E101</f>
        <v>Kg</v>
      </c>
      <c r="D26" s="351">
        <f>+SUMIF('DG Can'!$B$5:$B$145,$B26,'DG Can'!$J$5:$J$145)+SUMIF('DG Nuoc'!$B$7:$B$139,$B26,'DG Nuoc'!$J$7:$J$139)</f>
        <v>24.32</v>
      </c>
      <c r="E26" s="355" t="e">
        <f>SUMIF(#REF!,$B26,#REF!)+SUMIF(#REF!,$B26,#REF!)</f>
        <v>#REF!</v>
      </c>
      <c r="F26" s="352">
        <f>VLOOKUP(B26,'VL-NC-M'!$B$80:$F$102,5,0)</f>
        <v>22000</v>
      </c>
      <c r="G26" s="356">
        <f t="shared" si="0"/>
        <v>535040</v>
      </c>
      <c r="H26" s="356" t="e">
        <f t="shared" si="0"/>
        <v>#REF!</v>
      </c>
      <c r="I26" s="13"/>
      <c r="M26" s="936" t="s">
        <v>361</v>
      </c>
      <c r="N26" s="936"/>
      <c r="O26" s="936"/>
      <c r="P26" s="936"/>
    </row>
    <row r="27" spans="1:17" ht="22.5" customHeight="1">
      <c r="A27" s="71">
        <f>A16+1</f>
        <v>11</v>
      </c>
      <c r="B27" s="17" t="s">
        <v>63</v>
      </c>
      <c r="C27" s="357"/>
      <c r="D27" s="351">
        <f>+SUMIF('DG Can'!$B$5:$B$145,$B27,'DG Can'!$J$5:$J$145)+SUMIF('DG Nuoc'!$B$7:$B$139,$B27,'DG Nuoc'!$J$7:$J$139)</f>
        <v>300910.74870880001</v>
      </c>
      <c r="E27" s="362" t="e">
        <f>SUMIF(#REF!,$B27,#REF!)+SUMIF(#REF!,$B27,#REF!)</f>
        <v>#REF!</v>
      </c>
      <c r="F27" s="358">
        <v>1</v>
      </c>
      <c r="G27" s="359">
        <f t="shared" si="0"/>
        <v>300910.74870880001</v>
      </c>
      <c r="H27" s="359" t="e">
        <f t="shared" si="0"/>
        <v>#REF!</v>
      </c>
      <c r="I27" s="17"/>
      <c r="M27" s="389" t="s">
        <v>362</v>
      </c>
      <c r="N27" s="389" t="s">
        <v>77</v>
      </c>
      <c r="O27" s="390" t="s">
        <v>78</v>
      </c>
      <c r="P27" s="390" t="s">
        <v>79</v>
      </c>
    </row>
    <row r="28" spans="1:17">
      <c r="A28" s="8" t="s">
        <v>2</v>
      </c>
      <c r="B28" s="347" t="s">
        <v>25</v>
      </c>
      <c r="C28" s="74"/>
      <c r="D28" s="372">
        <f>SUM(D29:D31)</f>
        <v>540.48658000000012</v>
      </c>
      <c r="E28" s="373"/>
      <c r="F28" s="364"/>
      <c r="G28" s="360">
        <f>SUM(G29:G31)</f>
        <v>268414820.10000005</v>
      </c>
      <c r="H28" s="374"/>
      <c r="I28" s="349">
        <f>'THKP-TC'!E11</f>
        <v>268414820</v>
      </c>
      <c r="M28" s="391" t="s">
        <v>188</v>
      </c>
      <c r="N28" s="392">
        <f>SUM(N29:N31)</f>
        <v>250.03290000000004</v>
      </c>
      <c r="O28" s="392">
        <f>SUM(O29:O31)</f>
        <v>290.45368000000008</v>
      </c>
      <c r="P28" s="392"/>
    </row>
    <row r="29" spans="1:17" outlineLevel="1">
      <c r="A29" s="21">
        <v>1</v>
      </c>
      <c r="B29" s="73" t="s">
        <v>115</v>
      </c>
      <c r="C29" s="72" t="s">
        <v>44</v>
      </c>
      <c r="D29" s="351">
        <f>+SUMIF('DG Can'!$B$5:$B$145,$B29,'DG Can'!$J$5:$J$145)+SUMIF('DG Nuoc'!$B$7:$B$139,$B29,'DG Nuoc'!$J$7:$J$139)</f>
        <v>0</v>
      </c>
      <c r="E29" s="351"/>
      <c r="F29" s="375">
        <f>'VL-NC-M'!F7</f>
        <v>450000</v>
      </c>
      <c r="G29" s="353">
        <f t="shared" si="0"/>
        <v>0</v>
      </c>
      <c r="H29" s="353"/>
      <c r="I29" s="18"/>
      <c r="M29" s="393"/>
      <c r="N29" s="394">
        <f>D29-O29</f>
        <v>0</v>
      </c>
      <c r="O29" s="395">
        <f>SUMIF('DG Nuoc'!$B$7:$B$139,$B29,'DG Nuoc'!$J$7:$J$139)</f>
        <v>0</v>
      </c>
      <c r="P29" s="395"/>
    </row>
    <row r="30" spans="1:17">
      <c r="A30" s="11">
        <v>2</v>
      </c>
      <c r="B30" s="69" t="s">
        <v>60</v>
      </c>
      <c r="C30" s="70" t="s">
        <v>44</v>
      </c>
      <c r="D30" s="351">
        <f>+SUMIF('DG Can'!$B$5:$B$145,$B30,'DG Can'!$J$5:$J$145)+SUMIF('DG Nuoc'!$B$7:$B$139,$B30,'DG Nuoc'!$J$7:$J$139)</f>
        <v>501.64378000000011</v>
      </c>
      <c r="E30" s="355"/>
      <c r="F30" s="361">
        <f>'VL-NC-M'!F11</f>
        <v>495000</v>
      </c>
      <c r="G30" s="356">
        <f t="shared" si="0"/>
        <v>248313671.10000005</v>
      </c>
      <c r="H30" s="356"/>
      <c r="I30" s="13"/>
      <c r="M30" s="396"/>
      <c r="N30" s="397">
        <f t="shared" ref="N30:N31" si="1">D30-O30</f>
        <v>211.19010000000003</v>
      </c>
      <c r="O30" s="398">
        <f>SUMIF('DG Nuoc'!$B$7:$B$139,$B30,'DG Nuoc'!$J$7:$J$139)</f>
        <v>290.45368000000008</v>
      </c>
      <c r="P30" s="398"/>
    </row>
    <row r="31" spans="1:17">
      <c r="A31" s="71">
        <v>3</v>
      </c>
      <c r="B31" s="75" t="s">
        <v>64</v>
      </c>
      <c r="C31" s="76" t="s">
        <v>44</v>
      </c>
      <c r="D31" s="351">
        <f>+SUMIF('DG Can'!$B$5:$B$145,$B31,'DG Can'!$J$5:$J$145)+SUMIF('DG Nuoc'!$B$7:$B$139,$B31,'DG Nuoc'!$J$7:$J$139)</f>
        <v>38.842799999999997</v>
      </c>
      <c r="E31" s="362"/>
      <c r="F31" s="363">
        <f>'VL-NC-M'!F15</f>
        <v>517500</v>
      </c>
      <c r="G31" s="359">
        <f t="shared" si="0"/>
        <v>20101149</v>
      </c>
      <c r="H31" s="359"/>
      <c r="I31" s="17"/>
      <c r="M31" s="399"/>
      <c r="N31" s="400">
        <f t="shared" si="1"/>
        <v>38.842799999999997</v>
      </c>
      <c r="O31" s="401">
        <f>SUMIF('DG Nuoc'!$B$7:$B$139,$B31,'DG Nuoc'!$J$7:$J$139)</f>
        <v>0</v>
      </c>
      <c r="P31" s="401"/>
    </row>
    <row r="32" spans="1:17" ht="24.6" customHeight="1">
      <c r="A32" s="8" t="s">
        <v>3</v>
      </c>
      <c r="B32" s="347" t="s">
        <v>61</v>
      </c>
      <c r="C32" s="9"/>
      <c r="D32" s="372"/>
      <c r="E32" s="373"/>
      <c r="F32" s="364"/>
      <c r="G32" s="349">
        <f>SUM(G33:G41)</f>
        <v>558195620.98722005</v>
      </c>
      <c r="H32" s="374"/>
      <c r="I32" s="349">
        <f>'THKP-TC'!E12</f>
        <v>558860046</v>
      </c>
      <c r="J32" s="12" t="s">
        <v>187</v>
      </c>
      <c r="K32" s="12" t="s">
        <v>79</v>
      </c>
      <c r="M32" s="391" t="s">
        <v>189</v>
      </c>
      <c r="N32" s="392">
        <f>SUM(N33:N41)</f>
        <v>59.588860000000004</v>
      </c>
      <c r="O32" s="392">
        <f>SUM(O33:O41)</f>
        <v>866.27970000000005</v>
      </c>
      <c r="P32" s="392"/>
      <c r="Q32" s="77"/>
    </row>
    <row r="33" spans="1:17" outlineLevel="1">
      <c r="A33" s="107">
        <v>1</v>
      </c>
      <c r="B33" s="127" t="s">
        <v>65</v>
      </c>
      <c r="C33" s="107" t="s">
        <v>13</v>
      </c>
      <c r="D33" s="365">
        <f>+SUMIF('DG Can'!$B$5:$B$145,$B33,'DG Can'!$J$5:$J$145)+SUMIF('DG Nuoc'!$B$7:$B$139,$B33,'DG Nuoc'!$J$7:$J$139)</f>
        <v>47.819700000000005</v>
      </c>
      <c r="E33" s="365"/>
      <c r="F33" s="366">
        <f>VLOOKUP(B33,'VL-NC-M'!$B$23:$F$77,5,0)</f>
        <v>762996</v>
      </c>
      <c r="G33" s="367">
        <f t="shared" si="0"/>
        <v>36486239.821200006</v>
      </c>
      <c r="H33" s="367"/>
      <c r="I33" s="127"/>
      <c r="J33" s="12">
        <v>1</v>
      </c>
      <c r="K33" s="12">
        <f>D33*J33</f>
        <v>47.819700000000005</v>
      </c>
      <c r="M33" s="393"/>
      <c r="N33" s="395">
        <f>K33</f>
        <v>47.819700000000005</v>
      </c>
      <c r="O33" s="395"/>
      <c r="P33" s="395"/>
      <c r="Q33" s="77"/>
    </row>
    <row r="34" spans="1:17">
      <c r="A34" s="11">
        <f>+A33+1</f>
        <v>2</v>
      </c>
      <c r="B34" s="13" t="s">
        <v>47</v>
      </c>
      <c r="C34" s="11" t="s">
        <v>13</v>
      </c>
      <c r="D34" s="355">
        <f>+SUMIF('DG Can'!$B$5:$B$145,$B34,'DG Can'!$J$5:$J$145)+SUMIF('DG Nuoc'!$B$7:$B$139,$B34,'DG Nuoc'!$J$7:$J$139)</f>
        <v>11.769159999999999</v>
      </c>
      <c r="E34" s="355"/>
      <c r="F34" s="361">
        <f>VLOOKUP(B34,'VL-NC-M'!$B$23:$F$77,5,0)</f>
        <v>1070324</v>
      </c>
      <c r="G34" s="356">
        <f>+D34*$F34</f>
        <v>12596814.407839999</v>
      </c>
      <c r="H34" s="356"/>
      <c r="I34" s="13"/>
      <c r="J34" s="12">
        <v>1</v>
      </c>
      <c r="K34" s="12">
        <f>D34*J34</f>
        <v>11.769159999999999</v>
      </c>
      <c r="M34" s="396"/>
      <c r="N34" s="398">
        <f>K34</f>
        <v>11.769159999999999</v>
      </c>
      <c r="O34" s="398"/>
      <c r="P34" s="398"/>
    </row>
    <row r="35" spans="1:17">
      <c r="A35" s="11">
        <v>3</v>
      </c>
      <c r="B35" s="13" t="s">
        <v>99</v>
      </c>
      <c r="C35" s="11" t="s">
        <v>13</v>
      </c>
      <c r="D35" s="355">
        <f>+SUMIF('DG Can'!$B$5:$B$145,$B35,'DG Can'!$J$5:$J$145)+SUMIF('DG Nuoc'!$B$7:$B$139,$B35,'DG Nuoc'!$J$7:$J$139)</f>
        <v>105.59164</v>
      </c>
      <c r="E35" s="355"/>
      <c r="F35" s="361">
        <f>VLOOKUP(B35,'VL-NC-M'!$B$23:$F$77,5,0)</f>
        <v>1587824</v>
      </c>
      <c r="G35" s="356">
        <f t="shared" ref="G35:G41" si="2">+D35*$F35</f>
        <v>167660940.19136</v>
      </c>
      <c r="H35" s="356"/>
      <c r="I35" s="13"/>
      <c r="J35" s="12">
        <v>2</v>
      </c>
      <c r="K35" s="12">
        <f t="shared" ref="K35:K41" si="3">D35*J35</f>
        <v>211.18328</v>
      </c>
      <c r="M35" s="396"/>
      <c r="N35" s="398"/>
      <c r="O35" s="398">
        <f>K35</f>
        <v>211.18328</v>
      </c>
      <c r="P35" s="398"/>
    </row>
    <row r="36" spans="1:17">
      <c r="A36" s="11">
        <v>4</v>
      </c>
      <c r="B36" s="13" t="s">
        <v>101</v>
      </c>
      <c r="C36" s="11" t="s">
        <v>13</v>
      </c>
      <c r="D36" s="355">
        <f>+SUMIF('DG Can'!$B$5:$B$145,$B36,'DG Can'!$J$5:$J$145)+SUMIF('DG Nuoc'!$B$7:$B$139,$B36,'DG Nuoc'!$J$7:$J$139)</f>
        <v>202.49768</v>
      </c>
      <c r="E36" s="355"/>
      <c r="F36" s="361">
        <f>VLOOKUP(B36,'VL-NC-M'!$B$23:$F$77,5,0)</f>
        <v>518226</v>
      </c>
      <c r="G36" s="356">
        <f t="shared" si="2"/>
        <v>104939562.71568</v>
      </c>
      <c r="H36" s="356"/>
      <c r="I36" s="13"/>
      <c r="J36" s="12">
        <v>1</v>
      </c>
      <c r="K36" s="12">
        <f t="shared" si="3"/>
        <v>202.49768</v>
      </c>
      <c r="M36" s="396"/>
      <c r="N36" s="398"/>
      <c r="O36" s="398">
        <f t="shared" ref="O36:O41" si="4">K36</f>
        <v>202.49768</v>
      </c>
      <c r="P36" s="398"/>
    </row>
    <row r="37" spans="1:17">
      <c r="A37" s="11">
        <v>5</v>
      </c>
      <c r="B37" s="13" t="s">
        <v>100</v>
      </c>
      <c r="C37" s="11" t="s">
        <v>13</v>
      </c>
      <c r="D37" s="355">
        <f>+SUMIF('DG Can'!$B$5:$B$145,$B37,'DG Can'!$J$5:$J$145)+SUMIF('DG Nuoc'!$B$7:$B$139,$B37,'DG Nuoc'!$J$7:$J$139)</f>
        <v>103.54344</v>
      </c>
      <c r="E37" s="355"/>
      <c r="F37" s="361">
        <f>VLOOKUP(B37,'VL-NC-M'!$B$23:$F$77,5,0)</f>
        <v>554101</v>
      </c>
      <c r="G37" s="356">
        <f t="shared" si="2"/>
        <v>57373523.647440001</v>
      </c>
      <c r="H37" s="356"/>
      <c r="I37" s="13"/>
      <c r="J37" s="12">
        <v>1</v>
      </c>
      <c r="K37" s="12">
        <f t="shared" si="3"/>
        <v>103.54344</v>
      </c>
      <c r="M37" s="396"/>
      <c r="N37" s="398"/>
      <c r="O37" s="398">
        <f t="shared" si="4"/>
        <v>103.54344</v>
      </c>
      <c r="P37" s="398"/>
    </row>
    <row r="38" spans="1:17">
      <c r="A38" s="11">
        <v>6</v>
      </c>
      <c r="B38" s="211" t="s">
        <v>104</v>
      </c>
      <c r="C38" s="11" t="s">
        <v>13</v>
      </c>
      <c r="D38" s="355">
        <f>+SUMIF('DG Can'!$B$5:$B$145,$B38,'DG Can'!$J$5:$J$145)+SUMIF('DG Nuoc'!$B$7:$B$139,$B38,'DG Nuoc'!$J$7:$J$139)</f>
        <v>143.72325000000001</v>
      </c>
      <c r="E38" s="355"/>
      <c r="F38" s="361">
        <f>VLOOKUP(B38,'VL-NC-M'!$B$23:$F$77,5,0)</f>
        <v>995354</v>
      </c>
      <c r="G38" s="356">
        <f t="shared" si="2"/>
        <v>143055511.78049999</v>
      </c>
      <c r="H38" s="356"/>
      <c r="I38" s="13"/>
      <c r="J38" s="12">
        <v>2</v>
      </c>
      <c r="K38" s="12">
        <f t="shared" si="3"/>
        <v>287.44650000000001</v>
      </c>
      <c r="M38" s="396"/>
      <c r="N38" s="398"/>
      <c r="O38" s="398">
        <f t="shared" si="4"/>
        <v>287.44650000000001</v>
      </c>
      <c r="P38" s="398"/>
    </row>
    <row r="39" spans="1:17">
      <c r="A39" s="11">
        <v>7</v>
      </c>
      <c r="B39" s="13" t="s">
        <v>113</v>
      </c>
      <c r="C39" s="11" t="s">
        <v>13</v>
      </c>
      <c r="D39" s="355">
        <f>+SUMIF('DG Can'!$B$5:$B$145,$B39,'DG Can'!$J$5:$J$145)+SUMIF('DG Nuoc'!$B$7:$B$139,$B39,'DG Nuoc'!$J$7:$J$139)</f>
        <v>1.1000000000000001</v>
      </c>
      <c r="E39" s="355"/>
      <c r="F39" s="361">
        <f>VLOOKUP(B39,'VL-NC-M'!$B$23:$F$77,5,0)</f>
        <v>2946909</v>
      </c>
      <c r="G39" s="356">
        <f t="shared" si="2"/>
        <v>3241599.9000000004</v>
      </c>
      <c r="H39" s="356"/>
      <c r="I39" s="13"/>
      <c r="J39" s="12">
        <v>2</v>
      </c>
      <c r="K39" s="12">
        <f t="shared" si="3"/>
        <v>2.2000000000000002</v>
      </c>
      <c r="M39" s="396"/>
      <c r="N39" s="398"/>
      <c r="O39" s="398">
        <f t="shared" si="4"/>
        <v>2.2000000000000002</v>
      </c>
      <c r="P39" s="398"/>
    </row>
    <row r="40" spans="1:17">
      <c r="A40" s="117">
        <v>8</v>
      </c>
      <c r="B40" s="606" t="s">
        <v>114</v>
      </c>
      <c r="C40" s="117" t="s">
        <v>13</v>
      </c>
      <c r="D40" s="368">
        <f>+SUMIF('DG Can'!$B$5:$B$145,$B40,'DG Can'!$J$5:$J$145)+SUMIF('DG Nuoc'!$B$7:$B$139,$B40,'DG Nuoc'!$J$7:$J$139)</f>
        <v>0.29040000000000005</v>
      </c>
      <c r="E40" s="368"/>
      <c r="F40" s="369">
        <f>VLOOKUP(B40,'VL-NC-M'!$B$23:$F$77,5,0)</f>
        <v>1108263</v>
      </c>
      <c r="G40" s="370">
        <f t="shared" si="2"/>
        <v>321839.57520000008</v>
      </c>
      <c r="H40" s="370"/>
      <c r="I40" s="128"/>
      <c r="J40" s="12">
        <v>2</v>
      </c>
      <c r="K40" s="12">
        <f t="shared" si="3"/>
        <v>0.58080000000000009</v>
      </c>
      <c r="M40" s="396"/>
      <c r="N40" s="398"/>
      <c r="O40" s="398">
        <f t="shared" si="4"/>
        <v>0.58080000000000009</v>
      </c>
      <c r="P40" s="398"/>
    </row>
    <row r="41" spans="1:17">
      <c r="A41" s="11">
        <v>8</v>
      </c>
      <c r="B41" s="13" t="s">
        <v>110</v>
      </c>
      <c r="C41" s="11" t="s">
        <v>13</v>
      </c>
      <c r="D41" s="355">
        <f>+SUMIF('DG Can'!$B$5:$B$145,$B41,'DG Can'!$J$5:$J$145)+SUMIF('DG Nuoc'!$B$7:$B$139,$B41,'DG Nuoc'!$J$7:$J$139)</f>
        <v>29.414000000000005</v>
      </c>
      <c r="E41" s="355"/>
      <c r="F41" s="361">
        <f>VLOOKUP(B41,'VL-NC-M'!$B$23:$F$77,5,0)</f>
        <v>1105582</v>
      </c>
      <c r="G41" s="356">
        <f t="shared" si="2"/>
        <v>32519588.948000006</v>
      </c>
      <c r="H41" s="356"/>
      <c r="I41" s="13"/>
      <c r="J41" s="12">
        <v>2</v>
      </c>
      <c r="K41" s="12">
        <f t="shared" si="3"/>
        <v>58.82800000000001</v>
      </c>
      <c r="M41" s="399"/>
      <c r="N41" s="401"/>
      <c r="O41" s="401">
        <f t="shared" si="4"/>
        <v>58.82800000000001</v>
      </c>
      <c r="P41" s="401"/>
    </row>
    <row r="42" spans="1:17" ht="30" customHeight="1">
      <c r="A42" s="10"/>
      <c r="B42" s="10" t="s">
        <v>50</v>
      </c>
      <c r="C42" s="10"/>
      <c r="D42" s="8" t="s">
        <v>10</v>
      </c>
      <c r="E42" s="8"/>
      <c r="F42" s="9" t="s">
        <v>51</v>
      </c>
      <c r="G42" s="371">
        <f>G5+G28+G32</f>
        <v>839151026.70680892</v>
      </c>
      <c r="H42" s="371" t="e">
        <f>+H5+#REF!+#REF!</f>
        <v>#REF!</v>
      </c>
      <c r="I42" s="15"/>
      <c r="M42" s="390" t="s">
        <v>363</v>
      </c>
      <c r="N42" s="392">
        <f>N28+N32</f>
        <v>309.62176000000005</v>
      </c>
      <c r="O42" s="392">
        <f>O28+O32</f>
        <v>1156.7333800000001</v>
      </c>
      <c r="P42" s="392">
        <f>N42+O42</f>
        <v>1466.3551400000001</v>
      </c>
      <c r="Q42" s="12">
        <f>P42*40%</f>
        <v>586.54205600000012</v>
      </c>
    </row>
    <row r="43" spans="1:17" ht="18">
      <c r="A43" s="15"/>
      <c r="B43" s="10" t="s">
        <v>75</v>
      </c>
      <c r="C43" s="10"/>
      <c r="D43" s="16"/>
      <c r="E43" s="16"/>
      <c r="F43" s="8"/>
      <c r="G43" s="371">
        <f>'THKP-TC'!E13</f>
        <v>839815452</v>
      </c>
      <c r="H43" s="371" t="e">
        <f>SUM(#REF!)</f>
        <v>#REF!</v>
      </c>
      <c r="I43" s="15"/>
      <c r="M43" s="15" t="s">
        <v>364</v>
      </c>
      <c r="N43" s="15">
        <v>10</v>
      </c>
      <c r="O43" s="15">
        <v>40</v>
      </c>
      <c r="P43" s="15"/>
      <c r="Q43" s="15">
        <v>40</v>
      </c>
    </row>
    <row r="44" spans="1:17" ht="18">
      <c r="A44" s="15"/>
      <c r="B44" s="10" t="s">
        <v>76</v>
      </c>
      <c r="C44" s="10"/>
      <c r="D44" s="234"/>
      <c r="E44" s="16"/>
      <c r="F44" s="8"/>
      <c r="G44" s="371">
        <f>+G42-G43</f>
        <v>-664425.29319107533</v>
      </c>
      <c r="H44" s="234" t="e">
        <f>#REF!+#REF!+#REF!+#REF!</f>
        <v>#REF!</v>
      </c>
      <c r="I44" s="10" t="str">
        <f>IF(ROUND(G44,0)=0,"PT chuẩn","Kiểm tra lại")</f>
        <v>Kiểm tra lại</v>
      </c>
      <c r="M44" s="15" t="s">
        <v>232</v>
      </c>
      <c r="N44" s="402">
        <f>N42/N43/N45</f>
        <v>1.7201208888888893</v>
      </c>
      <c r="O44" s="402">
        <f>O42/O43/O45</f>
        <v>1.257318891304348</v>
      </c>
      <c r="P44" s="402">
        <f>N44+O44</f>
        <v>2.9774397801932375</v>
      </c>
      <c r="Q44" s="402">
        <f>Q42/Q43/Q45</f>
        <v>0.81464174444444459</v>
      </c>
    </row>
    <row r="45" spans="1:17">
      <c r="D45" s="234"/>
      <c r="H45" s="234" t="e">
        <f>#REF!+#REF!+#REF!+#REF!</f>
        <v>#REF!</v>
      </c>
      <c r="M45" s="15" t="s">
        <v>365</v>
      </c>
      <c r="N45" s="15">
        <v>18</v>
      </c>
      <c r="O45" s="15">
        <v>23</v>
      </c>
      <c r="P45" s="15"/>
      <c r="Q45" s="15">
        <v>18</v>
      </c>
    </row>
    <row r="46" spans="1:17">
      <c r="M46" s="937" t="s">
        <v>373</v>
      </c>
      <c r="N46" s="937"/>
      <c r="O46" s="937"/>
      <c r="P46" s="937"/>
    </row>
    <row r="50" spans="13:17">
      <c r="N50" s="12">
        <f>'Gia DT TC'!D13</f>
        <v>3.81</v>
      </c>
      <c r="O50" s="12">
        <f>'Gia DT TC'!D20</f>
        <v>6.65</v>
      </c>
    </row>
    <row r="51" spans="13:17">
      <c r="N51" s="12">
        <f>+N50/0.2/20</f>
        <v>0.95250000000000001</v>
      </c>
    </row>
    <row r="52" spans="13:17" ht="16.2">
      <c r="M52" s="403" t="s">
        <v>173</v>
      </c>
      <c r="N52" s="619">
        <f>'Gia DT TC'!D13*10^4</f>
        <v>38100</v>
      </c>
      <c r="O52" s="404">
        <f>'Gia DT TC'!D20*10^4</f>
        <v>66500</v>
      </c>
      <c r="P52" s="15"/>
      <c r="Q52" s="404">
        <f>O52+N52</f>
        <v>104600</v>
      </c>
    </row>
    <row r="53" spans="13:17">
      <c r="M53" s="15" t="s">
        <v>433</v>
      </c>
      <c r="N53" s="405">
        <f>N52/N43/N44</f>
        <v>2214.9606022522444</v>
      </c>
      <c r="O53" s="405">
        <f>O52/O43/O44</f>
        <v>1322.25802976309</v>
      </c>
      <c r="P53" s="15"/>
      <c r="Q53" s="404" t="s">
        <v>356</v>
      </c>
    </row>
    <row r="54" spans="13:17">
      <c r="M54" s="15" t="s">
        <v>233</v>
      </c>
      <c r="N54" s="406">
        <f>ROUNDUP(N53,-2)</f>
        <v>2300</v>
      </c>
      <c r="O54" s="406">
        <f>ROUNDUP(O53,-2)</f>
        <v>1400</v>
      </c>
      <c r="P54" s="15"/>
      <c r="Q54" s="15"/>
    </row>
    <row r="55" spans="13:17">
      <c r="M55" s="15"/>
      <c r="N55" s="15"/>
      <c r="O55" s="15"/>
      <c r="P55" s="15"/>
      <c r="Q55" s="15"/>
    </row>
    <row r="56" spans="13:17">
      <c r="M56" s="15"/>
      <c r="N56" s="15"/>
      <c r="O56" s="15"/>
      <c r="P56" s="15">
        <f>P52/0.25/14</f>
        <v>0</v>
      </c>
      <c r="Q56" s="15"/>
    </row>
    <row r="57" spans="13:17">
      <c r="M57" s="407" t="s">
        <v>315</v>
      </c>
      <c r="N57" s="15"/>
      <c r="O57" s="15" t="s">
        <v>234</v>
      </c>
      <c r="P57" s="15"/>
      <c r="Q57" s="15"/>
    </row>
    <row r="58" spans="13:17">
      <c r="M58" s="15"/>
      <c r="N58" s="15"/>
      <c r="O58" s="15"/>
      <c r="P58" s="15"/>
      <c r="Q58" s="408"/>
    </row>
    <row r="59" spans="13:17">
      <c r="M59" s="15"/>
      <c r="N59" s="15"/>
      <c r="O59" s="15"/>
      <c r="P59" s="15"/>
      <c r="Q59" s="15"/>
    </row>
    <row r="60" spans="13:17">
      <c r="N60" s="620">
        <f>N52/N54/20</f>
        <v>0.82826086956521738</v>
      </c>
    </row>
    <row r="62" spans="13:17">
      <c r="N62" s="78">
        <f>-N52/N54</f>
        <v>-16.565217391304348</v>
      </c>
    </row>
    <row r="63" spans="13:17">
      <c r="N63" s="78">
        <f>N50/4</f>
        <v>0.95250000000000001</v>
      </c>
    </row>
  </sheetData>
  <mergeCells count="10">
    <mergeCell ref="M15:O15"/>
    <mergeCell ref="M26:P26"/>
    <mergeCell ref="M46:P46"/>
    <mergeCell ref="A1:I1"/>
    <mergeCell ref="A2:A3"/>
    <mergeCell ref="B2:B3"/>
    <mergeCell ref="C2:C3"/>
    <mergeCell ref="D2:E2"/>
    <mergeCell ref="F2:F3"/>
    <mergeCell ref="G2:H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PL01</vt:lpstr>
      <vt:lpstr>THKL</vt:lpstr>
      <vt:lpstr>DosauHLAT</vt:lpstr>
      <vt:lpstr>KLCT1</vt:lpstr>
      <vt:lpstr>Tracuu</vt:lpstr>
      <vt:lpstr>THKP-TC</vt:lpstr>
      <vt:lpstr>Sheet2</vt:lpstr>
      <vt:lpstr>Gia DT TC</vt:lpstr>
      <vt:lpstr>DG Can</vt:lpstr>
      <vt:lpstr>DG Nuoc</vt:lpstr>
      <vt:lpstr>VL-NC-M</vt:lpstr>
      <vt:lpstr>ChiPhi</vt:lpstr>
      <vt:lpstr>THNK_C</vt:lpstr>
      <vt:lpstr>Thoi gian</vt:lpstr>
      <vt:lpstr>THNK_N</vt:lpstr>
      <vt:lpstr>PTVT</vt:lpstr>
      <vt:lpstr>'PL01'!Km_2</vt:lpstr>
      <vt:lpstr>'DG Can'!Print_Area</vt:lpstr>
      <vt:lpstr>'DG Nuoc'!Print_Area</vt:lpstr>
      <vt:lpstr>'Gia DT TC'!Print_Area</vt:lpstr>
      <vt:lpstr>KLCT1!Print_Area</vt:lpstr>
      <vt:lpstr>'PL01'!Print_Area</vt:lpstr>
      <vt:lpstr>THKL!Print_Area</vt:lpstr>
      <vt:lpstr>'THKP-TC'!Print_Area</vt:lpstr>
      <vt:lpstr>THNK_C!Print_Area</vt:lpstr>
      <vt:lpstr>'VL-NC-M'!Print_Area</vt:lpstr>
      <vt:lpstr>'Gia DT TC'!Print_Titles</vt:lpstr>
      <vt:lpstr>'PL01'!Print_Titles</vt:lpstr>
      <vt:lpstr>THNK_C!Print_Titles</vt:lpstr>
    </vt:vector>
  </TitlesOfParts>
  <Company>Lung 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 PC</dc:creator>
  <cp:keywords>q</cp:keywords>
  <dc:description>Dự toán RPBM Trà Phương 3_L1</dc:description>
  <cp:lastModifiedBy>Hoàng Hưng</cp:lastModifiedBy>
  <cp:lastPrinted>2025-11-05T08:22:10Z</cp:lastPrinted>
  <dcterms:created xsi:type="dcterms:W3CDTF">1999-02-27T23:22:08Z</dcterms:created>
  <dcterms:modified xsi:type="dcterms:W3CDTF">2026-08-03T14:49:39Z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2023-09-21T04:02:11Z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122838e2-b9e3-4c2e-8144-42b5c22f491d</vt:lpwstr>
  </property>
  <property fmtid="{D5CDD505-2E9C-101B-9397-08002B2CF9AE}" pid="7" name="MSIP_Label_defa4170-0d19-0005-0004-bc88714345d2_ActionId">
    <vt:lpwstr>9bc3809c-1207-4468-90d0-456d05b50165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bLoaidutoan">
    <vt:lpwstr>1</vt:lpwstr>
  </property>
  <property fmtid="{D5CDD505-2E9C-101B-9397-08002B2CF9AE}" pid="10" name="cbLoaidiahinh">
    <vt:lpwstr>3</vt:lpwstr>
  </property>
  <property fmtid="{D5CDD505-2E9C-101B-9397-08002B2CF9AE}" pid="11" name="TTBMVN.ProjectProfile.Manifest">
    <vt:lpwstr>1|676e5940a86f48d68a9d3c8737e5f629|8|E03E66CB307F1CE6896FC32AEB142D40804F4423E76F0BD46C34DB2E72BB01C3</vt:lpwstr>
  </property>
  <property fmtid="{D5CDD505-2E9C-101B-9397-08002B2CF9AE}" pid="12" name="TTBMVN.PriceProfile.Part.4fddd3b4fffe45e6b4c638ab6bcb62e8.0000">
    <vt:lpwstr>TTBMVN_PRICE_PROFILE
schema=1
profileId=VEVTVC1EVDEwMy1QUklDRS1CQVNFTElORQ==
dataVersion=MS4wLjA=
displayName=TmhhcCB0dSBEVC00MDYtd29ya2luZy1jb3B5Lnhsc20=
location=SGEgTm9p
valuationDate=2026-08-03
laborAudience=2
createdAtUtc=2026-08-03T12</vt:lpwstr>
  </property>
  <property fmtid="{D5CDD505-2E9C-101B-9397-08002B2CF9AE}" pid="13" name="TTBMVN.PriceProfile.Part.4fddd3b4fffe45e6b4c638ab6bcb62e8.0001">
    <vt:lpwstr>:36:59.1093208Z
entryCount=34
entry.0.code=TEFCLVFOQ04tNQ==
entry.0.kind=2
entry.0.name=TmjDom4gY8O0bmcgdGjhu6MgYuG6rWMgNS8xMA==
entry.0.unit=d29ya2VyLWRheQ==
entry.0.basePrice=450000
entry.0.sourceDate=2026-08-03
entry.0.sourceKind=2
entry</vt:lpwstr>
  </property>
  <property fmtid="{D5CDD505-2E9C-101B-9397-08002B2CF9AE}" pid="14" name="TTBMVN.PriceProfile.Part.4fddd3b4fffe45e6b4c638ab6bcb62e8.0002">
    <vt:lpwstr>.0.sourceReference=V29ya2Jvb2s6U2hlZXQyMCFGNw==
entry.0.legacyLookupName=TmjDom4gY8O0bmcgdGjhu6MgYuG6rWMgNS8xMA==
entry.0.aliasCount=1
entry.0.alias.0=YmFjLTUtMTA=
entry.1.code=TEFCLVFOQ04tNw==
entry.1.kind=2
entry.1.name=TmjDom4gY8O0bmcgdG</vt:lpwstr>
  </property>
  <property fmtid="{D5CDD505-2E9C-101B-9397-08002B2CF9AE}" pid="15" name="TTBMVN.PriceProfile.Part.4fddd3b4fffe45e6b4c638ab6bcb62e8.0003">
    <vt:lpwstr>jhu6MgYuG6rWMgNy8xMA==
entry.1.unit=d29ya2VyLWRheQ==
entry.1.basePrice=495000
entry.1.sourceDate=2026-08-03
entry.1.sourceKind=2
entry.1.sourceReference=V29ya2Jvb2s6U2hlZXQyMCFGMTE=
entry.1.legacyLookupName=TmjDom4gY8O0bmcgdGjhu6MgYuG6rWMgN</vt:lpwstr>
  </property>
  <property fmtid="{D5CDD505-2E9C-101B-9397-08002B2CF9AE}" pid="16" name="TTBMVN.PriceProfile.Part.4fddd3b4fffe45e6b4c638ab6bcb62e8.0004">
    <vt:lpwstr>y8xMA==
entry.1.aliasCount=1
entry.1.alias.0=YmFjLTctMTA=
entry.2.code=TEFCLVFOQ04tOA==
entry.2.kind=2
entry.2.name=TmjDom4gY8O0bmcgdGjhu6MgYuG6rWMgOC8xMA==
entry.2.unit=d29ya2VyLWRheQ==
entry.2.basePrice=517500
entry.2.sourceDate=2026-08-0</vt:lpwstr>
  </property>
  <property fmtid="{D5CDD505-2E9C-101B-9397-08002B2CF9AE}" pid="17" name="TTBMVN.PriceProfile.Part.4fddd3b4fffe45e6b4c638ab6bcb62e8.0005">
    <vt:lpwstr>3
entry.2.sourceKind=2
entry.2.sourceReference=V29ya2Jvb2s6U2hlZXQyMCFGMTU=
entry.2.legacyLookupName=TmjDom4gY8O0bmcgdGjhu6MgYuG6rWMgOC8xMA==
entry.2.aliasCount=1
entry.2.alias.0=YmFjLTgtMTA=
entry.3.code=TEVHQUNZLU1BVC1OQUlMLVRXTy1QUk9ORy1</vt:lpwstr>
  </property>
  <property fmtid="{D5CDD505-2E9C-101B-9397-08002B2CF9AE}" pid="18" name="TTBMVN.PriceProfile.Part.4fddd3b4fffe45e6b4c638ab6bcb62e8.0006">
    <vt:lpwstr>FQUNI
entry.3.kind=1
entry.3.name=xJBpbmggMiBt4buP
entry.3.unit=ZWFjaA==
entry.3.basePrice=6000
entry.3.sourceDate=2026-08-03
entry.3.sourceKind=2
entry.3.sourceReference=V29ya2Jvb2s6U2hlZXQyMCFGODk=
entry.3.legacyLookupName=xJBpbmggMiBt4bu</vt:lpwstr>
  </property>
  <property fmtid="{D5CDD505-2E9C-101B-9397-08002B2CF9AE}" pid="19" name="TTBMVN.PriceProfile.Part.4fddd3b4fffe45e6b4c638ab6bcb62e8.0007">
    <vt:lpwstr>P
entry.3.aliasCount=0
entry.4.code=TEVHQUNZLU1BVC1OWUxPTi1ST1BFLTEwTU0=
entry.4.kind=1
entry.4.name=RMOieSBOaWxvbiBwaGkgMTBtbQ==
entry.4.unit=bQ==
entry.4.basePrice=2000
entry.4.sourceDate=2026-08-03
entry.4.sourceKind=2
entry.4.sourceRefe</vt:lpwstr>
  </property>
  <property fmtid="{D5CDD505-2E9C-101B-9397-08002B2CF9AE}" pid="20" name="TTBMVN.PriceProfile.Part.4fddd3b4fffe45e6b4c638ab6bcb62e8.0008">
    <vt:lpwstr>rence=V29ya2Jvb2s6U2hlZXQyMCFGOTg=
entry.4.legacyLookupName=RMOieSBOaWxvbiBwaGkgMTBtbQ==
entry.4.aliasCount=0
entry.5.code=TUFDSElORS1NMDEwLjAwMQ==
entry.5.kind=5
entry.5.name=TcOheSBkw7IgbcOsbg==
entry.5.unit=c2hpZnQ=
entry.5.basePrice=762</vt:lpwstr>
  </property>
  <property fmtid="{D5CDD505-2E9C-101B-9397-08002B2CF9AE}" pid="21" name="TTBMVN.PriceProfile.Part.4fddd3b4fffe45e6b4c638ab6bcb62e8.0009">
    <vt:lpwstr>996
entry.5.sourceDate=2026-08-03
entry.5.sourceKind=2
entry.5.sourceReference=V29ya2Jvb2s6U2hlZXQyMCFGMjM=
entry.5.legacyLookupName=TcOheSBkw7IgbcOsbg==
entry.5.aliasCount=2
entry.5.alias.0=TTAxMC4wMDE=
entry.5.alias.1=TTAxMS4wMDE=
entry.6</vt:lpwstr>
  </property>
  <property fmtid="{D5CDD505-2E9C-101B-9397-08002B2CF9AE}" pid="22" name="TTBMVN.PriceProfile.Part.4fddd3b4fffe45e6b4c638ab6bcb62e8.0010">
    <vt:lpwstr>.code=TUFDSElORS1NMDEwLjAwMg==
entry.6.kind=5
entry.6.name=TcOheSBkw7IgYm9tIHRyw6puIGPhuqFu
entry.6.unit=c2hpZnQ=
entry.6.basePrice=1070324
entry.6.sourceDate=2026-08-03
entry.6.sourceKind=2
entry.6.sourceReference=V29ya2Jvb2s6U2hlZXQyMCFGM</vt:lpwstr>
  </property>
  <property fmtid="{D5CDD505-2E9C-101B-9397-08002B2CF9AE}" pid="23" name="TTBMVN.PriceProfile.Part.4fddd3b4fffe45e6b4c638ab6bcb62e8.0011">
    <vt:lpwstr>jk=
entry.6.legacyLookupName=TcOheSBkw7IgYm9tIHRyw6puIGPhuqFu
entry.6.aliasCount=2
entry.6.alias.0=TTAxMC4wMDI=
entry.6.alias.1=TTAxMS4wMDI=
entry.7.code=TUFDSElORS1NMDEwLjAwOA==
entry.7.kind=5
entry.7.name=TcOheSBkw7IgYm9tIGTGsOG7m2kgbsaw4</vt:lpwstr>
  </property>
  <property fmtid="{D5CDD505-2E9C-101B-9397-08002B2CF9AE}" pid="24" name="TTBMVN.PriceProfile.Part.4fddd3b4fffe45e6b4c638ab6bcb62e8.0012">
    <vt:lpwstr>bubYw==
entry.7.unit=c2hpZnQ=
entry.7.basePrice=1587824
entry.7.sourceDate=2026-08-03
entry.7.sourceKind=2
entry.7.sourceReference=V29ya2Jvb2s6U2hlZXQyMCFGMzU=
entry.7.legacyLookupName=TcOheSBkw7IgYm9tIGTGsOG7m2kgbsaw4bubYw==
entry.7.aliasC</vt:lpwstr>
  </property>
  <property fmtid="{D5CDD505-2E9C-101B-9397-08002B2CF9AE}" pid="25" name="TTBMVN.PriceProfile.Part.4fddd3b4fffe45e6b4c638ab6bcb62e8.0013">
    <vt:lpwstr>ount=2
entry.7.alias.0=TTAxMC4wMDg=
entry.7.alias.1=TTAxMS4wMDg=
entry.8.code=TUFDSElORS1NMDEwLjAwOQ==
entry.8.kind=5
entry.8.name=VGh1eeG7gW4gY2FvIHN1IHRp4buDdQ==
entry.8.unit=c2hpZnQ=
entry.8.basePrice=518226
entry.8.sourceDate=2026-08-03</vt:lpwstr>
  </property>
  <property fmtid="{D5CDD505-2E9C-101B-9397-08002B2CF9AE}" pid="26" name="TTBMVN.PriceProfile.Part.4fddd3b4fffe45e6b4c638ab6bcb62e8.0014">
    <vt:lpwstr>
entry.8.sourceKind=2
entry.8.sourceReference=V29ya2Jvb2s6U2hlZXQyMCFGNDE=
entry.8.legacyLookupName=VGh1eeG7gW4gY2FvIHN1IHRp4buDdQ==
entry.8.aliasCount=2
entry.8.alias.0=TTAxMC4wMDk=
entry.8.alias.1=TTAxMS4wMDk=
entry.9.code=TUFDSElORS1NMDE</vt:lpwstr>
  </property>
  <property fmtid="{D5CDD505-2E9C-101B-9397-08002B2CF9AE}" pid="27" name="TTBMVN.PriceProfile.Part.4fddd3b4fffe45e6b4c638ab6bcb62e8.0015">
    <vt:lpwstr>wLjAxMA==
entry.9.kind=5
entry.9.name=VGh1eeG7gW4gY2FvIHN1IHRydW5n
entry.9.unit=c2hpZnQ=
entry.9.basePrice=554101
entry.9.sourceDate=2026-08-03
entry.9.sourceKind=2
entry.9.sourceReference=V29ya2Jvb2s6U2hlZXQyMCFGNDY=
entry.9.legacyLookupNa</vt:lpwstr>
  </property>
  <property fmtid="{D5CDD505-2E9C-101B-9397-08002B2CF9AE}" pid="28" name="TTBMVN.PriceProfile.Part.4fddd3b4fffe45e6b4c638ab6bcb62e8.0016">
    <vt:lpwstr>me=VGh1eeG7gW4gY2FvIHN1IHRydW5n
entry.9.aliasCount=2
entry.9.alias.0=TTAxMC4wMTA=
entry.9.alias.1=TTAxMS4wMTA=
entry.10.code=TUFDSElORS1NMDEwLjAyMw==
entry.10.kind=5
entry.10.name=VGhp4bq/dCBi4buLIHPDs2kgdsOgIGjDunQgYsO5biBjw6F0
entry.10.un</vt:lpwstr>
  </property>
  <property fmtid="{D5CDD505-2E9C-101B-9397-08002B2CF9AE}" pid="29" name="TTBMVN.PriceProfile.Part.4fddd3b4fffe45e6b4c638ab6bcb62e8.0017">
    <vt:lpwstr>it=c2hpZnQ=
entry.10.basePrice=2946909
entry.10.sourceDate=2026-08-03
entry.10.sourceKind=2
entry.10.sourceReference=V29ya2Jvb2s6U2hlZXQyMCFGNTY=
entry.10.legacyLookupName=VGhp4bq/dCBi4buLIHPDs2kgdsOgIGjDunQgYsO5biBjw6F0
entry.10.aliasCount</vt:lpwstr>
  </property>
  <property fmtid="{D5CDD505-2E9C-101B-9397-08002B2CF9AE}" pid="30" name="TTBMVN.PriceProfile.Part.4fddd3b4fffe45e6b4c638ab6bcb62e8.0018">
    <vt:lpwstr>=2
entry.10.alias.0=TTAxMC4wMjM=
entry.10.alias.1=TTAxMS4wMjM=
entry.11.code=TUFDSElORS1NMDEwLjAyNw==
entry.11.kind=5
entry.11.name=VGh1eeG7gW4gQ29tcG9zaXQ=
entry.11.unit=c2hpZnQ=
entry.11.basePrice=995354
entry.11.sourceDate=2026-08-03
ent</vt:lpwstr>
  </property>
  <property fmtid="{D5CDD505-2E9C-101B-9397-08002B2CF9AE}" pid="31" name="TTBMVN.PriceProfile.Part.4fddd3b4fffe45e6b4c638ab6bcb62e8.0019">
    <vt:lpwstr>ry.11.sourceKind=2
entry.11.sourceReference=V29ya2Jvb2s6U2hlZXQyMCFGNTE=
entry.11.legacyLookupName=VGh1eeG7gW4gQ29tcG9zaXQ=
entry.11.aliasCount=2
entry.11.alias.0=TTAxMC4wMjc=
entry.11.alias.1=TTAxMS4wMjc=
entry.12.code=TUFDSElORS1NMDEwLjAy</vt:lpwstr>
  </property>
  <property fmtid="{D5CDD505-2E9C-101B-9397-08002B2CF9AE}" pid="32" name="TTBMVN.PriceProfile.Part.4fddd3b4fffe45e6b4c638ab6bcb62e8.0020">
    <vt:lpwstr>OQ==
entry.12.kind=5
entry.12.name=VGhp4bq/dCBi4buLIGzhurduIHPDonUgMCw1bSAtIDNt
entry.12.unit=c2hpZnQ=
entry.12.basePrice=1105582
entry.12.sourceDate=2026-08-03
entry.12.sourceKind=2
entry.12.sourceReference=V29ya2Jvb2s6U2hlZXQyMCFGNjI=
ent</vt:lpwstr>
  </property>
  <property fmtid="{D5CDD505-2E9C-101B-9397-08002B2CF9AE}" pid="33" name="TTBMVN.PriceProfile.Part.4fddd3b4fffe45e6b4c638ab6bcb62e8.0021">
    <vt:lpwstr>ry.12.legacyLookupName=VGhp4bq/dCBi4buLIGzhurduIHPDonUgMCw1bSAtIDNt
entry.12.aliasCount=2
entry.12.alias.0=TTAxMC4wMjk=
entry.12.alias.1=TTAxMS4wMjk=
entry.13.code=TUFDSElORS1NMDEwLjAzMA==
entry.13.kind=5
entry.13.name=VGhp4bq/dCBi4buLIGzhu</vt:lpwstr>
  </property>
  <property fmtid="{D5CDD505-2E9C-101B-9397-08002B2CF9AE}" pid="34" name="TTBMVN.PriceProfile.Part.4fddd3b4fffe45e6b4c638ab6bcb62e8.0022">
    <vt:lpwstr>rduIHPDonUgM20gLSA2bQ==
entry.13.unit=c2hpZnQ=
entry.13.basePrice=1108263
entry.13.sourceDate=2026-08-03
entry.13.sourceKind=2
entry.13.sourceReference=V29ya2Jvb2s6U2hlZXQyMCFGNjc=
entry.13.legacyLookupName=VGhp4bq/dCBi4buLIGzhurduIHPDonUgM</vt:lpwstr>
  </property>
  <property fmtid="{D5CDD505-2E9C-101B-9397-08002B2CF9AE}" pid="35" name="TTBMVN.PriceProfile.Part.4fddd3b4fffe45e6b4c638ab6bcb62e8.0023">
    <vt:lpwstr>20gLSA2bQ==
entry.13.aliasCount=2
entry.13.alias.0=TTAxMC4wMzA=
entry.13.alias.1=TTAxMS4wMzA=
entry.14.code=TUFDSElORS1NMDEwLjAzMQ==
entry.14.kind=5
entry.14.name=VGhp4bq/dCBi4buLIGzhurduIHPDonUgNm0gLSAxMm0=
entry.14.unit=c2hpZnQ=
entry.14.</vt:lpwstr>
  </property>
  <property fmtid="{D5CDD505-2E9C-101B-9397-08002B2CF9AE}" pid="36" name="TTBMVN.PriceProfile.Part.4fddd3b4fffe45e6b4c638ab6bcb62e8.0024">
    <vt:lpwstr>basePrice=1112914
entry.14.sourceDate=2026-08-03
entry.14.sourceKind=2
entry.14.sourceReference=V29ya2Jvb2s6U2hlZXQyMCFGNzI=
entry.14.legacyLookupName=VGhp4bq/dCBi4buLIGzhurduIHPDonUgNm0gLSAxMm0=
entry.14.aliasCount=2
entry.14.alias.0=TTAxM</vt:lpwstr>
  </property>
  <property fmtid="{D5CDD505-2E9C-101B-9397-08002B2CF9AE}" pid="37" name="TTBMVN.PriceProfile.Part.4fddd3b4fffe45e6b4c638ab6bcb62e8.0025">
    <vt:lpwstr>C4wMzE=
entry.14.alias.1=TTAxMS4wMzE=
entry.15.code=TUFULUFOQ0hPUi0yMEtH
entry.15.kind=1
entry.15.name=TeG7jyBuZW8gbG/huqFpIDIwIGtn
entry.15.unit=ZWFjaA==
entry.15.basePrice=200000
entry.15.sourceDate=2026-08-03
entry.15.sourceKind=2
entry.</vt:lpwstr>
  </property>
  <property fmtid="{D5CDD505-2E9C-101B-9397-08002B2CF9AE}" pid="38" name="TTBMVN.PriceProfile.Part.4fddd3b4fffe45e6b4c638ab6bcb62e8.0026">
    <vt:lpwstr>15.sourceReference=V29ya2Jvb2s6U2hlZXQyMCFGOTM=
entry.15.legacyLookupName=TeG7jyBuZW8gbG/huqFpIDIwIGtn
entry.15.aliasCount=0
entry.16.code=TUFULUFOQ0hPUi01MEtH
entry.16.kind=1
entry.16.name=TeG7jyBuZW8gbG/huqFpIDUwIGtn
entry.16.unit=ZWFjaA=</vt:lpwstr>
  </property>
  <property fmtid="{D5CDD505-2E9C-101B-9397-08002B2CF9AE}" pid="39" name="TTBMVN.PriceProfile.Part.4fddd3b4fffe45e6b4c638ab6bcb62e8.0027">
    <vt:lpwstr>=
entry.16.basePrice=500000
entry.16.sourceDate=2026-08-03
entry.16.sourceKind=2
entry.16.sourceReference=V29ya2Jvb2s6U2hlZXQyMCFGOTI=
entry.16.legacyLookupName=TeG7jyBuZW8gbG/huqFpIDUwIGtn
entry.16.aliasCount=0
entry.17.code=TUFULUJBTUJPTy</vt:lpwstr>
  </property>
  <property fmtid="{D5CDD505-2E9C-101B-9397-08002B2CF9AE}" pid="40" name="TTBMVN.PriceProfile.Part.4fddd3b4fffe45e6b4c638ab6bcb62e8.0028">
    <vt:lpwstr>1QT0xF
entry.17.kind=1
entry.17.name=U8OgbyB0cmUgZD03LCBMPTUwMCBDbQ==
entry.17.unit=ZWFjaA==
entry.17.basePrice=10000
entry.17.sourceDate=2026-08-03
entry.17.sourceKind=2
entry.17.sourceReference=V29ya2Jvb2s6U2hlZXQyMCFGOTE=
entry.17.legacy</vt:lpwstr>
  </property>
  <property fmtid="{D5CDD505-2E9C-101B-9397-08002B2CF9AE}" pid="41" name="TTBMVN.PriceProfile.Part.4fddd3b4fffe45e6b4c638ab6bcb62e8.0029">
    <vt:lpwstr>LookupName=U8OgbyB0cmUgZD03LCBMPTUwMCBDbQ==
entry.17.aliasCount=0
entry.18.code=TUFULUJBTUJPTy1TVEFLRQ==
entry.18.kind=1
entry.18.name=Q+G7jWMgdHJlIGQ9OCwgTD0yMDAgQ20=
entry.18.unit=ZWFjaA==
entry.18.basePrice=10000
entry.18.sourceDate=2026</vt:lpwstr>
  </property>
  <property fmtid="{D5CDD505-2E9C-101B-9397-08002B2CF9AE}" pid="42" name="TTBMVN.PriceProfile.Part.4fddd3b4fffe45e6b4c638ab6bcb62e8.0030">
    <vt:lpwstr>-08-03
entry.18.sourceKind=2
entry.18.sourceReference=V29ya2Jvb2s6U2hlZXQyMCFGODY=
entry.18.legacyLookupName=Q+G7jWMgdHJlIGQ9OCwgTD0yMDAgQ20=
entry.18.aliasCount=0
entry.19.code=TUFULUNPTkNSRVRFLVNUQUtF
entry.19.kind=1
entry.19.name=Q+G7jWM</vt:lpwstr>
  </property>
  <property fmtid="{D5CDD505-2E9C-101B-9397-08002B2CF9AE}" pid="43" name="TTBMVN.PriceProfile.Part.4fddd3b4fffe45e6b4c638ab6bcb62e8.0031">
    <vt:lpwstr>gYsOqIHTDtG5nIGPhu5F0IHRow6lwICgxMngxMngxMjApY20=
entry.19.unit=ZWFjaA==
entry.19.basePrice=100000
entry.19.sourceDate=2026-08-03
entry.19.sourceKind=2
entry.19.sourceReference=V29ya2Jvb2s6U2hlZXQyMCFGODE=
entry.19.legacyLookupName=Q+G7jWMg</vt:lpwstr>
  </property>
  <property fmtid="{D5CDD505-2E9C-101B-9397-08002B2CF9AE}" pid="44" name="TTBMVN.PriceProfile.Part.4fddd3b4fffe45e6b4c638ab6bcb62e8.0032">
    <vt:lpwstr>YsOqIHTDtG5nIGPhu5F0IHRow6lwICgxMngxMngxMjApY20=
entry.19.aliasCount=0
entry.20.code=TUFULUxBUkdFLUZMT0FU
entry.20.kind=1
entry.20.name=UGhhbyBs4bubbiAxbTM=
entry.20.unit=ZWFjaA==
entry.20.basePrice=100000
entry.20.sourceDate=2026-08-03
ent</vt:lpwstr>
  </property>
  <property fmtid="{D5CDD505-2E9C-101B-9397-08002B2CF9AE}" pid="45" name="TTBMVN.PriceProfile.Part.4fddd3b4fffe45e6b4c638ab6bcb62e8.0033">
    <vt:lpwstr>ry.20.sourceKind=2
entry.20.sourceReference=V29ya2Jvb2s6U2hlZXQyMCFGOTU=
entry.20.legacyLookupName=UGhhbyBs4bubbiAxbTM=
entry.20.aliasCount=0
entry.21.code=TUFULU5BSUwtMTBDTQ==
entry.21.kind=1
entry.21.name=xJBpbmggMTAgY20=
entry.21.unit=a2</vt:lpwstr>
  </property>
  <property fmtid="{D5CDD505-2E9C-101B-9397-08002B2CF9AE}" pid="46" name="TTBMVN.PriceProfile.Part.4fddd3b4fffe45e6b4c638ab6bcb62e8.0034">
    <vt:lpwstr>c=
entry.21.basePrice=23100
entry.21.sourceDate=2026-08-03
entry.21.sourceKind=2
entry.21.sourceReference=V29ya2Jvb2s6U2hlZXQyMCFGODg=
entry.21.legacyLookupName=xJBpbmggMTAgY20=
entry.21.aliasCount=0
entry.22.code=TUFULVBMQVNUSUMtRkxPQVQ=
e</vt:lpwstr>
  </property>
  <property fmtid="{D5CDD505-2E9C-101B-9397-08002B2CF9AE}" pid="47" name="TTBMVN.PriceProfile.Part.4fddd3b4fffe45e6b4c638ab6bcb62e8.0035">
    <vt:lpwstr>ntry.22.kind=1
entry.22.name=UGhhbyBuaOG7sWEgdHLDsm4gcGhpIDMwIGNt
entry.22.unit=ZWFjaA==
entry.22.basePrice=50000
entry.22.sourceDate=2026-08-03
entry.22.sourceKind=2
entry.22.sourceReference=V29ya2Jvb2s6U2hlZXQyMCFGOTY=
entry.22.legacyLook</vt:lpwstr>
  </property>
  <property fmtid="{D5CDD505-2E9C-101B-9397-08002B2CF9AE}" pid="48" name="TTBMVN.PriceProfile.Part.4fddd3b4fffe45e6b4c638ab6bcb62e8.0036">
    <vt:lpwstr>upName=UGhhbyBuaOG7sWEgdHLDsm4gcGhpIDMwIGNt
entry.22.aliasCount=0
entry.23.code=TUFULVJFRC1GTEFH
entry.23.kind=1
entry.23.name=Q+G7nSDEkeG7jyDEkXXDtGkgbmhlbw==
entry.23.unit=ZWFjaA==
entry.23.basePrice=2500
entry.23.sourceDate=2026-08-03
en</vt:lpwstr>
  </property>
  <property fmtid="{D5CDD505-2E9C-101B-9397-08002B2CF9AE}" pid="49" name="TTBMVN.PriceProfile.Part.4fddd3b4fffe45e6b4c638ab6bcb62e8.0037">
    <vt:lpwstr>try.23.sourceKind=2
entry.23.sourceReference=V29ya2Jvb2s6U2hlZXQyMCFGODM=
entry.23.legacyLookupName=Q+G7nSDEkeG7jyDEkXXDtGkgbmhlbw==
entry.23.aliasCount=0
entry.24.code=TUFULVJFRC1GTEFHLUxBUkdF
entry.24.kind=1
entry.24.name=Q+G7nSDEkeG7jyB0</vt:lpwstr>
  </property>
  <property fmtid="{D5CDD505-2E9C-101B-9397-08002B2CF9AE}" pid="50" name="TTBMVN.PriceProfile.Part.4fddd3b4fffe45e6b4c638ab6bcb62e8.0038">
    <vt:lpwstr>byAoIDQwIHggNjAgKSBjbQ==
entry.24.unit=ZWFjaA==
entry.24.basePrice=10000
entry.24.sourceDate=2026-08-03
entry.24.sourceKind=2
entry.24.sourceReference=V29ya2Jvb2s6U2hlZXQyMCFGODQ=
entry.24.legacyLookupName=Q+G7nSDEkeG7jyB0byAoIDQwIHggNjAgKS</vt:lpwstr>
  </property>
  <property fmtid="{D5CDD505-2E9C-101B-9397-08002B2CF9AE}" pid="51" name="TTBMVN.PriceProfile.Part.4fddd3b4fffe45e6b4c638ab6bcb62e8.0039">
    <vt:lpwstr>BjbQ==
entry.24.aliasCount=0
entry.25.code=TUFULVJPUEUtMTBNTQ==
entry.25.kind=1
entry.25.name=RMOieSB0aOG7q25nIDEwIG1t
entry.25.unit=bQ==
entry.25.basePrice=2000
entry.25.sourceDate=2026-08-03
entry.25.sourceKind=2
entry.25.sourceReference=</vt:lpwstr>
  </property>
  <property fmtid="{D5CDD505-2E9C-101B-9397-08002B2CF9AE}" pid="52" name="TTBMVN.PriceProfile.Part.4fddd3b4fffe45e6b4c638ab6bcb62e8.0040">
    <vt:lpwstr>V29ya2Jvb2s6U2hlZXQyMCFGODU=
entry.25.legacyLookupName=RMOieSB0aOG7q25nIDEwIG1t
entry.25.aliasCount=0
entry.26.code=TUFULVJPUEUtMTJNTQ==
entry.26.kind=1
entry.26.name=RMOieSBOaWxvbiBwaGkgMTJtbQ==
entry.26.unit=bQ==
entry.26.basePrice=2500
e</vt:lpwstr>
  </property>
  <property fmtid="{D5CDD505-2E9C-101B-9397-08002B2CF9AE}" pid="53" name="TTBMVN.PriceProfile.Part.4fddd3b4fffe45e6b4c638ab6bcb62e8.0041">
    <vt:lpwstr>ntry.26.sourceDate=2026-08-03
entry.26.sourceKind=2
entry.26.sourceReference=V29ya2Jvb2s6U2hlZXQyMCFGOTk=
entry.26.legacyLookupName=RMOieSBOaWxvbiBwaGkgMTJtbQ==
entry.26.aliasCount=0
entry.27.code=TUFULVJPUEUtMThNTQ==
entry.27.kind=1
entry.</vt:lpwstr>
  </property>
  <property fmtid="{D5CDD505-2E9C-101B-9397-08002B2CF9AE}" pid="54" name="TTBMVN.PriceProfile.Part.4fddd3b4fffe45e6b4c638ab6bcb62e8.0042">
    <vt:lpwstr>27.name=RMOieSBOaWxvbiBwaGkgMThtbQ==
entry.27.unit=bQ==
entry.27.basePrice=3000
entry.27.sourceDate=2026-08-03
entry.27.sourceKind=2
entry.27.sourceReference=V29ya2Jvb2s6U2hlZXQyMCFGMTAw
entry.27.legacyLookupName=RMOieSBOaWxvbiBwaGkgMThtbQ=</vt:lpwstr>
  </property>
  <property fmtid="{D5CDD505-2E9C-101B-9397-08002B2CF9AE}" pid="55" name="TTBMVN.PriceProfile.Part.4fddd3b4fffe45e6b4c638ab6bcb62e8.0043">
    <vt:lpwstr>=
entry.27.aliasCount=0
entry.28.code=TUFULVNNQUxMLUZMT0FU
entry.28.kind=1
entry.28.name=UGhhbyBuaOG7jyBwaGkgMTIgY20=
entry.28.unit=ZWFjaA==
entry.28.basePrice=10000
entry.28.sourceDate=2026-08-03
entry.28.sourceKind=2
entry.28.sourceRefere</vt:lpwstr>
  </property>
  <property fmtid="{D5CDD505-2E9C-101B-9397-08002B2CF9AE}" pid="56" name="TTBMVN.PriceProfile.Part.4fddd3b4fffe45e6b4c638ab6bcb62e8.0044">
    <vt:lpwstr>nce=V29ya2Jvb2s6U2hlZXQyMCFGOTc=
entry.28.legacyLookupName=UGhhbyBuaOG7jyBwaGkgMTIgY20=
entry.28.aliasCount=0
entry.29.code=TUFULVNQRUNJQUwtQU5DSE9S
entry.29.kind=1
entry.29.name=TeG7jyBuZW8gxJHhurdjIGJp4buHdCBsb+G6oWkgMjBrZw==
entry.29.uni</vt:lpwstr>
  </property>
  <property fmtid="{D5CDD505-2E9C-101B-9397-08002B2CF9AE}" pid="57" name="TTBMVN.PriceProfile.Part.4fddd3b4fffe45e6b4c638ab6bcb62e8.0045">
    <vt:lpwstr>t=ZWFjaA==
entry.29.basePrice=300000
entry.29.sourceDate=2026-08-03
entry.29.sourceKind=2
entry.29.sourceReference=V29ya2Jvb2s6U2hlZXQyMCFGOTQ=
entry.29.legacyLookupName=TeG7jyBuZW8gxJHhurdjIGJp4buHdCBsb+G6oWkgMjBrZw==
entry.29.aliasCount=0</vt:lpwstr>
  </property>
  <property fmtid="{D5CDD505-2E9C-101B-9397-08002B2CF9AE}" pid="58" name="TTBMVN.PriceProfile.Part.4fddd3b4fffe45e6b4c638ab6bcb62e8.0046">
    <vt:lpwstr>
entry.30.code=TUFULVNURUVMLUVYQ0FWQVRJT04tRlJBTUU=
entry.30.kind=1
entry.30.name=S2h1bmcgZ2lhIGPDtG5nIGLhurFuZyB0w7RuIDNtbSB2w6Agc+G6r3QgZ8OzYyAoNDV4NDUpbW0=
entry.30.unit=a2c=
entry.30.basePrice=22000
entry.30.sourceDate=2026-08-03
entry.</vt:lpwstr>
  </property>
  <property fmtid="{D5CDD505-2E9C-101B-9397-08002B2CF9AE}" pid="59" name="TTBMVN.PriceProfile.Part.4fddd3b4fffe45e6b4c638ab6bcb62e8.0047">
    <vt:lpwstr>30.sourceKind=2
entry.30.sourceReference=V29ya2Jvb2s6U2hlZXQyMCFGMTAx
entry.30.legacyLookupName=S2h1bmcgZ2lhIGPDtG5nIGLhurFuZyB0w7RuIDNtbSB2w6Agc+G6r3QgZ8OzYyAoNDV4NDUpbW0=
entry.30.aliasCount=0
entry.31.code=TUFULVdJUkUtMk1N
entry.31.kind=</vt:lpwstr>
  </property>
  <property fmtid="{D5CDD505-2E9C-101B-9397-08002B2CF9AE}" pid="60" name="TTBMVN.PriceProfile.Part.4fddd3b4fffe45e6b4c638ab6bcb62e8.0048">
    <vt:lpwstr>1
entry.31.name=RMOieSB0aMOpcCBideG7mWMgMiBseQ==
entry.31.unit=a2c=
entry.31.basePrice=18500
entry.31.sourceDate=2026-08-03
entry.31.sourceKind=2
entry.31.sourceReference=V29ya2Jvb2s6U2hlZXQyMCFGOTA=
entry.31.legacyLookupName=RMOieSB0aMOpcC</vt:lpwstr>
  </property>
  <property fmtid="{D5CDD505-2E9C-101B-9397-08002B2CF9AE}" pid="61" name="TTBMVN.PriceProfile.Part.4fddd3b4fffe45e6b4c638ab6bcb62e8.0049">
    <vt:lpwstr>BideG7mWMgMiBseQ==
entry.31.aliasCount=0
entry.32.code=TUFULVdPT0QtQk9BUkQ=
entry.32.kind=1
entry.32.name=VsOhbiBn4buXIGTDoHkgMyBDbQ==
entry.32.unit=bTM=
entry.32.basePrice=3363636
entry.32.sourceDate=2026-08-03
entry.32.sourceKind=2
entry.</vt:lpwstr>
  </property>
  <property fmtid="{D5CDD505-2E9C-101B-9397-08002B2CF9AE}" pid="62" name="TTBMVN.PriceProfile.Part.4fddd3b4fffe45e6b4c638ab6bcb62e8.0050">
    <vt:lpwstr>32.sourceReference=V29ya2Jvb2s6U2hlZXQyMCFGODc=
entry.32.legacyLookupName=VsOhbiBn4buXIGTDoHkgMyBDbQ==
entry.32.aliasCount=0
entry.33.code=TUFULVdPT0QtU1RBS0U=
entry.33.kind=1
entry.33.name=Q+G7jWMgZ+G7lyBkID0gM2NtLCBMPSA1MCBjbQ==
entry.33.</vt:lpwstr>
  </property>
  <property fmtid="{D5CDD505-2E9C-101B-9397-08002B2CF9AE}" pid="63" name="TTBMVN.PriceProfile.Part.4fddd3b4fffe45e6b4c638ab6bcb62e8.0051">
    <vt:lpwstr>unit=ZWFjaA==
entry.33.basePrice=8000
entry.33.sourceDate=2026-08-03
entry.33.sourceKind=2
entry.33.sourceReference=V29ya2Jvb2s6U2hlZXQyMCFGODI=
entry.33.legacyLookupName=Q+G7jWMgZ+G7lyBkID0gM2NtLCBMPSA1MCBjbQ==
entry.33.aliasCount=0
overri</vt:lpwstr>
  </property>
  <property fmtid="{D5CDD505-2E9C-101B-9397-08002B2CF9AE}" pid="64" name="TTBMVN.PriceProfile.Part.4fddd3b4fffe45e6b4c638ab6bcb62e8.0052">
    <vt:lpwstr>deCount=0
checksum=8345661796B51CC48A6E4821015ECA03F301FAA2D4E3168C5AD34C0108100C87</vt:lpwstr>
  </property>
  <property fmtid="{D5CDD505-2E9C-101B-9397-08002B2CF9AE}" pid="65" name="TTBMVN.PriceProfile.Manifest">
    <vt:lpwstr>1|4fddd3b4fffe45e6b4c638ab6bcb62e8|53|4F741B8B555B884720CFAA7CFAD37E55149EA91D158E1D2836ED723880F5D6DB</vt:lpwstr>
  </property>
  <property fmtid="{D5CDD505-2E9C-101B-9397-08002B2CF9AE}" pid="66" name="TTBMVN.ResultAudit.Manifest">
    <vt:lpwstr>1|b24958dd8ddf45b1a9686d30672dfaf5|112|FB103C145EC8E41AF777B21B722D61229132557BE0FE91D1C829B9F27C299622</vt:lpwstr>
  </property>
  <property fmtid="{D5CDD505-2E9C-101B-9397-08002B2CF9AE}" pid="67" name="TTBMVN.ResultAudit.Part.b24958dd8ddf45b1a9686d30672dfaf5.0000">
    <vt:lpwstr>TTBMVN_RESULT_AUDIT
schema=1
entries=22
entry|RVNUfFNoZWV0MjR8MTI=|RXN0aW1hdGVBcHBlbmRpeA==|1|U2hlZXQyNA==|RXN0aW1hdGVBcHBlbmRpeA==|12|6|12|14|UGjDoXQgcXVhbmcgbeG6t3QgYuG6sW5nIHTGsMahbmcgxJHGsMahbmcgcuG7q25nIGxv4bqhaSAxLCBjaGnhur9tIDUwJSBka</vt:lpwstr>
  </property>
  <property fmtid="{D5CDD505-2E9C-101B-9397-08002B2CF9AE}" pid="68" name="TTBMVN.ResultAudit.Part.b24958dd8ddf45b1a9686d30672dfaf5.0001">
    <vt:lpwstr>eG7h24gdMOtY2ggY+G6oW4sIGtow7RuZyBwaOG6o2kgYsOjaSBtw6xu|QlFQLVJQQk0tMjAyNQ==|Mi4wLjE=|E2537C08E7156414585BEFC446E74DD51E79AB8D67A3774B1F5250E7EECCDA90|VEVTVC1EVDEwMy1QUklDRS1CQVNFTElORQ==|MS4wLjA=|8345661796B51CC48A6E4821015ECA03F301FAA2D4E</vt:lpwstr>
  </property>
  <property fmtid="{D5CDD505-2E9C-101B-9397-08002B2CF9AE}" pid="69" name="TTBMVN.ResultAudit.Part.b24958dd8ddf45b1a9686d30672dfaf5.0002">
    <vt:lpwstr>3168C5AD34C0108100C87|Tk9STS0wMTAuMDIwMA==|Zm9yZXN0LTE=
source|RVNUfFNoZWV0MjR8MTI=|1|VkJITjk3LTIwMjUtQlFQ|21|21|UGjhu6UgbOG7pWMgSSwgUGjhuqduIElJLCBDaMawxqFuZyBJSSwgbeG7pWMgMg==|
source|RVNUfFNoZWV0MjR8MTI=|2||0|0||V29ya2Jvb2s6U2hlZXQyMCFGM</vt:lpwstr>
  </property>
  <property fmtid="{D5CDD505-2E9C-101B-9397-08002B2CF9AE}" pid="70" name="TTBMVN.ResultAudit.Part.b24958dd8ddf45b1a9686d30672dfaf5.0003">
    <vt:lpwstr>TE=
source|RVNUfFNoZWV0MjR8MTI=|3||0|0||Uk9VTkQoRDEzKlAxMiUsMyk=
source|RVNUfFNoZWV0MjR8MTI=|4||0|0||U2hlZXQyNCFGMTI6TjEy
source|RVNUfFNoZWV0MjR8MTI=|6||0|0||VFRCTVZOX1BMQU58VEVGT1JIeE9UMUpOTFRBeE1DNHdNakF3ZkdadmNtVnpkQzB4ZkRFPXxURUZPUkE9PX</vt:lpwstr>
  </property>
  <property fmtid="{D5CDD505-2E9C-101B-9397-08002B2CF9AE}" pid="71" name="TTBMVN.ResultAudit.Part.b24958dd8ddf45b1a9686d30672dfaf5.0004">
    <vt:lpwstr>xVbml0UmF0ZUxhbmR8MTF8fA==
entry|RVNUfFNoZWV0MjR8MTM=|RXN0aW1hdGVBcHBlbmRpeA==|1|U2hlZXQyNA==|RXN0aW1hdGVBcHBlbmRpeA==|13|6|13|14|RMOyIHTDrG0gdHLDqm4gY+G6oW4gxJHhur9uIMSR4buZIHPDonUgMCwzbS4gTeG6rXQgxJHhu5kgMQ==|QlFQLVJQQk0tMjAyNQ==|Mi4wLjE=</vt:lpwstr>
  </property>
  <property fmtid="{D5CDD505-2E9C-101B-9397-08002B2CF9AE}" pid="72" name="TTBMVN.ResultAudit.Part.b24958dd8ddf45b1a9686d30672dfaf5.0005">
    <vt:lpwstr>|E2537C08E7156414585BEFC446E74DD51E79AB8D67A3774B1F5250E7EECCDA90|VEVTVC1EVDEwMy1QUklDRS1CQVNFTElORQ==|MS4wLjA=|8345661796B51CC48A6E4821015ECA03F301FAA2D4E3168C5AD34C0108100C87|Tk9STS0wMjAuMDIwMA==|ZGVuc2l0eS0x
source|RVNUfFNoZWV0MjR8MTM=|1</vt:lpwstr>
  </property>
  <property fmtid="{D5CDD505-2E9C-101B-9397-08002B2CF9AE}" pid="73" name="TTBMVN.ResultAudit.Part.b24958dd8ddf45b1a9686d30672dfaf5.0006">
    <vt:lpwstr>|VkJITjk3LTIwMjUtQlFQ|23|23|UGjhu6UgbOG7pWMgSSwgUGjhuqduIElJLCBDaMawxqFuZyBJSUksIG3hu6VjIDI=|
source|RVNUfFNoZWV0MjR8MTM=|2||0|0||V29ya2Jvb2s6U2hlZXQyMCFGMTE=
source|RVNUfFNoZWV0MjR8MTM=|2||0|0||V29ya2Jvb2s6U2hlZXQyMCFGMjM=
source|RVNUfFNoZ</vt:lpwstr>
  </property>
  <property fmtid="{D5CDD505-2E9C-101B-9397-08002B2CF9AE}" pid="74" name="TTBMVN.ResultAudit.Part.b24958dd8ddf45b1a9686d30672dfaf5.0007">
    <vt:lpwstr>WV0MjR8MTM=|2||0|0||V29ya2Jvb2s6U2hlZXQyMCFGODE=
source|RVNUfFNoZWV0MjR8MTM=|2||0|0||V29ya2Jvb2s6U2hlZXQyMCFGODI=
source|RVNUfFNoZWV0MjR8MTM=|2||0|0||V29ya2Jvb2s6U2hlZXQyMCFGODM=
source|RVNUfFNoZWV0MjR8MTM=|2||0|0||V29ya2Jvb2s6U2hlZXQyMCFGO</vt:lpwstr>
  </property>
  <property fmtid="{D5CDD505-2E9C-101B-9397-08002B2CF9AE}" pid="75" name="TTBMVN.ResultAudit.Part.b24958dd8ddf45b1a9686d30672dfaf5.0008">
    <vt:lpwstr>DU=
source|RVNUfFNoZWV0MjR8MTM=|3||0|0||VEhLTCFGMTg=
source|RVNUfFNoZWV0MjR8MTM=|4||0|0||U2hlZXQyNCFGMTM6TjEz
source|RVNUfFNoZWV0MjR8MTM=|6||0|0||VFRCTVZOX1BMQU58VEVGT1JIeE9UMUpOTFRBeU1DNHdNakF3ZkdSbGJuTnBkSGt0TVh3eHxURUZPUkE9PXxVbml0UmF0ZU</vt:lpwstr>
  </property>
  <property fmtid="{D5CDD505-2E9C-101B-9397-08002B2CF9AE}" pid="76" name="TTBMVN.ResultAudit.Part.b24958dd8ddf45b1a9686d30672dfaf5.0009">
    <vt:lpwstr>xhbmR8Mjl8fA==
entry|RVNUfFNoZWV0MjR8MTQ=|RXN0aW1hdGVBcHBlbmRpeA==|1|U2hlZXQyNA==|RXN0aW1hdGVBcHBlbmRpeA==|14|6|14|14|xJDDoG8sIHjhu60gbMO9IMSR4bq/biDEkeG7mSBzw6J1IDAsM20gKDcwIFRIL2hhKS4gxJDhuqV0IEMx|QlFQLVJQQk0tMjAyNQ==|Mi4wLjE=|E2537C08E71</vt:lpwstr>
  </property>
  <property fmtid="{D5CDD505-2E9C-101B-9397-08002B2CF9AE}" pid="77" name="TTBMVN.ResultAudit.Part.b24958dd8ddf45b1a9686d30672dfaf5.0010">
    <vt:lpwstr>56414585BEFC446E74DD51E79AB8D67A3774B1F5250E7EECCDA90|VEVTVC1EVDEwMy1QUklDRS1CQVNFTElORQ==|MS4wLjA=|8345661796B51CC48A6E4821015ECA03F301FAA2D4E3168C5AD34C0108100C87|Tk9STS0wMjAuMDMwMA==|c29pbC0x
source|RVNUfFNoZWV0MjR8MTQ=|1|VkJITjk3LTIwMjU</vt:lpwstr>
  </property>
  <property fmtid="{D5CDD505-2E9C-101B-9397-08002B2CF9AE}" pid="78" name="TTBMVN.ResultAudit.Part.b24958dd8ddf45b1a9686d30672dfaf5.0011">
    <vt:lpwstr>tQlFQ|23|24|UGjhu6UgbOG7pWMgSSwgUGjhuqduIElJLCBDaMawxqFuZyBJSUksIG3hu6VjIDM=|
source|RVNUfFNoZWV0MjR8MTQ=|2||0|0||V29ya2Jvb2s6U2hlZXQyMCFGMTU=
source|RVNUfFNoZWV0MjR8MTQ=|2||0|0||V29ya2Jvb2s6U2hlZXQyMCFGMjM=
source|RVNUfFNoZWV0MjR8MTQ=|3||0</vt:lpwstr>
  </property>
  <property fmtid="{D5CDD505-2E9C-101B-9397-08002B2CF9AE}" pid="79" name="TTBMVN.ResultAudit.Part.b24958dd8ddf45b1a9686d30672dfaf5.0012">
    <vt:lpwstr>|0||Uk9VTkQoRDEzKlAxNCwwKQ==
source|RVNUfFNoZWV0MjR8MTQ=|4||0|0||U2hlZXQyNCFGMTQ6TjE0
source|RVNUfFNoZWV0MjR8MTQ=|6||0|0||VFRCTVZOX1BMQU58VEVGT1JIeE9UMUpOTFRBeU1DNHdNekF3ZkhOdmFXd3RNWHd4fFRFRk9SQT09fFVuaXRSYXRlTGFuZHw3NXx8
entry|RVNUfFNoZWV</vt:lpwstr>
  </property>
  <property fmtid="{D5CDD505-2E9C-101B-9397-08002B2CF9AE}" pid="80" name="TTBMVN.ResultAudit.Part.b24958dd8ddf45b1a9686d30672dfaf5.0013">
    <vt:lpwstr>0MjR8MTU=|RXN0aW1hdGVBcHBlbmRpeA==|1|U2hlZXQyNA==|RXN0aW1hdGVBcHBlbmRpeA==|15|6|15|14|RMOyIHTDrG0gdHLDqm4gY+G6oW4gdOG7qyDEkeG7mSBzw6J1IDAsM20tM20u|QlFQLVJQQk0tMjAyNQ==|Mi4wLjE=|E2537C08E7156414585BEFC446E74DD51E79AB8D67A3774B1F5250E7EECCDA9</vt:lpwstr>
  </property>
  <property fmtid="{D5CDD505-2E9C-101B-9397-08002B2CF9AE}" pid="81" name="TTBMVN.ResultAudit.Part.b24958dd8ddf45b1a9686d30672dfaf5.0014">
    <vt:lpwstr>0|VEVTVC1EVDEwMy1QUklDRS1CQVNFTElORQ==|MS4wLjA=|8345661796B51CC48A6E4821015ECA03F301FAA2D4E3168C5AD34C0108100C87|Tk9STS0wMjAuMDUwMA==|ZGVwdGgtMw==
source|RVNUfFNoZWV0MjR8MTU=|1|VkJITjk3LTIwMjUtQlFQ|24|25|UGjhu6UgbOG7pWMgSSwgUGjhuqduIElJLCBD</vt:lpwstr>
  </property>
  <property fmtid="{D5CDD505-2E9C-101B-9397-08002B2CF9AE}" pid="82" name="TTBMVN.ResultAudit.Part.b24958dd8ddf45b1a9686d30672dfaf5.0015">
    <vt:lpwstr>aMawxqFuZyBJSUksIG3hu6VjIDU=|
source|RVNUfFNoZWV0MjR8MTU=|2||0|0||V29ya2Jvb2s6U2hlZXQyMCFGMTE=
source|RVNUfFNoZWV0MjR8MTU=|2||0|0||V29ya2Jvb2s6U2hlZXQyMCFGMjk=
source|RVNUfFNoZWV0MjR8MTU=|2||0|0||V29ya2Jvb2s6U2hlZXQyMCFGODI=
source|RVNUfFNo</vt:lpwstr>
  </property>
  <property fmtid="{D5CDD505-2E9C-101B-9397-08002B2CF9AE}" pid="83" name="TTBMVN.ResultAudit.Part.b24958dd8ddf45b1a9686d30672dfaf5.0016">
    <vt:lpwstr>ZWV0MjR8MTU=|2||0|0||V29ya2Jvb2s6U2hlZXQyMCFGODQ=
source|RVNUfFNoZWV0MjR8MTU=|2||0|0||V29ya2Jvb2s6U2hlZXQyMCFGODU=
source|RVNUfFNoZWV0MjR8MTU=|3||0|0||VEhLTCFGMTk=
source|RVNUfFNoZWV0MjR8MTU=|4||0|0||U2hlZXQyNCFGMTU6TjE1
source|RVNUfFNoZWV0</vt:lpwstr>
  </property>
  <property fmtid="{D5CDD505-2E9C-101B-9397-08002B2CF9AE}" pid="84" name="TTBMVN.ResultAudit.Part.b24958dd8ddf45b1a9686d30672dfaf5.0017">
    <vt:lpwstr>MjR8MTU=|6||0|0||VFRCTVZOX1BMQU58VEVGT1JIeE9UMUpOTFRBeU1DNHdOVEF3ZkdSbGNIUm9MVE44TVE9PXxURUZPUkE9PXxVbml0UmF0ZUxhbmR8OTN8fA==
entry|RVNUfFNoZWV0MjR8MTY=|RXN0aW1hdGVBcHBlbmRpeA==|1|U2hlZXQyNA==|RXN0aW1hdGVBcHBlbmRpeA==|16|6|16|14|RMOyIHTDrG0</vt:lpwstr>
  </property>
  <property fmtid="{D5CDD505-2E9C-101B-9397-08002B2CF9AE}" pid="85" name="TTBMVN.ResultAudit.Part.b24958dd8ddf45b1a9686d30672dfaf5.0018">
    <vt:lpwstr>gdHLDqm4gY+G6oW4gdOG7qyDEkeG7mSBzw6J1IDAsM20tNW0u|QlFQLVJQQk0tMjAyNQ==|Mi4wLjE=|E2537C08E7156414585BEFC446E74DD51E79AB8D67A3774B1F5250E7EECCDA90|VEVTVC1EVDEwMy1QUklDRS1CQVNFTElORQ==|MS4wLjA=|8345661796B51CC48A6E4821015ECA03F301FAA2D4E3168C5</vt:lpwstr>
  </property>
  <property fmtid="{D5CDD505-2E9C-101B-9397-08002B2CF9AE}" pid="86" name="TTBMVN.ResultAudit.Part.b24958dd8ddf45b1a9686d30672dfaf5.0019">
    <vt:lpwstr>AD34C0108100C87|Tk9STS0wMjAuMDUwMA==|ZGVwdGgtNQ==
source|RVNUfFNoZWV0MjR8MTY=|1|VkJITjk3LTIwMjUtQlFQ|24|25|UGjhu6UgbOG7pWMgSSwgUGjhuqduIElJLCBDaMawxqFuZyBJSUksIG3hu6VjIDU=|
source|RVNUfFNoZWV0MjR8MTY=|2||0|0||V29ya2Jvb2s6U2hlZXQyMCFGMTE=
so</vt:lpwstr>
  </property>
  <property fmtid="{D5CDD505-2E9C-101B-9397-08002B2CF9AE}" pid="87" name="TTBMVN.ResultAudit.Part.b24958dd8ddf45b1a9686d30672dfaf5.0020">
    <vt:lpwstr>urce|RVNUfFNoZWV0MjR8MTY=|2||0|0||V29ya2Jvb2s6U2hlZXQyMCFGMjk=
source|RVNUfFNoZWV0MjR8MTY=|2||0|0||V29ya2Jvb2s6U2hlZXQyMCFGODI=
source|RVNUfFNoZWV0MjR8MTY=|2||0|0||V29ya2Jvb2s6U2hlZXQyMCFGODQ=
source|RVNUfFNoZWV0MjR8MTY=|2||0|0||V29ya2Jvb2s</vt:lpwstr>
  </property>
  <property fmtid="{D5CDD505-2E9C-101B-9397-08002B2CF9AE}" pid="88" name="TTBMVN.ResultAudit.Part.b24958dd8ddf45b1a9686d30672dfaf5.0021">
    <vt:lpwstr>6U2hlZXQyMCFGODU=
source|RVNUfFNoZWV0MjR8MTY=|3||0|0||U2hlZXQyNCFEMTY=
source|RVNUfFNoZWV0MjR8MTY=|4||0|0||U2hlZXQyNCFGMTY6TjE2
source|RVNUfFNoZWV0MjR8MTY=|6||0|0||VFRCTVZOX1BMQU58VEVGT1JIeE9UMUpOTFRBeU1DNHdOVEF3ZkdSbGNIUm9MVFY4TVE9PXxURUZP</vt:lpwstr>
  </property>
  <property fmtid="{D5CDD505-2E9C-101B-9397-08002B2CF9AE}" pid="89" name="TTBMVN.ResultAudit.Part.b24958dd8ddf45b1a9686d30672dfaf5.0022">
    <vt:lpwstr>UkE9PXxVbml0UmF0ZUxhbmR8MTExfHw=
entry|RVNUfFNoZWV0MjR8MTc=|RXN0aW1hdGVBcHBlbmRpeA==|1|U2hlZXQyNA==|RXN0aW1hdGVBcHBlbmRpeA==|17|6|17|14|xJDDoG8gxJHhuqV0IHjhu60gbMO9IHTDrW4gaGnhu4d1IHThu6sgxJHhu5kgc8OidSAwLDNtIC0gM20gKDAzIFRIL2hhKS4gxJDhuqV0</vt:lpwstr>
  </property>
  <property fmtid="{D5CDD505-2E9C-101B-9397-08002B2CF9AE}" pid="90" name="TTBMVN.ResultAudit.Part.b24958dd8ddf45b1a9686d30672dfaf5.0023">
    <vt:lpwstr>IEMy|QlFQLVJQQk0tMjAyNQ==|Mi4wLjE=|E2537C08E7156414585BEFC446E74DD51E79AB8D67A3774B1F5250E7EECCDA90|VEVTVC1EVDEwMy1QUklDRS1CQVNFTElORQ==|MS4wLjA=|8345661796B51CC48A6E4821015ECA03F301FAA2D4E3168C5AD34C0108100C87|Tk9STS0wMjAuMDcwMA==|c29pbC0y</vt:lpwstr>
  </property>
  <property fmtid="{D5CDD505-2E9C-101B-9397-08002B2CF9AE}" pid="91" name="TTBMVN.ResultAudit.Part.b24958dd8ddf45b1a9686d30672dfaf5.0024">
    <vt:lpwstr>
source|RVNUfFNoZWV0MjR8MTc=|1|VkJITjk3LTIwMjUtQlFQ|26|26|UGjhu6UgbOG7pWMgSSwgUGjhuqduIElJLCBDaMawxqFuZyBJSUksIG3hu6VjIDc=|
source|RVNUfFNoZWV0MjR8MTc=|2||0|0||V29ya2Jvb2s6U2hlZXQyMCFGMTU=
source|RVNUfFNoZWV0MjR8MTc=|2||0|0||V29ya2Jvb2s6U2h</vt:lpwstr>
  </property>
  <property fmtid="{D5CDD505-2E9C-101B-9397-08002B2CF9AE}" pid="92" name="TTBMVN.ResultAudit.Part.b24958dd8ddf45b1a9686d30672dfaf5.0025">
    <vt:lpwstr>lZXQyMCFGMjk=
source|RVNUfFNoZWV0MjR8MTc=|2||0|0||V29ya2Jvb2s6U2hlZXQyMCFGODY=
source|RVNUfFNoZWV0MjR8MTc=|2||0|0||V29ya2Jvb2s6U2hlZXQyMCFGODc=
source|RVNUfFNoZWV0MjR8MTc=|2||0|0||V29ya2Jvb2s6U2hlZXQyMCFGODg=
source|RVNUfFNoZWV0MjR8MTc=|3||</vt:lpwstr>
  </property>
  <property fmtid="{D5CDD505-2E9C-101B-9397-08002B2CF9AE}" pid="93" name="TTBMVN.ResultAudit.Part.b24958dd8ddf45b1a9686d30672dfaf5.0026">
    <vt:lpwstr>0|0||Uk9VTkQoKEQxNStEMTYpKlAxNywwKSoyLjg2
source|RVNUfFNoZWV0MjR8MTc=|4||0|0||U2hlZXQyNCFGMTc6TjE3
source|RVNUfFNoZWV0MjR8MTc=|6||0|0||VFRCTVZOX1BMQU58VEVGT1JIeE9UMUpOTFRBeU1DNHdOekF3ZkhOdmFXd3RNbnd4fFRFRk9SQT09fFVuaXRSYXRlTGFuZHwxMjd8fA==
</vt:lpwstr>
  </property>
  <property fmtid="{D5CDD505-2E9C-101B-9397-08002B2CF9AE}" pid="94" name="TTBMVN.ResultAudit.Part.b24958dd8ddf45b1a9686d30672dfaf5.0027">
    <vt:lpwstr>entry|RVNUfFNoZWV0MjR8MTg=|RXN0aW1hdGVBcHBlbmRpeA==|1|U2hlZXQyNA==|RXN0aW1hdGVBcHBlbmRpeA==|18|6|18|14|xJDDoG8gxJHhuqV0IHjhu60gbMO9IHTDrW4gaGnhu4d1IHThu6sgxJHhu5kgc8OidSAzbSAtIDVtICgwLDMgVEgvaGEpLiDEkOG6pXQgQzI=|QlFQLVJQQk0tMjAyNQ==|Mi4wLjE</vt:lpwstr>
  </property>
  <property fmtid="{D5CDD505-2E9C-101B-9397-08002B2CF9AE}" pid="95" name="TTBMVN.ResultAudit.Part.b24958dd8ddf45b1a9686d30672dfaf5.0028">
    <vt:lpwstr>=|E2537C08E7156414585BEFC446E74DD51E79AB8D67A3774B1F5250E7EECCDA90|VEVTVC1EVDEwMy1QUklDRS1CQVNFTElORQ==|MS4wLjA=|8345661796B51CC48A6E4821015ECA03F301FAA2D4E3168C5AD34C0108100C87|Tk9STS0wMjAuMDgwMA==|
source|RVNUfFNoZWV0MjR8MTg=|3||0|0||Uk9V</vt:lpwstr>
  </property>
  <property fmtid="{D5CDD505-2E9C-101B-9397-08002B2CF9AE}" pid="96" name="TTBMVN.ResultAudit.Part.b24958dd8ddf45b1a9686d30672dfaf5.0029">
    <vt:lpwstr>TkQoRDE2KlAxOCwwKSoxNC42Nw==
source|RVNUfFNoZWV0MjR8MTg=|4||0|0||U2hlZXQyNCFGMTg6TjE4
source|RVNUfFNoZWV0MjR8MTg=|6||0|0||VFRCTVZOX1BMQU58VEVGT1JIeE9UMUpOTFRBeU1DNHdPREF3Zkh3eHxURUZPUkE9PXxVbml0UmF0ZUxhbmR8MTQ1fFFtbGxiaUIwYUdVZ2JHVm5ZV041SU</vt:lpwstr>
  </property>
  <property fmtid="{D5CDD505-2E9C-101B-9397-08002B2CF9AE}" pid="97" name="TTBMVN.ResultAudit.Part.b24958dd8ddf45b1a9686d30672dfaf5.0030">
    <vt:lpwstr>c1aGJTQnVaMjloYVNCallYUmhiRzluSUhCb1lYQWdiSGs2SUZQaHU1RWdhR25odTRkMUlNU1I0YnVMYm1nZ2JlRzdxV002SURBeU1DNHdPREF3TGpVdUlGQm9ZV2tnWTJodmJpQnNZV2tnWW1sbGJpQjBhR1VnYTJocElHUnZibWNnWTI4Z2EyaHZhU0JzZFc5dVp5ND18
entry|RVNUfFNoZWV0MjR8MjA=|RXN0aW1hdG</vt:lpwstr>
  </property>
  <property fmtid="{D5CDD505-2E9C-101B-9397-08002B2CF9AE}" pid="98" name="TTBMVN.ResultAudit.Part.b24958dd8ddf45b1a9686d30672dfaf5.0031">
    <vt:lpwstr>VBcHBlbmRpeA==|1|U2hlZXQyNA==|RXN0aW1hdGVBcHBlbmRpeA==|20|6|20|14|RMOyIHTDrG0gZMaw4bubaSBuxrDhu5tjIMSR4bq/biDEkeG7mSBzw6J1IDAsNW0uIE7GsOG7m2Mgc8OidSAwLDVtIC0gMTJt|QlFQLVJQQk0tMjAyNQ==|Mi4wLjE=|E2537C08E7156414585BEFC446E74DD51E79AB8D67A3774</vt:lpwstr>
  </property>
  <property fmtid="{D5CDD505-2E9C-101B-9397-08002B2CF9AE}" pid="99" name="TTBMVN.ResultAudit.Part.b24958dd8ddf45b1a9686d30672dfaf5.0032">
    <vt:lpwstr>B1F5250E7EECCDA90|VEVTVC1EVDEwMy1QUklDRS1CQVNFTElORQ==|MS4wLjA=|8345661796B51CC48A6E4821015ECA03F301FAA2D4E3168C5AD34C0108100C87|Tk9STS0wMzAuMDEwMA==|d2F0ZXItMC41LTEy
source|RVNUfFNoZWV0MjR8MjA=|1|VkJITjk3LTIwMjUtQlFQ|30|31|UGjhu6UgbOG7pWMg</vt:lpwstr>
  </property>
  <property fmtid="{D5CDD505-2E9C-101B-9397-08002B2CF9AE}" pid="100" name="TTBMVN.ResultAudit.Part.b24958dd8ddf45b1a9686d30672dfaf5.0033">
    <vt:lpwstr>SSwgUGjhuqduIElJLCBDaMawxqFuZyBJViwgbeG7pWMgMQ==|
source|RVNUfFNoZWV0MjR8MjA=|2||0|0||V29ya2Jvb2s6U2hlZXQyMCFGMTAw
source|RVNUfFNoZWV0MjR8MjA=|2||0|0||V29ya2Jvb2s6U2hlZXQyMCFGMTE=
source|RVNUfFNoZWV0MjR8MjA=|2||0|0||V29ya2Jvb2s6U2hlZXQyMCFG</vt:lpwstr>
  </property>
  <property fmtid="{D5CDD505-2E9C-101B-9397-08002B2CF9AE}" pid="101" name="TTBMVN.ResultAudit.Part.b24958dd8ddf45b1a9686d30672dfaf5.0034">
    <vt:lpwstr>MzU=
source|RVNUfFNoZWV0MjR8MjA=|2||0|0||V29ya2Jvb2s6U2hlZXQyMCFGNDE=
source|RVNUfFNoZWV0MjR8MjA=|2||0|0||V29ya2Jvb2s6U2hlZXQyMCFGNDY=
source|RVNUfFNoZWV0MjR8MjA=|2||0|0||V29ya2Jvb2s6U2hlZXQyMCFGNTE=
source|RVNUfFNoZWV0MjR8MjA=|2||0|0||V29y</vt:lpwstr>
  </property>
  <property fmtid="{D5CDD505-2E9C-101B-9397-08002B2CF9AE}" pid="102" name="TTBMVN.ResultAudit.Part.b24958dd8ddf45b1a9686d30672dfaf5.0035">
    <vt:lpwstr>a2Jvb2s6U2hlZXQyMCFGODU=
source|RVNUfFNoZWV0MjR8MjA=|2||0|0||V29ya2Jvb2s6U2hlZXQyMCFGOTI=
source|RVNUfFNoZWV0MjR8MjA=|2||0|0||V29ya2Jvb2s6U2hlZXQyMCFGOTM=
source|RVNUfFNoZWV0MjR8MjA=|2||0|0||V29ya2Jvb2s6U2hlZXQyMCFGOTU=
source|RVNUfFNoZWV0M</vt:lpwstr>
  </property>
  <property fmtid="{D5CDD505-2E9C-101B-9397-08002B2CF9AE}" pid="103" name="TTBMVN.ResultAudit.Part.b24958dd8ddf45b1a9686d30672dfaf5.0036">
    <vt:lpwstr>jR8MjA=|2||0|0||V29ya2Jvb2s6U2hlZXQyMCFGOTc=
source|RVNUfFNoZWV0MjR8MjA=|2||0|0||V29ya2Jvb2s6U2hlZXQyMCFGOTk=
source|RVNUfFNoZWV0MjR8MjA=|3||0|0||VEhLTCFGMjE=
source|RVNUfFNoZWV0MjR8MjA=|4||0|0||U2hlZXQyNCFGMjA6TjIw
source|RVNUfFNoZWV0MjR8M</vt:lpwstr>
  </property>
  <property fmtid="{D5CDD505-2E9C-101B-9397-08002B2CF9AE}" pid="104" name="TTBMVN.ResultAudit.Part.b24958dd8ddf45b1a9686d30672dfaf5.0037">
    <vt:lpwstr>jA=|6||0|0||VFRCTVZOX1BMQU58VjBGVVJWSjhUazlTVFMwd016QXVNREV3TUh4M1lYUmxjaTB3TGpVdE1USjhNUT09fFYwRlVSVkk9fFVuaXRSYXRlV2F0ZXJ8MzR8fA==
entry|RVNUfFNoZWV0MjR8MjE=|RXN0aW1hdGVBcHBlbmRpeA==|1|U2hlZXQyNA==|RXN0aW1hdGVBcHBlbmRpeA==|21|6|21|14|RMOy</vt:lpwstr>
  </property>
  <property fmtid="{D5CDD505-2E9C-101B-9397-08002B2CF9AE}" pid="105" name="TTBMVN.ResultAudit.Part.b24958dd8ddf45b1a9686d30672dfaf5.0038">
    <vt:lpwstr>IHTDrG0gZMaw4bubaSBuxrDhu5tjIHThu6sgxJHhu5kgc8OidSAwLDVtIC0gM20uIE7GsOG7m2Mgc8OidSAwLDVtIC0gMTJt|QlFQLVJQQk0tMjAyNQ==|Mi4wLjE=|E2537C08E7156414585BEFC446E74DD51E79AB8D67A3774B1F5250E7EECCDA90|VEVTVC1EVDEwMy1QUklDRS1CQVNFTElORQ==|MS4wLjA=|83</vt:lpwstr>
  </property>
  <property fmtid="{D5CDD505-2E9C-101B-9397-08002B2CF9AE}" pid="106" name="TTBMVN.ResultAudit.Part.b24958dd8ddf45b1a9686d30672dfaf5.0039">
    <vt:lpwstr>45661796B51CC48A6E4821015ECA03F301FAA2D4E3168C5AD34C0108100C87|Tk9STS0wMzAuMDIwMA==|d2F0ZXItMC41LTEy
source|RVNUfFNoZWV0MjR8MjE=|1|VkJITjk3LTIwMjUtQlFQ|31|32|UGjhu6UgbOG7pWMgSSwgUGjhuqduIElJLCBDaMawxqFuZyBJViwgbeG7pWMgMg==|
source|RVNUfFNoZ</vt:lpwstr>
  </property>
  <property fmtid="{D5CDD505-2E9C-101B-9397-08002B2CF9AE}" pid="107" name="TTBMVN.ResultAudit.Part.b24958dd8ddf45b1a9686d30672dfaf5.0040">
    <vt:lpwstr>WV0MjR8MjE=|2||0|0||V29ya2Jvb2s6U2hlZXQyMCFGMTAw
source|RVNUfFNoZWV0MjR8MjE=|2||0|0||V29ya2Jvb2s6U2hlZXQyMCFGMTE=
source|RVNUfFNoZWV0MjR8MjE=|2||0|0||V29ya2Jvb2s6U2hlZXQyMCFGMzU=
source|RVNUfFNoZWV0MjR8MjE=|2||0|0||V29ya2Jvb2s6U2hlZXQyMCFGN</vt:lpwstr>
  </property>
  <property fmtid="{D5CDD505-2E9C-101B-9397-08002B2CF9AE}" pid="108" name="TTBMVN.ResultAudit.Part.b24958dd8ddf45b1a9686d30672dfaf5.0041">
    <vt:lpwstr>DE=
source|RVNUfFNoZWV0MjR8MjE=|2||0|0||V29ya2Jvb2s6U2hlZXQyMCFGNDY=
source|RVNUfFNoZWV0MjR8MjE=|2||0|0||V29ya2Jvb2s6U2hlZXQyMCFGNTE=
source|RVNUfFNoZWV0MjR8MjE=|2||0|0||V29ya2Jvb2s6U2hlZXQyMCFGODU=
source|RVNUfFNoZWV0MjR8MjE=|2||0|0||V29ya</vt:lpwstr>
  </property>
  <property fmtid="{D5CDD505-2E9C-101B-9397-08002B2CF9AE}" pid="109" name="TTBMVN.ResultAudit.Part.b24958dd8ddf45b1a9686d30672dfaf5.0042">
    <vt:lpwstr>2Jvb2s6U2hlZXQyMCFGOTI=
source|RVNUfFNoZWV0MjR8MjE=|2||0|0||V29ya2Jvb2s6U2hlZXQyMCFGOTM=
source|RVNUfFNoZWV0MjR8MjE=|2||0|0||V29ya2Jvb2s6U2hlZXQyMCFGOTU=
source|RVNUfFNoZWV0MjR8MjE=|2||0|0||V29ya2Jvb2s6U2hlZXQyMCFGOTc=
source|RVNUfFNoZWV0Mj</vt:lpwstr>
  </property>
  <property fmtid="{D5CDD505-2E9C-101B-9397-08002B2CF9AE}" pid="110" name="TTBMVN.ResultAudit.Part.b24958dd8ddf45b1a9686d30672dfaf5.0043">
    <vt:lpwstr>R8MjE=|2||0|0||V29ya2Jvb2s6U2hlZXQyMCFGOTk=
source|RVNUfFNoZWV0MjR8MjE=|3||0|0||VEhLTCFGMjI=
source|RVNUfFNoZWV0MjR8MjE=|4||0|0||U2hlZXQyNCFGMjE6TjIx
source|RVNUfFNoZWV0MjR8MjE=|6||0|0||VFRCTVZOX1BMQU58VjBGVVJWSjhUazlTVFMwd016QXVNREl3TUh4M1</vt:lpwstr>
  </property>
  <property fmtid="{D5CDD505-2E9C-101B-9397-08002B2CF9AE}" pid="111" name="TTBMVN.ResultAudit.Part.b24958dd8ddf45b1a9686d30672dfaf5.0044">
    <vt:lpwstr>lYUmxjaTB3TGpVdE1USjhNUT09fFYwRlVSVkk9fFVuaXRSYXRlV2F0ZXJ8NTd8fA==
entry|RVNUfFNoZWV0MjR8MjI=|RXN0aW1hdGVBcHBlbmRpeA==|1|U2hlZXQyNA==|RXN0aW1hdGVBcHBlbmRpeA==|22|6|22|14|xJDDoW5oIGThuqV1IHTDrW4gaGnhu4d1IGNobyBjw6FjIGxv4bqhaSDEkeG7mSBzw6J1Li</vt:lpwstr>
  </property>
  <property fmtid="{D5CDD505-2E9C-101B-9397-08002B2CF9AE}" pid="112" name="TTBMVN.ResultAudit.Part.b24958dd8ddf45b1a9686d30672dfaf5.0045">
    <vt:lpwstr>BOxrDhu5tjIHPDonUgM20gLSAxMm0=|QlFQLVJQQk0tMjAyNQ==|Mi4wLjE=|E2537C08E7156414585BEFC446E74DD51E79AB8D67A3774B1F5250E7EECCDA90|VEVTVC1EVDEwMy1QUklDRS1CQVNFTElORQ==|MS4wLjA=|8345661796B51CC48A6E4821015ECA03F301FAA2D4E3168C5AD34C0108100C87|Tk9</vt:lpwstr>
  </property>
  <property fmtid="{D5CDD505-2E9C-101B-9397-08002B2CF9AE}" pid="113" name="TTBMVN.ResultAudit.Part.b24958dd8ddf45b1a9686d30672dfaf5.0046">
    <vt:lpwstr>STS0wMzAuMDMwMA==|d2F0ZXItMy0xMg==
source|RVNUfFNoZWV0MjR8MjI=|1|VkJITjk3LTIwMjUtQlFQ|32|33|UGjhu6UgbOG7pWMgSSwgUGjhuqduIElJLCBDaMawxqFuZyBJViwgbeG7pWMgMw==|
source|RVNUfFNoZWV0MjR8MjI=|2||0|0||V29ya2Jvb2s6U2hlZXQyMCFGMTE=
source|RVNUfFNoZW</vt:lpwstr>
  </property>
  <property fmtid="{D5CDD505-2E9C-101B-9397-08002B2CF9AE}" pid="114" name="TTBMVN.ResultAudit.Part.b24958dd8ddf45b1a9686d30672dfaf5.0047">
    <vt:lpwstr>V0MjR8MjI=|2||0|0||V29ya2Jvb2s6U2hlZXQyMCFGMzU=
source|RVNUfFNoZWV0MjR8MjI=|2||0|0||V29ya2Jvb2s6U2hlZXQyMCFGNDY=
source|RVNUfFNoZWV0MjR8MjI=|2||0|0||V29ya2Jvb2s6U2hlZXQyMCFGOTQ=
source|RVNUfFNoZWV0MjR8MjI=|2||0|0||V29ya2Jvb2s6U2hlZXQyMCFGOT</vt:lpwstr>
  </property>
  <property fmtid="{D5CDD505-2E9C-101B-9397-08002B2CF9AE}" pid="115" name="TTBMVN.ResultAudit.Part.b24958dd8ddf45b1a9686d30672dfaf5.0048">
    <vt:lpwstr>Y=
source|RVNUfFNoZWV0MjR8MjI=|2||0|0||V29ya2Jvb2s6U2hlZXQyMCFGOTk=
source|RVNUfFNoZWV0MjR8MjI=|3||0|0||U1VNKEQyMzpFMjUp
source|RVNUfFNoZWV0MjR8MjI=|4||0|0||U2hlZXQyNCFGMjI6TjIy
source|RVNUfFNoZWV0MjR8MjI=|6||0|0||VFRCTVZOX1BMQU58VjBGVVJWSj</vt:lpwstr>
  </property>
  <property fmtid="{D5CDD505-2E9C-101B-9397-08002B2CF9AE}" pid="116" name="TTBMVN.ResultAudit.Part.b24958dd8ddf45b1a9686d30672dfaf5.0049">
    <vt:lpwstr>hUazlTVFMwd016QXVNRE13TUh4M1lYUmxjaTB6TFRFeWZERT18VjBGVVJWST18VW5pdFJhdGVXYXRlcnw3NHx8VFc4Z2RHRWdjR2gxSUd4MVl5QjJZU0JvWVc4Z2NHaHBJR3hsWjJGamVTQnNZU0JrYnlCellYVWdiblZ2WXlCMGNtVnVJRE50SUdSbGJpQXhNbTA3SUdSaElHRnVhQ0I0WVNCellXNW5JSGRoZEdWeUxUTX</vt:lpwstr>
  </property>
  <property fmtid="{D5CDD505-2E9C-101B-9397-08002B2CF9AE}" pid="117" name="TTBMVN.ResultAudit.Part.b24958dd8ddf45b1a9686d30672dfaf5.0050">
    <vt:lpwstr>RNVElnZEdoaGVTQmphRzhnYUdGMUlIUnZJR04xTGc9PQ==
entry|RVNUfFNoZWV0MjR8MjM=|RXN0aW1hdGVBcHBlbmRpeA==|1|U2hlZXQyNA==|RXN0aW1hdGVBcHBlbmRpeA==|23|6|23|14|TOG6t24geOG7rSBsw70gdMOtbiBoaeG7h3UgxJHhur9uIMSR4buZIHPDonUgMCw1bSAoMjAgVEgvaGEp|QlFQLVJQQ</vt:lpwstr>
  </property>
  <property fmtid="{D5CDD505-2E9C-101B-9397-08002B2CF9AE}" pid="118" name="TTBMVN.ResultAudit.Part.b24958dd8ddf45b1a9686d30672dfaf5.0051">
    <vt:lpwstr>k0tMjAyNQ==|Mi4wLjE=|E2537C08E7156414585BEFC446E74DD51E79AB8D67A3774B1F5250E7EECCDA90|VEVTVC1EVDEwMy1QUklDRS1CQVNFTElORQ==|MS4wLjA=|8345661796B51CC48A6E4821015ECA03F301FAA2D4E3168C5AD34C0108100C87|Tk9STS0wMzAuMDQwMA==|d2F0ZXItMC41LTEy
sourc</vt:lpwstr>
  </property>
  <property fmtid="{D5CDD505-2E9C-101B-9397-08002B2CF9AE}" pid="119" name="TTBMVN.ResultAudit.Part.b24958dd8ddf45b1a9686d30672dfaf5.0052">
    <vt:lpwstr>e|RVNUfFNoZWV0MjR8MjM=|1|VkJITjk3LTIwMjUtQlFQ|33|33|UGjhu6UgbOG7pWMgSSwgUGjhuqduIElJLCBDaMawxqFuZyBJViwgbeG7pWMgNA==|
source|RVNUfFNoZWV0MjR8MjM=|2||0|0||V29ya2Jvb2s6U2hlZXQyMCFGMTE=
source|RVNUfFNoZWV0MjR8MjM=|2||0|0||V29ya2Jvb2s6U2hlZXQyM</vt:lpwstr>
  </property>
  <property fmtid="{D5CDD505-2E9C-101B-9397-08002B2CF9AE}" pid="120" name="TTBMVN.ResultAudit.Part.b24958dd8ddf45b1a9686d30672dfaf5.0053">
    <vt:lpwstr>CFGMzU=
source|RVNUfFNoZWV0MjR8MjM=|2||0|0||V29ya2Jvb2s6U2hlZXQyMCFGNTE=
source|RVNUfFNoZWV0MjR8MjM=|2||0|0||V29ya2Jvb2s6U2hlZXQyMCFGNjI=
source|RVNUfFNoZWV0MjR8MjM=|3||0|0||Uk9VTkQoRDIwKlAyMywwKQ==
source|RVNUfFNoZWV0MjR8MjM=|4||0|0||U2hlZ</vt:lpwstr>
  </property>
  <property fmtid="{D5CDD505-2E9C-101B-9397-08002B2CF9AE}" pid="121" name="TTBMVN.ResultAudit.Part.b24958dd8ddf45b1a9686d30672dfaf5.0054">
    <vt:lpwstr>XQyNCFGMjM6TjIz
source|RVNUfFNoZWV0MjR8MjM=|6||0|0||VFRCTVZOX0JJTkRJTkd8VFRBeE1DNUVTVlpKVGtjPXxUVUZEU0VsT1JTMU5NREV3TGpBeU9RPT18VG1oaGNDQjBkU0JpWVc1bklHUnZiaUJuYVdFZ2JHVm5ZV041SUZOb1pXVjBNVEFoUWpnMg==
source|RVNUfFNoZWV0MjR8MjM=|6||0|0||VFR</vt:lpwstr>
  </property>
  <property fmtid="{D5CDD505-2E9C-101B-9397-08002B2CF9AE}" pid="122" name="TTBMVN.ResultAudit.Part.b24958dd8ddf45b1a9686d30672dfaf5.0055">
    <vt:lpwstr>CTVZOX1BMQU58VjBGVVJWSjhUazlTVFMwd016QXVNRFF3TUh4M1lYUmxjaTB3TGpVdE1USjhNUT09fFYwRlVSVkk9fFVuaXRSYXRlV2F0ZXJ8ODh8fA==
entry|RVNUfFNoZWV0MjR8MjQ=|RXN0aW1hdGVBcHBlbmRpeA==|1|U2hlZXQyNA==|RXN0aW1hdGVBcHBlbmRpeA==|24|6|24|14|TOG6t24geOG7rSBsw70</vt:lpwstr>
  </property>
  <property fmtid="{D5CDD505-2E9C-101B-9397-08002B2CF9AE}" pid="123" name="TTBMVN.ResultAudit.Part.b24958dd8ddf45b1a9686d30672dfaf5.0056">
    <vt:lpwstr>gdMOtbiBoaeG7h3UgdOG7qyDEkeG7mSBzw6J1IDAsNW0gLSAxbSAoMDFUSC9oYSk=|QlFQLVJQQk0tMjAyNQ==|Mi4wLjE=|E2537C08E7156414585BEFC446E74DD51E79AB8D67A3774B1F5250E7EECCDA90|VEVTVC1EVDEwMy1QUklDRS1CQVNFTElORQ==|MS4wLjA=|8345661796B51CC48A6E4821015ECA03F</vt:lpwstr>
  </property>
  <property fmtid="{D5CDD505-2E9C-101B-9397-08002B2CF9AE}" pid="124" name="TTBMVN.ResultAudit.Part.b24958dd8ddf45b1a9686d30672dfaf5.0057">
    <vt:lpwstr>301FAA2D4E3168C5AD34C0108100C87|Tk9STS0wMzAuMDUwMA==|d2F0ZXItMC41LTEy
source|RVNUfFNoZWV0MjR8MjQ=|1|VkJITjk3LTIwMjUtQlFQ|33|34|UGjhu6UgbOG7pWMgSSwgUGjhuqduIElJLCBDaMawxqFuZyBJViwgbeG7pWMgNQ==|
source|RVNUfFNoZWV0MjR8MjQ=|2||0|0||V29ya2Jvb2s</vt:lpwstr>
  </property>
  <property fmtid="{D5CDD505-2E9C-101B-9397-08002B2CF9AE}" pid="125" name="TTBMVN.ResultAudit.Part.b24958dd8ddf45b1a9686d30672dfaf5.0058">
    <vt:lpwstr>6U2hlZXQyMCFGMTE=
source|RVNUfFNoZWV0MjR8MjQ=|2||0|0||V29ya2Jvb2s6U2hlZXQyMCFGMzU=
source|RVNUfFNoZWV0MjR8MjQ=|2||0|0||V29ya2Jvb2s6U2hlZXQyMCFGNDY=
source|RVNUfFNoZWV0MjR8MjQ=|2||0|0||V29ya2Jvb2s6U2hlZXQyMCFGNTE=
source|RVNUfFNoZWV0MjR8MjQ=</vt:lpwstr>
  </property>
  <property fmtid="{D5CDD505-2E9C-101B-9397-08002B2CF9AE}" pid="126" name="TTBMVN.ResultAudit.Part.b24958dd8ddf45b1a9686d30672dfaf5.0059">
    <vt:lpwstr>|2||0|0||V29ya2Jvb2s6U2hlZXQyMCFGNTY=
source|RVNUfFNoZWV0MjR8MjQ=|2||0|0||V29ya2Jvb2s6U2hlZXQyMCFGNjI=
source|RVNUfFNoZWV0MjR8MjQ=|3||0|0||SUYoUk9VTkQoJEQyMSpQMjQsMCk9MCwxLFJPVU5EKCskRDIxKlAyNCwwKSk=
source|RVNUfFNoZWV0MjR8MjQ=|4||0|0||U2hl</vt:lpwstr>
  </property>
  <property fmtid="{D5CDD505-2E9C-101B-9397-08002B2CF9AE}" pid="127" name="TTBMVN.ResultAudit.Part.b24958dd8ddf45b1a9686d30672dfaf5.0060">
    <vt:lpwstr>ZXQyNCFGMjQ6TjI0
source|RVNUfFNoZWV0MjR8MjQ=|6||0|0||VFRCTVZOX0JJTkRJTkd8VFRBeE1DNUVTVlpKVGtjPXxUVUZEU0VsT1JTMU5NREV3TGpBeU9RPT18VG1oaGNDQjBkU0JpWVc1bklHUnZiaUJuYVdFZ2JHVm5ZV041SUZOb1pXVjBNVEFoUWpFd01BPT0=
source|RVNUfFNoZWV0MjR8MjQ=|6||0|0</vt:lpwstr>
  </property>
  <property fmtid="{D5CDD505-2E9C-101B-9397-08002B2CF9AE}" pid="128" name="TTBMVN.ResultAudit.Part.b24958dd8ddf45b1a9686d30672dfaf5.0061">
    <vt:lpwstr>||VFRCTVZOX1BMQU58VjBGVVJWSjhUazlTVFMwd016QXVNRFV3TUh4M1lYUmxjaTB3TGpVdE1USjhNUT09fFYwRlVSVkk9fFVuaXRSYXRlV2F0ZXJ8MTAzfHw=
entry|RVNUfFNoZWV0MjR8MjU=|RXN0aW1hdGVBcHBlbmRpeA==|1|U2hlZXQyNA==|RXN0aW1hdGVBcHBlbmRpeA==|25|6|25|14|TOG6t24geOG7rS</vt:lpwstr>
  </property>
  <property fmtid="{D5CDD505-2E9C-101B-9397-08002B2CF9AE}" pid="129" name="TTBMVN.ResultAudit.Part.b24958dd8ddf45b1a9686d30672dfaf5.0062">
    <vt:lpwstr>Bsw70gdMOtbiBoaeG7h3UgdOG7qyDEkeG7mSBzw6J1IDFtIC0gM20gKCAwLDEgVEgvaGEp|QlFQLVJQQk0tMjAyNQ==|Mi4wLjE=|E2537C08E7156414585BEFC446E74DD51E79AB8D67A3774B1F5250E7EECCDA90|VEVTVC1EVDEwMy1QUklDRS1CQVNFTElORQ==|MS4wLjA=|8345661796B51CC48A6E4821015E</vt:lpwstr>
  </property>
  <property fmtid="{D5CDD505-2E9C-101B-9397-08002B2CF9AE}" pid="130" name="TTBMVN.ResultAudit.Part.b24958dd8ddf45b1a9686d30672dfaf5.0063">
    <vt:lpwstr>CA03F301FAA2D4E3168C5AD34C0108100C87|Tk9STS0wMzAuMDYwMA==|d2F0ZXItMC41LTEy
source|RVNUfFNoZWV0MjR8MjU=|1|VkJITjk3LTIwMjUtQlFQ|34|35|UGjhu6UgbOG7pWMgSSwgUGjhuqduIElJLCBDaMawxqFuZyBJViwgbeG7pWMgNg==|
source|RVNUfFNoZWV0MjR8MjU=|2||0|0||V29ya2</vt:lpwstr>
  </property>
  <property fmtid="{D5CDD505-2E9C-101B-9397-08002B2CF9AE}" pid="131" name="TTBMVN.ResultAudit.Part.b24958dd8ddf45b1a9686d30672dfaf5.0064">
    <vt:lpwstr>Jvb2s6U2hlZXQyMCFGMTAx
source|RVNUfFNoZWV0MjR8MjU=|2||0|0||V29ya2Jvb2s6U2hlZXQyMCFGMTE=
source|RVNUfFNoZWV0MjR8MjU=|2||0|0||V29ya2Jvb2s6U2hlZXQyMCFGMzU=
source|RVNUfFNoZWV0MjR8MjU=|2||0|0||V29ya2Jvb2s6U2hlZXQyMCFGNDY=
source|RVNUfFNoZWV0MjR</vt:lpwstr>
  </property>
  <property fmtid="{D5CDD505-2E9C-101B-9397-08002B2CF9AE}" pid="132" name="TTBMVN.ResultAudit.Part.b24958dd8ddf45b1a9686d30672dfaf5.0065">
    <vt:lpwstr>8MjU=|2||0|0||V29ya2Jvb2s6U2hlZXQyMCFGNTE=
source|RVNUfFNoZWV0MjR8MjU=|2||0|0||V29ya2Jvb2s6U2hlZXQyMCFGNTY=
source|RVNUfFNoZWV0MjR8MjU=|2||0|0||V29ya2Jvb2s6U2hlZXQyMCFGNjc=
source|RVNUfFNoZWV0MjR8MjU=|3||0|0||SUYoUk9VTkQoJEQyMSpQMjUsMCk9MCw</vt:lpwstr>
  </property>
  <property fmtid="{D5CDD505-2E9C-101B-9397-08002B2CF9AE}" pid="133" name="TTBMVN.ResultAudit.Part.b24958dd8ddf45b1a9686d30672dfaf5.0066">
    <vt:lpwstr>xLFJPVU5EKCREMjEqUDI1LDApKQ==
source|RVNUfFNoZWV0MjR8MjU=|4||0|0||U2hlZXQyNCFGMjU6TjI1
source|RVNUfFNoZWV0MjR8MjU=|6||0|0||VFRCTVZOX0JJTkRJTkd8VFRBeE1DNUVTVlpKVGtjPXxUVUZEU0VsT1JTMU5NREV3TGpBek1BPT18VG1oaGNDQjBkU0JpWVc1bklHUnZiaUJuYVdFZ2JHV</vt:lpwstr>
  </property>
  <property fmtid="{D5CDD505-2E9C-101B-9397-08002B2CF9AE}" pid="134" name="TTBMVN.ResultAudit.Part.b24958dd8ddf45b1a9686d30672dfaf5.0067">
    <vt:lpwstr>m5ZV041SUZOb1pXVjBNVEFoUWpFeE9BPT0=
source|RVNUfFNoZWV0MjR8MjU=|6||0|0||VFRCTVZOX1BMQU58VjBGVVJWSjhUazlTVFMwd016QXVNRFl3TUh4M1lYUmxjaTB3TGpVdE1USjhNUT09fFYwRlVSVkk9fFVuaXRSYXRlV2F0ZXJ8MTIxfHw=
entry|RVNUfFNoZWV0MjR8QkxPQ0s=|RXN0aW1hdGVBcHBl</vt:lpwstr>
  </property>
  <property fmtid="{D5CDD505-2E9C-101B-9397-08002B2CF9AE}" pid="135" name="TTBMVN.ResultAudit.Part.b24958dd8ddf45b1a9686d30672dfaf5.0068">
    <vt:lpwstr>bmRpeA==|2|U2hlZXQyNA==|RXN0aW1hdGVBcHBlbmRpeA==|11|6|27|14|UGh1IGx1YyBkdSB0b2FuIHRoaSBjb25n|QlFQLVJQQk0tMjAyNQ==|Mi4wLjE=|E2537C08E7156414585BEFC446E74DD51E79AB8D67A3774B1F5250E7EECCDA90|VEVTVC1EVDEwMy1QUklDRS1CQVNFTElORQ==|MS4wLjA=|834566</vt:lpwstr>
  </property>
  <property fmtid="{D5CDD505-2E9C-101B-9397-08002B2CF9AE}" pid="136" name="TTBMVN.ResultAudit.Part.b24958dd8ddf45b1a9686d30672dfaf5.0069">
    <vt:lpwstr>1796B51CC48A6E4821015ECA03F301FAA2D4E3168C5AD34C0108100C87||
source|RVNUfFNoZWV0MjR8QkxPQ0s=|1|VkJITjk3LTIwMjUtQlFQ|21|21|UGjhu6UgbOG7pWMgSSwgUGjhuqduIElJLCBDaMawxqFuZyBJSSwgbeG7pWMgMg==|
source|RVNUfFNoZWV0MjR8QkxPQ0s=|1|VkJITjk3LTIwMjUtQl</vt:lpwstr>
  </property>
  <property fmtid="{D5CDD505-2E9C-101B-9397-08002B2CF9AE}" pid="137" name="TTBMVN.ResultAudit.Part.b24958dd8ddf45b1a9686d30672dfaf5.0070">
    <vt:lpwstr>FQ|23|23|UGjhu6UgbOG7pWMgSSwgUGjhuqduIElJLCBDaMawxqFuZyBJSUksIG3hu6VjIDI=|
source|RVNUfFNoZWV0MjR8QkxPQ0s=|1|VkJITjk3LTIwMjUtQlFQ|23|24|UGjhu6UgbOG7pWMgSSwgUGjhuqduIElJLCBDaMawxqFuZyBJSUksIG3hu6VjIDM=|
source|RVNUfFNoZWV0MjR8QkxPQ0s=|1|VkJI</vt:lpwstr>
  </property>
  <property fmtid="{D5CDD505-2E9C-101B-9397-08002B2CF9AE}" pid="138" name="TTBMVN.ResultAudit.Part.b24958dd8ddf45b1a9686d30672dfaf5.0071">
    <vt:lpwstr>Tjk3LTIwMjUtQlFQ|24|25|UGjhu6UgbOG7pWMgSSwgUGjhuqduIElJLCBDaMawxqFuZyBJSUksIG3hu6VjIDU=|
source|RVNUfFNoZWV0MjR8QkxPQ0s=|1|VkJITjk3LTIwMjUtQlFQ|26|26|UGjhu6UgbOG7pWMgSSwgUGjhuqduIElJLCBDaMawxqFuZyBJSUksIG3hu6VjIDc=|
source|RVNUfFNoZWV0MjR8Q</vt:lpwstr>
  </property>
  <property fmtid="{D5CDD505-2E9C-101B-9397-08002B2CF9AE}" pid="139" name="TTBMVN.ResultAudit.Part.b24958dd8ddf45b1a9686d30672dfaf5.0072">
    <vt:lpwstr>kxPQ0s=|1|VkJITjk3LTIwMjUtQlFQ|30|31|UGjhu6UgbOG7pWMgSSwgUGjhuqduIElJLCBDaMawxqFuZyBJViwgbeG7pWMgMQ==|
source|RVNUfFNoZWV0MjR8QkxPQ0s=|1|VkJITjk3LTIwMjUtQlFQ|31|32|UGjhu6UgbOG7pWMgSSwgUGjhuqduIElJLCBDaMawxqFuZyBJViwgbeG7pWMgMg==|
source|RVN</vt:lpwstr>
  </property>
  <property fmtid="{D5CDD505-2E9C-101B-9397-08002B2CF9AE}" pid="140" name="TTBMVN.ResultAudit.Part.b24958dd8ddf45b1a9686d30672dfaf5.0073">
    <vt:lpwstr>UfFNoZWV0MjR8QkxPQ0s=|1|VkJITjk3LTIwMjUtQlFQ|32|33|UGjhu6UgbOG7pWMgSSwgUGjhuqduIElJLCBDaMawxqFuZyBJViwgbeG7pWMgMw==|
source|RVNUfFNoZWV0MjR8QkxPQ0s=|1|VkJITjk3LTIwMjUtQlFQ|33|33|UGjhu6UgbOG7pWMgSSwgUGjhuqduIElJLCBDaMawxqFuZyBJViwgbeG7pWMgNA</vt:lpwstr>
  </property>
  <property fmtid="{D5CDD505-2E9C-101B-9397-08002B2CF9AE}" pid="141" name="TTBMVN.ResultAudit.Part.b24958dd8ddf45b1a9686d30672dfaf5.0074">
    <vt:lpwstr>==|
source|RVNUfFNoZWV0MjR8QkxPQ0s=|1|VkJITjk3LTIwMjUtQlFQ|33|34|UGjhu6UgbOG7pWMgSSwgUGjhuqduIElJLCBDaMawxqFuZyBJViwgbeG7pWMgNQ==|
source|RVNUfFNoZWV0MjR8QkxPQ0s=|1|VkJITjk3LTIwMjUtQlFQ|34|35|UGjhu6UgbOG7pWMgSSwgUGjhuqduIElJLCBDaMawxqFuZyBJ</vt:lpwstr>
  </property>
  <property fmtid="{D5CDD505-2E9C-101B-9397-08002B2CF9AE}" pid="142" name="TTBMVN.ResultAudit.Part.b24958dd8ddf45b1a9686d30672dfaf5.0075">
    <vt:lpwstr>ViwgbeG7pWMgNg==|
source|RVNUfFNoZWV0MjR8QkxPQ0s=|2||0|0||V29ya2Jvb2s6U2hlZXQyMCFGMTAw
source|RVNUfFNoZWV0MjR8QkxPQ0s=|2||0|0||V29ya2Jvb2s6U2hlZXQyMCFGMTAx
source|RVNUfFNoZWV0MjR8QkxPQ0s=|2||0|0||V29ya2Jvb2s6U2hlZXQyMCFGMTE=
source|RVNUfFNo</vt:lpwstr>
  </property>
  <property fmtid="{D5CDD505-2E9C-101B-9397-08002B2CF9AE}" pid="143" name="TTBMVN.ResultAudit.Part.b24958dd8ddf45b1a9686d30672dfaf5.0076">
    <vt:lpwstr>ZWV0MjR8QkxPQ0s=|2||0|0||V29ya2Jvb2s6U2hlZXQyMCFGMTU=
source|RVNUfFNoZWV0MjR8QkxPQ0s=|2||0|0||V29ya2Jvb2s6U2hlZXQyMCFGMjM=
source|RVNUfFNoZWV0MjR8QkxPQ0s=|2||0|0||V29ya2Jvb2s6U2hlZXQyMCFGMjk=
source|RVNUfFNoZWV0MjR8QkxPQ0s=|2||0|0||V29ya2Jv</vt:lpwstr>
  </property>
  <property fmtid="{D5CDD505-2E9C-101B-9397-08002B2CF9AE}" pid="144" name="TTBMVN.ResultAudit.Part.b24958dd8ddf45b1a9686d30672dfaf5.0077">
    <vt:lpwstr>b2s6U2hlZXQyMCFGMzU=
source|RVNUfFNoZWV0MjR8QkxPQ0s=|2||0|0||V29ya2Jvb2s6U2hlZXQyMCFGNDE=
source|RVNUfFNoZWV0MjR8QkxPQ0s=|2||0|0||V29ya2Jvb2s6U2hlZXQyMCFGNDY=
source|RVNUfFNoZWV0MjR8QkxPQ0s=|2||0|0||V29ya2Jvb2s6U2hlZXQyMCFGNTE=
source|RVNUf</vt:lpwstr>
  </property>
  <property fmtid="{D5CDD505-2E9C-101B-9397-08002B2CF9AE}" pid="145" name="TTBMVN.ResultAudit.Part.b24958dd8ddf45b1a9686d30672dfaf5.0078">
    <vt:lpwstr>FNoZWV0MjR8QkxPQ0s=|2||0|0||V29ya2Jvb2s6U2hlZXQyMCFGNTY=
source|RVNUfFNoZWV0MjR8QkxPQ0s=|2||0|0||V29ya2Jvb2s6U2hlZXQyMCFGNjI=
source|RVNUfFNoZWV0MjR8QkxPQ0s=|2||0|0||V29ya2Jvb2s6U2hlZXQyMCFGNjc=
source|RVNUfFNoZWV0MjR8QkxPQ0s=|2||0|0||V29ya</vt:lpwstr>
  </property>
  <property fmtid="{D5CDD505-2E9C-101B-9397-08002B2CF9AE}" pid="146" name="TTBMVN.ResultAudit.Part.b24958dd8ddf45b1a9686d30672dfaf5.0079">
    <vt:lpwstr>2Jvb2s6U2hlZXQyMCFGODE=
source|RVNUfFNoZWV0MjR8QkxPQ0s=|2||0|0||V29ya2Jvb2s6U2hlZXQyMCFGODI=
source|RVNUfFNoZWV0MjR8QkxPQ0s=|2||0|0||V29ya2Jvb2s6U2hlZXQyMCFGODM=
source|RVNUfFNoZWV0MjR8QkxPQ0s=|2||0|0||V29ya2Jvb2s6U2hlZXQyMCFGODQ=
source|RV</vt:lpwstr>
  </property>
  <property fmtid="{D5CDD505-2E9C-101B-9397-08002B2CF9AE}" pid="147" name="TTBMVN.ResultAudit.Part.b24958dd8ddf45b1a9686d30672dfaf5.0080">
    <vt:lpwstr>NUfFNoZWV0MjR8QkxPQ0s=|2||0|0||V29ya2Jvb2s6U2hlZXQyMCFGODU=
source|RVNUfFNoZWV0MjR8QkxPQ0s=|2||0|0||V29ya2Jvb2s6U2hlZXQyMCFGODY=
source|RVNUfFNoZWV0MjR8QkxPQ0s=|2||0|0||V29ya2Jvb2s6U2hlZXQyMCFGODc=
source|RVNUfFNoZWV0MjR8QkxPQ0s=|2||0|0||V2</vt:lpwstr>
  </property>
  <property fmtid="{D5CDD505-2E9C-101B-9397-08002B2CF9AE}" pid="148" name="TTBMVN.ResultAudit.Part.b24958dd8ddf45b1a9686d30672dfaf5.0081">
    <vt:lpwstr>9ya2Jvb2s6U2hlZXQyMCFGODg=
source|RVNUfFNoZWV0MjR8QkxPQ0s=|2||0|0||V29ya2Jvb2s6U2hlZXQyMCFGOTI=
source|RVNUfFNoZWV0MjR8QkxPQ0s=|2||0|0||V29ya2Jvb2s6U2hlZXQyMCFGOTM=
source|RVNUfFNoZWV0MjR8QkxPQ0s=|2||0|0||V29ya2Jvb2s6U2hlZXQyMCFGOTQ=
source</vt:lpwstr>
  </property>
  <property fmtid="{D5CDD505-2E9C-101B-9397-08002B2CF9AE}" pid="149" name="TTBMVN.ResultAudit.Part.b24958dd8ddf45b1a9686d30672dfaf5.0082">
    <vt:lpwstr>|RVNUfFNoZWV0MjR8QkxPQ0s=|2||0|0||V29ya2Jvb2s6U2hlZXQyMCFGOTU=
source|RVNUfFNoZWV0MjR8QkxPQ0s=|2||0|0||V29ya2Jvb2s6U2hlZXQyMCFGOTY=
source|RVNUfFNoZWV0MjR8QkxPQ0s=|2||0|0||V29ya2Jvb2s6U2hlZXQyMCFGOTc=
source|RVNUfFNoZWV0MjR8QkxPQ0s=|2||0|0|</vt:lpwstr>
  </property>
  <property fmtid="{D5CDD505-2E9C-101B-9397-08002B2CF9AE}" pid="150" name="TTBMVN.ResultAudit.Part.b24958dd8ddf45b1a9686d30672dfaf5.0083">
    <vt:lpwstr>|V29ya2Jvb2s6U2hlZXQyMCFGOTk=
source|RVNUfFNoZWV0MjR8QkxPQ0s=|3||0|0||SUYoUk9VTkQoJEQyMSpQMjQsMCk9MCwxLFJPVU5EKCskRDIxKlAyNCwwKSk=
source|RVNUfFNoZWV0MjR8QkxPQ0s=|3||0|0||SUYoUk9VTkQoJEQyMSpQMjUsMCk9MCwxLFJPVU5EKCREMjEqUDI1LDApKQ==
source|R</vt:lpwstr>
  </property>
  <property fmtid="{D5CDD505-2E9C-101B-9397-08002B2CF9AE}" pid="151" name="TTBMVN.ResultAudit.Part.b24958dd8ddf45b1a9686d30672dfaf5.0084">
    <vt:lpwstr>VNUfFNoZWV0MjR8QkxPQ0s=|3||0|0||Uk9VTkQoKEQxNStEMTYpKlAxNywwKSoyLjg2
source|RVNUfFNoZWV0MjR8QkxPQ0s=|3||0|0||Uk9VTkQoRDEzKlAxMiUsMyk=
source|RVNUfFNoZWV0MjR8QkxPQ0s=|3||0|0||Uk9VTkQoRDEzKlAxNCwwKQ==
source|RVNUfFNoZWV0MjR8QkxPQ0s=|3||0|0||U</vt:lpwstr>
  </property>
  <property fmtid="{D5CDD505-2E9C-101B-9397-08002B2CF9AE}" pid="152" name="TTBMVN.ResultAudit.Part.b24958dd8ddf45b1a9686d30672dfaf5.0085">
    <vt:lpwstr>k9VTkQoRDE2KlAxOCwwKSoxNC42Nw==
source|RVNUfFNoZWV0MjR8QkxPQ0s=|3||0|0||Uk9VTkQoRDIwKlAyMywwKQ==
source|RVNUfFNoZWV0MjR8QkxPQ0s=|3||0|0||U1VNKEQyMzpFMjUp
source|RVNUfFNoZWV0MjR8QkxPQ0s=|3||0|0||U2hlZXQyNCFEMTY=
source|RVNUfFNoZWV0MjR8QkxPQ0</vt:lpwstr>
  </property>
  <property fmtid="{D5CDD505-2E9C-101B-9397-08002B2CF9AE}" pid="153" name="TTBMVN.ResultAudit.Part.b24958dd8ddf45b1a9686d30672dfaf5.0086">
    <vt:lpwstr>s=|3||0|0||VEhLTCFGMTg=
source|RVNUfFNoZWV0MjR8QkxPQ0s=|3||0|0||VEhLTCFGMTk=
source|RVNUfFNoZWV0MjR8QkxPQ0s=|3||0|0||VEhLTCFGMjE=
source|RVNUfFNoZWV0MjR8QkxPQ0s=|3||0|0||VEhLTCFGMjI=
source|RVNUfFNoZWV0MjR8QkxPQ0s=|4||0|0||U2hlZXQyNCFGMTI6T</vt:lpwstr>
  </property>
  <property fmtid="{D5CDD505-2E9C-101B-9397-08002B2CF9AE}" pid="154" name="TTBMVN.ResultAudit.Part.b24958dd8ddf45b1a9686d30672dfaf5.0087">
    <vt:lpwstr>jEy
source|RVNUfFNoZWV0MjR8QkxPQ0s=|4||0|0||U2hlZXQyNCFGMTM6TjEz
source|RVNUfFNoZWV0MjR8QkxPQ0s=|4||0|0||U2hlZXQyNCFGMTQ6TjE0
source|RVNUfFNoZWV0MjR8QkxPQ0s=|4||0|0||U2hlZXQyNCFGMTU6TjE1
source|RVNUfFNoZWV0MjR8QkxPQ0s=|4||0|0||U2hlZXQyNCFGM</vt:lpwstr>
  </property>
  <property fmtid="{D5CDD505-2E9C-101B-9397-08002B2CF9AE}" pid="155" name="TTBMVN.ResultAudit.Part.b24958dd8ddf45b1a9686d30672dfaf5.0088">
    <vt:lpwstr>TY6TjE2
source|RVNUfFNoZWV0MjR8QkxPQ0s=|4||0|0||U2hlZXQyNCFGMTc6TjE3
source|RVNUfFNoZWV0MjR8QkxPQ0s=|4||0|0||U2hlZXQyNCFGMTg6TjE4
source|RVNUfFNoZWV0MjR8QkxPQ0s=|4||0|0||U2hlZXQyNCFGMjA6TjIw
source|RVNUfFNoZWV0MjR8QkxPQ0s=|4||0|0||U2hlZXQyN</vt:lpwstr>
  </property>
  <property fmtid="{D5CDD505-2E9C-101B-9397-08002B2CF9AE}" pid="156" name="TTBMVN.ResultAudit.Part.b24958dd8ddf45b1a9686d30672dfaf5.0089">
    <vt:lpwstr>CFGMjE6TjIx
source|RVNUfFNoZWV0MjR8QkxPQ0s=|4||0|0||U2hlZXQyNCFGMjI6TjIy
source|RVNUfFNoZWV0MjR8QkxPQ0s=|4||0|0||U2hlZXQyNCFGMjM6TjIz
source|RVNUfFNoZWV0MjR8QkxPQ0s=|4||0|0||U2hlZXQyNCFGMjQ6TjI0
source|RVNUfFNoZWV0MjR8QkxPQ0s=|4||0|0||U2hlZ</vt:lpwstr>
  </property>
  <property fmtid="{D5CDD505-2E9C-101B-9397-08002B2CF9AE}" pid="157" name="TTBMVN.ResultAudit.Part.b24958dd8ddf45b1a9686d30672dfaf5.0090">
    <vt:lpwstr>XQyNCFGMjU6TjI1
source|RVNUfFNoZWV0MjR8QkxPQ0s=|6||0|0||VFRCTVZOX0JMT0NLfDI2fDI3fFkzVnljbVZ1ZEMxbmRDMHdMV3hsTFRBdU5RPT0=
entry|VEhLUHxTaGVldDE2fEJMT0NL|Q29zdFN1bW1hcnk=|4|U2hlZXQxNg==|Q29zdFN1bW1hcnk=|10|4|27|5|VG9uZyBob3Aga2luaCBwaGk=|QlFQ</vt:lpwstr>
  </property>
  <property fmtid="{D5CDD505-2E9C-101B-9397-08002B2CF9AE}" pid="158" name="TTBMVN.ResultAudit.Part.b24958dd8ddf45b1a9686d30672dfaf5.0091">
    <vt:lpwstr>LVJQQk0tMjAyNQ==|Mi4wLjE=|E2537C08E7156414585BEFC446E74DD51E79AB8D67A3774B1F5250E7EECCDA90|VEVTVC1EVDEwMy1QUklDRS1CQVNFTElORQ==|MS4wLjA=|8345661796B51CC48A6E4821015ECA03F301FAA2D4E3168C5AD34C0108100C87||
source|VEhLUHxTaGVldDE2fEJMT0NL|1|Vk</vt:lpwstr>
  </property>
  <property fmtid="{D5CDD505-2E9C-101B-9397-08002B2CF9AE}" pid="159" name="TTBMVN.ResultAudit.Part.b24958dd8ddf45b1a9686d30672dfaf5.0092">
    <vt:lpwstr>JITjk3LTIwMjUtQlFQ|44|44|UGjhu6UgbOG7pWMgSUksIFBo4bqnbiBJLCBt4bulYyBJSUkuMSwgZMOybmcgMg==|
source|VEhLUHxTaGVldDE2fEJMT0NL|1|VkJITjk3LTIwMjUtQlFQ|45|45|UGjhu6UgbOG7pWMgSUksIFBo4bqnbiBJLCBt4bulYyBJSUkuMiwgZMOybmcgMQ==|
source|VEhLUHxTaGVldDE</vt:lpwstr>
  </property>
  <property fmtid="{D5CDD505-2E9C-101B-9397-08002B2CF9AE}" pid="160" name="TTBMVN.ResultAudit.Part.b24958dd8ddf45b1a9686d30672dfaf5.0093">
    <vt:lpwstr>2fEJMT0NL|1|VkJITjk3LTIwMjUtQlFQ|45|45|UGjhu6UgbOG7pWMgSUksIFBo4bqnbiBJLCBt4bulYyBJSUkuMywgbeG7qWMgMQ==|
source|VEhLUHxTaGVldDE2fEJMT0NL|1|VkJITjk3LTIwMjUtQlFQ|45|45|UGjhu6UgbOG7pWMgSUksIFBo4bqnbiBJLCBt4bulYyBJSUkuNCwgZMOybmcgNA==|
source|V</vt:lpwstr>
  </property>
  <property fmtid="{D5CDD505-2E9C-101B-9397-08002B2CF9AE}" pid="161" name="TTBMVN.ResultAudit.Part.b24958dd8ddf45b1a9686d30672dfaf5.0094">
    <vt:lpwstr>EhLUHxTaGVldDE2fEJMT0NL|1|VkJITjk3LTIwMjUtQlFQ|46|46|UGjhu6UgbOG7pWMgSUksIFBo4bqnbiBJLCBt4bulYyBJSUkuNSwgbeG7qWMgMQ==|
source|VEhLUHxTaGVldDE2fEJMT0NL|4||0|0||U2hlZXQyNCFJMjc6SzI3
source|VEhLUHxTaGVldDE2fEJMT0NL|5||0|0||VFQzNi0yMDI2LUJYRC1Q</vt:lpwstr>
  </property>
  <property fmtid="{D5CDD505-2E9C-101B-9397-08002B2CF9AE}" pid="162" name="TTBMVN.ResultAudit.Part.b24958dd8ddf45b1a9686d30672dfaf5.0095">
    <vt:lpwstr>TDMtdGFibGUtMy43
source|VEhLUHxTaGVldDE2fEJMT0NL|5||0|0||VFQzOC0yMDI2LUJYRC1QTDgtdGFibGUtMi4yNA==
entry|VEhLUHxTaGVldDE2fEsx|Q29zdFN1bW1hcnk=|3|U2hlZXQxNg==|Q29zdFN1bW1hcnk=|18|4|18|5|SzE=|QlFQLVJQQk0tMjAyNQ==|Mi4wLjE=|E2537C08E7156414585BE</vt:lpwstr>
  </property>
  <property fmtid="{D5CDD505-2E9C-101B-9397-08002B2CF9AE}" pid="163" name="TTBMVN.ResultAudit.Part.b24958dd8ddf45b1a9686d30672dfaf5.0096">
    <vt:lpwstr>FC446E74DD51E79AB8D67A3774B1F5250E7EECCDA90|VEVTVC1EVDEwMy1QUklDRS1CQVNFTElORQ==|MS4wLjA=|8345661796B51CC48A6E4821015ECA03F301FAA2D4E3168C5AD34C0108100C87||
source|VEhLUHxTaGVldDE2fEsx|1|VkJITjk3LTIwMjUtQlFQ|44|44|UGjhu6UgbOG7pWMgSUksIFBo4b</vt:lpwstr>
  </property>
  <property fmtid="{D5CDD505-2E9C-101B-9397-08002B2CF9AE}" pid="164" name="TTBMVN.ResultAudit.Part.b24958dd8ddf45b1a9686d30672dfaf5.0097">
    <vt:lpwstr>qnbiBJLCBt4bulYyBJSUkuMSwgZMOybmcgMg==|
entry|VEhLUHxTaGVldDE2fEsy|Q29zdFN1bW1hcnk=|3|U2hlZXQxNg==|Q29zdFN1bW1hcnk=|19|4|19|5|SzI=|QlFQLVJQQk0tMjAyNQ==|Mi4wLjE=|E2537C08E7156414585BEFC446E74DD51E79AB8D67A3774B1F5250E7EECCDA90|VEVTVC1EVDEwMy</vt:lpwstr>
  </property>
  <property fmtid="{D5CDD505-2E9C-101B-9397-08002B2CF9AE}" pid="165" name="TTBMVN.ResultAudit.Part.b24958dd8ddf45b1a9686d30672dfaf5.0098">
    <vt:lpwstr>1QUklDRS1CQVNFTElORQ==|MS4wLjA=|8345661796B51CC48A6E4821015ECA03F301FAA2D4E3168C5AD34C0108100C87||
source|VEhLUHxTaGVldDE2fEsy|1|VkJITjk3LTIwMjUtQlFQ|45|45|UGjhu6UgbOG7pWMgSUksIFBo4bqnbiBJLCBt4bulYyBJSUkuMiwgZMOybmcgMQ==|
source|VEhLUHxTaGV</vt:lpwstr>
  </property>
  <property fmtid="{D5CDD505-2E9C-101B-9397-08002B2CF9AE}" pid="166" name="TTBMVN.ResultAudit.Part.b24958dd8ddf45b1a9686d30672dfaf5.0099">
    <vt:lpwstr>ldDE2fEsy|5||0|0||VFQzNi0yMDI2LUJYRC1QTDMtdGFibGUtMy43
entry|VEhLUHxTaGVldDE2fEsz|Q29zdFN1bW1hcnk=|3|U2hlZXQxNg==|Q29zdFN1bW1hcnk=|20|4|20|5|SzM=|QlFQLVJQQk0tMjAyNQ==|Mi4wLjE=|E2537C08E7156414585BEFC446E74DD51E79AB8D67A3774B1F5250E7EECCDA90</vt:lpwstr>
  </property>
  <property fmtid="{D5CDD505-2E9C-101B-9397-08002B2CF9AE}" pid="167" name="TTBMVN.ResultAudit.Part.b24958dd8ddf45b1a9686d30672dfaf5.0100">
    <vt:lpwstr>|VEVTVC1EVDEwMy1QUklDRS1CQVNFTElORQ==|MS4wLjA=|8345661796B51CC48A6E4821015ECA03F301FAA2D4E3168C5AD34C0108100C87||
source|VEhLUHxTaGVldDE2fEsz|1|VkJITjk3LTIwMjUtQlFQ|45|45|UGjhu6UgbOG7pWMgSUksIFBo4bqnbiBJLCBt4bulYyBJSUkuMywgbeG7qWMgMQ==|
ent</vt:lpwstr>
  </property>
  <property fmtid="{D5CDD505-2E9C-101B-9397-08002B2CF9AE}" pid="168" name="TTBMVN.ResultAudit.Part.b24958dd8ddf45b1a9686d30672dfaf5.0101">
    <vt:lpwstr>ry|VEhLUHxTaGVldDE2fEs0|Q29zdFN1bW1hcnk=|3|U2hlZXQxNg==|Q29zdFN1bW1hcnk=|21|4|21|5|SzQ=|QlFQLVJQQk0tMjAyNQ==|Mi4wLjE=|E2537C08E7156414585BEFC446E74DD51E79AB8D67A3774B1F5250E7EECCDA90|VEVTVC1EVDEwMy1QUklDRS1CQVNFTElORQ==|MS4wLjA=|8345661796B</vt:lpwstr>
  </property>
  <property fmtid="{D5CDD505-2E9C-101B-9397-08002B2CF9AE}" pid="169" name="TTBMVN.ResultAudit.Part.b24958dd8ddf45b1a9686d30672dfaf5.0102">
    <vt:lpwstr>51CC48A6E4821015ECA03F301FAA2D4E3168C5AD34C0108100C87||
source|VEhLUHxTaGVldDE2fEs0|1|VkJITjk3LTIwMjUtQlFQ|44|44|UGjhu6UgbOG7pWMgSUksIFBo4bqnbiBJLCBt4bulYyBJSUkuMSwgZMOybmcgMg==|
entry|VEhLUHxTaGVldDE2fEs1|Q29zdFN1bW1hcnk=|3|U2hlZXQxNg==|Q2</vt:lpwstr>
  </property>
  <property fmtid="{D5CDD505-2E9C-101B-9397-08002B2CF9AE}" pid="170" name="TTBMVN.ResultAudit.Part.b24958dd8ddf45b1a9686d30672dfaf5.0103">
    <vt:lpwstr>9zdFN1bW1hcnk=|22|4|22|5|SzU=|QlFQLVJQQk0tMjAyNQ==|Mi4wLjE=|E2537C08E7156414585BEFC446E74DD51E79AB8D67A3774B1F5250E7EECCDA90|VEVTVC1EVDEwMy1QUklDRS1CQVNFTElORQ==|MS4wLjA=|8345661796B51CC48A6E4821015ECA03F301FAA2D4E3168C5AD34C0108100C87||
so</vt:lpwstr>
  </property>
  <property fmtid="{D5CDD505-2E9C-101B-9397-08002B2CF9AE}" pid="171" name="TTBMVN.ResultAudit.Part.b24958dd8ddf45b1a9686d30672dfaf5.0104">
    <vt:lpwstr>urce|VEhLUHxTaGVldDE2fEs1|1|VkJITjk3LTIwMjUtQlFQ|45|45|UGjhu6UgbOG7pWMgSUksIFBo4bqnbiBJLCBt4bulYyBJSUkuNCwgZMOybmcgNA==|
source|VEhLUHxTaGVldDE2fEs1|5||0|0||VFQzOC0yMDI2LUJYRC1QTDgtdGFibGUtMi4yNA==
entry|VEhLUHxTaGVldDE2fEs2|Q29zdFN1bW1hcnk</vt:lpwstr>
  </property>
  <property fmtid="{D5CDD505-2E9C-101B-9397-08002B2CF9AE}" pid="172" name="TTBMVN.ResultAudit.Part.b24958dd8ddf45b1a9686d30672dfaf5.0105">
    <vt:lpwstr>=|3|U2hlZXQxNg==|Q29zdFN1bW1hcnk=|23|4|23|5|SzY=|QlFQLVJQQk0tMjAyNQ==|Mi4wLjE=|E2537C08E7156414585BEFC446E74DD51E79AB8D67A3774B1F5250E7EECCDA90|VEVTVC1EVDEwMy1QUklDRS1CQVNFTElORQ==|MS4wLjA=|8345661796B51CC48A6E4821015ECA03F301FAA2D4E3168C5A</vt:lpwstr>
  </property>
  <property fmtid="{D5CDD505-2E9C-101B-9397-08002B2CF9AE}" pid="173" name="TTBMVN.ResultAudit.Part.b24958dd8ddf45b1a9686d30672dfaf5.0106">
    <vt:lpwstr>D34C0108100C87||
source|VEhLUHxTaGVldDE2fEs2|1|VkJITjk3LTIwMjUtQlFQ|46|46|UGjhu6UgbOG7pWMgSUksIFBo4bqnbiBJLCBt4bulYyBJSUkuNSwgbeG7qWMgMQ==|
entry|VEhLUHxTaGVldDE2fFdPUkRT|Q29zdFN1bW1hcnk=|4|U2hlZXQxNg==|Q29zdFN1bW1hcnk=|28|1|28|1|VG9uZyBraW</vt:lpwstr>
  </property>
  <property fmtid="{D5CDD505-2E9C-101B-9397-08002B2CF9AE}" pid="174" name="TTBMVN.ResultAudit.Part.b24958dd8ddf45b1a9686d30672dfaf5.0107">
    <vt:lpwstr>5oIHBoaSBiYW5nIGNodQ==|QlFQLVJQQk0tMjAyNQ==|Mi4wLjE=|E2537C08E7156414585BEFC446E74DD51E79AB8D67A3774B1F5250E7EECCDA90|VEVTVC1EVDEwMy1QUklDRS1CQVNFTElORQ==|MS4wLjA=|8345661796B51CC48A6E4821015ECA03F301FAA2D4E3168C5AD34C0108100C87||
source|VE</vt:lpwstr>
  </property>
  <property fmtid="{D5CDD505-2E9C-101B-9397-08002B2CF9AE}" pid="175" name="TTBMVN.ResultAudit.Part.b24958dd8ddf45b1a9686d30672dfaf5.0108">
    <vt:lpwstr>hLUHxTaGVldDE2fFdPUkRT|1|VkJITjk3LTIwMjUtQlFQ|44|44|UGjhu6UgbOG7pWMgSUksIFBo4bqnbiBJLCBt4bulYyBJSUkuMSwgZMOybmcgMg==|
source|VEhLUHxTaGVldDE2fFdPUkRT|1|VkJITjk3LTIwMjUtQlFQ|45|45|UGjhu6UgbOG7pWMgSUksIFBo4bqnbiBJLCBt4bulYyBJSUkuMiwgZMOybmcgM</vt:lpwstr>
  </property>
  <property fmtid="{D5CDD505-2E9C-101B-9397-08002B2CF9AE}" pid="176" name="TTBMVN.ResultAudit.Part.b24958dd8ddf45b1a9686d30672dfaf5.0109">
    <vt:lpwstr>Q==|
source|VEhLUHxTaGVldDE2fFdPUkRT|1|VkJITjk3LTIwMjUtQlFQ|45|45|UGjhu6UgbOG7pWMgSUksIFBo4bqnbiBJLCBt4bulYyBJSUkuMywgbeG7qWMgMQ==|
source|VEhLUHxTaGVldDE2fFdPUkRT|1|VkJITjk3LTIwMjUtQlFQ|45|45|UGjhu6UgbOG7pWMgSUksIFBo4bqnbiBJLCBt4bulYyBJSUk</vt:lpwstr>
  </property>
  <property fmtid="{D5CDD505-2E9C-101B-9397-08002B2CF9AE}" pid="177" name="TTBMVN.ResultAudit.Part.b24958dd8ddf45b1a9686d30672dfaf5.0110">
    <vt:lpwstr>uNCwgZMOybmcgNA==|
source|VEhLUHxTaGVldDE2fFdPUkRT|1|VkJITjk3LTIwMjUtQlFQ|46|46|UGjhu6UgbOG7pWMgSUksIFBo4bqnbiBJLCBt4bulYyBJSUkuNSwgbeG7qWMgMQ==|
source|VEhLUHxTaGVldDE2fFdPUkRT|4||0|0||U2hlZXQyNCFJMjc6SzI3
source|VEhLUHxTaGVldDE2fFdPUkRT|5</vt:lpwstr>
  </property>
  <property fmtid="{D5CDD505-2E9C-101B-9397-08002B2CF9AE}" pid="178" name="TTBMVN.ResultAudit.Part.b24958dd8ddf45b1a9686d30672dfaf5.0111">
    <vt:lpwstr>||0|0||VFQzNi0yMDI2LUJYRC1QTDMtdGFibGUtMy43
source|VEhLUHxTaGVldDE2fFdPUkRT|5||0|0||VFQzOC0yMDI2LUJYRC1QTDgtdGFibGUtMi4yNA==</vt:lpwstr>
  </property>
  <property fmtid="{D5CDD505-2E9C-101B-9397-08002B2CF9AE}" pid="179" name="TTBMVN.ProjectProfile.Part.676e5940a86f48d68a9d3c8737e5f629.0000">
    <vt:lpwstr>TTBMVN_PROJECT_PROFILE
schema=2
projectId=VEVTVC1EVC0xMDMtMDAtRFUtVE9BTi1UUDM=
preparedDate=2026-08-03
approvalDate=
priceDate=2026-08-03
regulationPackageId=QlFQLVJQQk0tMjAyMQ==
regulationPackageVersion=MS4wLjA=
regulationPackageChecksum=B</vt:lpwstr>
  </property>
  <property fmtid="{D5CDD505-2E9C-101B-9397-08002B2CF9AE}" pid="180" name="TTBMVN.ProjectProfile.Part.676e5940a86f48d68a9d3c8737e5f629.0001">
    <vt:lpwstr>BE95EFDF3B2DA0780CAFEEF828C9418644452655C733C1BF2417F234C3E8008
priceProfileId=VEVTVC1EVDEwMy1QUklDRS1CQVNFTElORQ==
overrideSummary=RFQtMTAzIHBlcnNpc3RlbmNlIHByb2ZpbGUgb25seTsgbm8gYnVzaW5lc3Mgb3ZlcnJpZGUuIERULTEwMyBwZXJzaXN0ZW5jZSBwcm9maWxl</vt:lpwstr>
  </property>
  <property fmtid="{D5CDD505-2E9C-101B-9397-08002B2CF9AE}" pid="181" name="TTBMVN.ProjectProfile.Part.676e5940a86f48d68a9d3c8737e5f629.0002">
    <vt:lpwstr>IG9ubHk7IG5vIGJ1c2luZXNzIG92ZXJyaWRlLiBEVC0xMDMgcGVyc2lzdGVuY2UgcHJvZmlsZSBvbmx5OyBubyBidXNpbmVzcyBvdmVycmlkZS4gRFQtMTAzIHBlcnNpc3RlbmNlIHByb2ZpbGUgb25seTsgbm8gYnVzaW5lc3Mgb3ZlcnJpZGUuIERULTEwMyBwZXJzaXN0ZW5jZSBwcm9maWxlIG9ubHk7IG5vIGJ1c2lu</vt:lpwstr>
  </property>
  <property fmtid="{D5CDD505-2E9C-101B-9397-08002B2CF9AE}" pid="182" name="TTBMVN.ProjectProfile.Part.676e5940a86f48d68a9d3c8737e5f629.0003">
    <vt:lpwstr>ZXNzIG92ZXJyaWRlLiBEVC0xMDMgcGVyc2lzdGVuY2UgcHJvZmlsZSBvbmx5OyBubyBidXNpbmVzcyBvdmVycmlkZS4gRFQtMTAzIHBlcnNpc3RlbmNlIHByb2ZpbGUgb25seTsgbm8gYnVzaW5lc3Mgb3ZlcnJpZGUuIERULTEwMyBwZXJzaXN0ZW5jZSBwcm9maWxlIG9ubHk7IG5vIGJ1c2luZXNzIG92ZXJyaWRlLiBE</vt:lpwstr>
  </property>
  <property fmtid="{D5CDD505-2E9C-101B-9397-08002B2CF9AE}" pid="183" name="TTBMVN.ProjectProfile.Part.676e5940a86f48d68a9d3c8737e5f629.0004">
    <vt:lpwstr>VC0xMDMgcGVyc2lzdGVuY2UgcHJvZmlsZSBvbmx5OyBubyBidXNpbmVzcyBvdmVycmlkZS4gRFQtMTAzIHBlcnNpc3RlbmNlIHByb2ZpbGUgb25seTsgbm8gYnVzaW5lc3Mgb3ZlcnJpZGUuIERULTEwMyBwZXJzaXN0ZW5jZSBwcm9maWxlIG9ubHk7IG5vIGJ1c2luZXNzIG92ZXJyaWRlLiBEVC0xMDMgcGVyc2lzdGVu</vt:lpwstr>
  </property>
  <property fmtid="{D5CDD505-2E9C-101B-9397-08002B2CF9AE}" pid="184" name="TTBMVN.ProjectProfile.Part.676e5940a86f48d68a9d3c8737e5f629.0005">
    <vt:lpwstr>Y2UgcHJvZmlsZSBvbmx5OyBubyBidXNpbmVzcyBvdmVycmlkZS4gRFQtMTAzIHBlcnNpc3RlbmNlIHByb2ZpbGUgb25seTsgbm8gYnVzaW5lc3Mgb3ZlcnJpZGUuIERULTEwMyBwZXJzaXN0ZW5jZSBwcm9maWxlIG9ubHk7IG5vIGJ1c2luZXNzIG92ZXJyaWRlLiBEVC0xMDMgcGVyc2lzdGVuY2UgcHJvZmlsZSBvbmx5</vt:lpwstr>
  </property>
  <property fmtid="{D5CDD505-2E9C-101B-9397-08002B2CF9AE}" pid="185" name="TTBMVN.ProjectProfile.Part.676e5940a86f48d68a9d3c8737e5f629.0006">
    <vt:lpwstr>OyBubyBidXNpbmVzcyBvdmVycmlkZS4gRFQtMTAzIHBlcnNpc3RlbmNlIHByb2ZpbGUgb25seTsgbm8gYnVzaW5lc3Mgb3ZlcnJpZGUuIERULTEwMyBwZXJzaXN0ZW5jZSBwcm9maWxlIG9ubHk7IG5vIGJ1c2luZXNzIG92ZXJyaWRlLiBEVC0xMDMgcGVyc2lzdGVuY2UgcHJvZmlsZSBvbmx5OyBubyBidXNpbmVzcyBv</vt:lpwstr>
  </property>
  <property fmtid="{D5CDD505-2E9C-101B-9397-08002B2CF9AE}" pid="186" name="TTBMVN.ProjectProfile.Part.676e5940a86f48d68a9d3c8737e5f629.0007">
    <vt:lpwstr>dmVycmlkZS4gRFQtMTAzIHBlcnNpc3RlbmNlIHByb2ZpbGUgb25seTsgbm8gYnVzaW5lc3Mgb3ZlcnJpZGUuIERULTEwMyBwZXJzaXN0ZW5jZSBwcm9maWxlIG9ubHk7IG5vIGJ1c2luZXNzIG92ZXJyaWRlLg==</vt:lpwstr>
  </property>
</Properties>
</file>