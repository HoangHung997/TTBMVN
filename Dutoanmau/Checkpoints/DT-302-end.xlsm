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"/>
    </mc:Choice>
  </mc:AlternateContent>
  <xr:revisionPtr revIDLastSave="0" documentId="8_{FF166D3D-B1F1-4CD1-B871-4D7AC4A45794}" xr6:coauthVersionLast="47" xr6:coauthVersionMax="47" xr10:uidLastSave="{00000000-0000-0000-0000-000000000000}"/>
  <bookViews>
    <workbookView xWindow="-108" yWindow="-108" windowWidth="23256" windowHeight="12456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<sst xmlns="http://schemas.openxmlformats.org/spreadsheetml/2006/main" count="1630" uniqueCount="553">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</sst>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4" t="s">
        <v>436</v>
      </c>
      <c r="D1" s="814"/>
      <c r="E1" s="814"/>
      <c r="F1" s="814"/>
      <c r="G1" s="814"/>
      <c r="H1" s="814"/>
      <c r="I1" s="814"/>
      <c r="J1" s="814"/>
      <c r="K1" s="814"/>
      <c r="L1" s="814"/>
      <c r="M1" s="814"/>
      <c r="N1" s="814"/>
      <c r="O1" s="814"/>
      <c r="P1" s="814"/>
      <c r="Q1" s="814"/>
      <c r="R1" s="710"/>
      <c r="S1" s="710"/>
    </row>
    <row r="2" spans="1:31" ht="20.25" customHeight="1">
      <c r="C2" s="823" t="s">
        <v>541</v>
      </c>
      <c r="D2" s="823"/>
      <c r="E2" s="823"/>
      <c r="F2" s="823"/>
      <c r="G2" s="823"/>
      <c r="H2" s="823"/>
      <c r="I2" s="823"/>
      <c r="J2" s="823"/>
      <c r="K2" s="823"/>
      <c r="L2" s="823"/>
      <c r="M2" s="823"/>
      <c r="N2" s="823"/>
      <c r="O2" s="823"/>
      <c r="P2" s="823"/>
      <c r="Q2" s="823"/>
      <c r="R2" s="711"/>
      <c r="S2" s="711"/>
    </row>
    <row r="3" spans="1:31" ht="20.25" customHeight="1">
      <c r="C3" s="824" t="s">
        <v>195</v>
      </c>
      <c r="D3" s="824"/>
      <c r="E3" s="824"/>
      <c r="F3" s="824"/>
      <c r="G3" s="824"/>
      <c r="H3" s="824"/>
      <c r="I3" s="824"/>
      <c r="J3" s="824"/>
      <c r="K3" s="824"/>
      <c r="L3" s="824"/>
      <c r="M3" s="824"/>
      <c r="N3" s="824"/>
      <c r="O3" s="824"/>
      <c r="P3" s="824"/>
      <c r="Q3" s="824"/>
      <c r="R3" s="711"/>
      <c r="S3" s="711"/>
    </row>
    <row r="4" spans="1:31" ht="20.25" customHeight="1">
      <c r="C4" s="823" t="s">
        <v>542</v>
      </c>
      <c r="D4" s="823"/>
      <c r="E4" s="823"/>
      <c r="F4" s="823"/>
      <c r="G4" s="823"/>
      <c r="H4" s="823"/>
      <c r="I4" s="823"/>
      <c r="J4" s="823"/>
      <c r="K4" s="823"/>
      <c r="L4" s="823"/>
      <c r="M4" s="823"/>
      <c r="N4" s="823"/>
      <c r="O4" s="823"/>
      <c r="P4" s="823"/>
      <c r="Q4" s="823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25" t="s">
        <v>452</v>
      </c>
      <c r="B6" s="713"/>
      <c r="C6" s="826" t="s">
        <v>18</v>
      </c>
      <c r="D6" s="826" t="s">
        <v>453</v>
      </c>
      <c r="E6" s="827" t="s">
        <v>454</v>
      </c>
      <c r="F6" s="827" t="s">
        <v>455</v>
      </c>
      <c r="G6" s="820" t="s">
        <v>456</v>
      </c>
      <c r="H6" s="822"/>
      <c r="I6" s="821"/>
      <c r="J6" s="815" t="s">
        <v>510</v>
      </c>
      <c r="K6" s="816"/>
      <c r="L6" s="817"/>
      <c r="M6" s="820" t="s">
        <v>508</v>
      </c>
      <c r="N6" s="821"/>
      <c r="O6" s="820" t="s">
        <v>509</v>
      </c>
      <c r="P6" s="821"/>
      <c r="Q6" s="818" t="s">
        <v>19</v>
      </c>
      <c r="R6" s="711"/>
      <c r="S6" s="711"/>
      <c r="U6" s="709">
        <v>3</v>
      </c>
    </row>
    <row r="7" spans="1:31" ht="57.6" customHeight="1">
      <c r="A7" s="825"/>
      <c r="B7" s="713"/>
      <c r="C7" s="826"/>
      <c r="D7" s="826"/>
      <c r="E7" s="827"/>
      <c r="F7" s="827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19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546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29" t="s">
        <v>443</v>
      </c>
      <c r="B10" s="829"/>
      <c r="C10" s="829"/>
      <c r="D10" s="829"/>
      <c r="E10" s="829"/>
      <c r="F10" s="829"/>
      <c r="G10" s="829"/>
    </row>
    <row r="11" spans="1:13" ht="30" customHeight="1">
      <c r="A11" s="830" t="str">
        <f>'PL01'!C2</f>
        <v>Dự án: Cải tạo, nâng cấp  trạm bơm Trà Phương 3 tiêu thoát nước cho vùng các khu công nghiệp huyện Kim Động, Ân Thi, Yên Mỹ tỉnh Hưng Yên</v>
      </c>
      <c r="B11" s="831"/>
      <c r="C11" s="831"/>
      <c r="D11" s="831"/>
      <c r="E11" s="831"/>
      <c r="F11" s="831"/>
      <c r="G11" s="831"/>
    </row>
    <row r="12" spans="1:13">
      <c r="A12" s="830" t="s">
        <v>195</v>
      </c>
      <c r="B12" s="831"/>
      <c r="C12" s="831"/>
      <c r="D12" s="831"/>
      <c r="E12" s="831"/>
      <c r="F12" s="831"/>
      <c r="G12" s="831"/>
    </row>
    <row r="13" spans="1:13" ht="15.6" customHeight="1">
      <c r="A13" s="830" t="str">
        <f>'PL01'!C4</f>
        <v>Địa điểm: Xã Hồng Quang, tỉnh Hưng Yên</v>
      </c>
      <c r="B13" s="831"/>
      <c r="C13" s="831"/>
      <c r="D13" s="831"/>
      <c r="E13" s="831"/>
      <c r="F13" s="831"/>
      <c r="G13" s="831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2" t="s">
        <v>516</v>
      </c>
      <c r="B26" s="832"/>
      <c r="C26" s="832"/>
      <c r="D26" s="832"/>
      <c r="E26" s="832"/>
      <c r="F26" s="832"/>
      <c r="G26" s="832"/>
      <c r="J26" s="705"/>
    </row>
    <row r="27" spans="1:21" s="424" customFormat="1" ht="9" customHeight="1">
      <c r="A27" s="828"/>
      <c r="B27" s="828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8" t="s">
        <v>140</v>
      </c>
      <c r="F28" s="828"/>
      <c r="G28" s="828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8"/>
      <c r="B31" s="828"/>
      <c r="C31" s="423"/>
      <c r="D31" s="423"/>
      <c r="E31" s="427"/>
      <c r="F31" s="427"/>
      <c r="G31" s="423"/>
      <c r="J31" s="706"/>
    </row>
    <row r="32" spans="1:21" s="424" customFormat="1" ht="9" customHeight="1">
      <c r="A32" s="828"/>
      <c r="B32" s="828"/>
      <c r="C32" s="423"/>
      <c r="D32" s="425"/>
      <c r="E32" s="425"/>
      <c r="F32" s="425"/>
      <c r="G32" s="425"/>
      <c r="J32" s="698"/>
    </row>
    <row r="33" spans="2:7" ht="16.8">
      <c r="B33" s="423"/>
      <c r="E33" s="828" t="s">
        <v>550</v>
      </c>
      <c r="F33" s="828"/>
      <c r="G33" s="828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29" t="s">
        <v>389</v>
      </c>
      <c r="B10" s="829"/>
      <c r="C10" s="829"/>
      <c r="D10" s="829"/>
      <c r="E10" s="829"/>
      <c r="F10" s="829"/>
      <c r="G10" s="829"/>
      <c r="H10" s="829"/>
      <c r="I10" s="829"/>
      <c r="J10" s="829"/>
    </row>
    <row r="11" spans="1:20" ht="27.6" customHeight="1">
      <c r="A11" s="831" t="s">
        <v>374</v>
      </c>
      <c r="B11" s="831"/>
      <c r="C11" s="831"/>
      <c r="D11" s="831"/>
      <c r="E11" s="831"/>
      <c r="F11" s="831"/>
      <c r="G11" s="831"/>
      <c r="H11" s="831"/>
      <c r="I11" s="831"/>
      <c r="J11" s="831"/>
    </row>
    <row r="12" spans="1:20" ht="20.25" customHeight="1">
      <c r="A12" s="829" t="s">
        <v>195</v>
      </c>
      <c r="B12" s="829"/>
      <c r="C12" s="829"/>
      <c r="D12" s="829"/>
      <c r="E12" s="829"/>
      <c r="F12" s="829"/>
      <c r="G12" s="829"/>
      <c r="H12" s="829"/>
      <c r="I12" s="829"/>
      <c r="J12" s="829"/>
    </row>
    <row r="13" spans="1:20" ht="19.5" customHeight="1">
      <c r="A13" s="829" t="s">
        <v>375</v>
      </c>
      <c r="B13" s="829"/>
      <c r="C13" s="829"/>
      <c r="D13" s="829"/>
      <c r="E13" s="829"/>
      <c r="F13" s="829"/>
      <c r="G13" s="829"/>
      <c r="H13" s="829"/>
      <c r="I13" s="829"/>
      <c r="J13" s="829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3" t="s">
        <v>18</v>
      </c>
      <c r="B15" s="833" t="s">
        <v>117</v>
      </c>
      <c r="C15" s="833" t="s">
        <v>53</v>
      </c>
      <c r="D15" s="835" t="s">
        <v>366</v>
      </c>
      <c r="E15" s="836"/>
      <c r="F15" s="837"/>
      <c r="G15" s="835" t="s">
        <v>390</v>
      </c>
      <c r="H15" s="836"/>
      <c r="I15" s="837"/>
      <c r="J15" s="838" t="s">
        <v>19</v>
      </c>
      <c r="T15" s="410">
        <v>1</v>
      </c>
    </row>
    <row r="16" spans="1:20" ht="31.2">
      <c r="A16" s="834"/>
      <c r="B16" s="834"/>
      <c r="C16" s="834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39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8" t="s">
        <v>242</v>
      </c>
      <c r="B43" s="828"/>
      <c r="C43" s="828"/>
      <c r="D43" s="828"/>
      <c r="E43" s="425"/>
      <c r="F43" s="425"/>
      <c r="G43" s="828" t="s">
        <v>140</v>
      </c>
      <c r="H43" s="828"/>
      <c r="I43" s="828"/>
      <c r="J43" s="828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8"/>
      <c r="B48" s="828"/>
      <c r="C48" s="423"/>
      <c r="D48" s="425"/>
      <c r="E48" s="425"/>
      <c r="F48" s="425"/>
      <c r="G48" s="828" t="str">
        <f>THNK_C!L18</f>
        <v>Nguyễn Đình Duy</v>
      </c>
      <c r="H48" s="828"/>
      <c r="I48" s="828"/>
      <c r="J48" s="828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0" t="s">
        <v>0</v>
      </c>
      <c r="B15" s="840" t="s">
        <v>304</v>
      </c>
      <c r="C15" s="843" t="s">
        <v>305</v>
      </c>
      <c r="D15" s="844"/>
      <c r="E15" s="844"/>
      <c r="F15" s="844"/>
      <c r="G15" s="845"/>
    </row>
    <row r="16" spans="1:7" ht="15" customHeight="1">
      <c r="A16" s="841"/>
      <c r="B16" s="841"/>
      <c r="C16" s="840" t="s">
        <v>306</v>
      </c>
      <c r="D16" s="840" t="s">
        <v>307</v>
      </c>
      <c r="E16" s="478" t="s">
        <v>308</v>
      </c>
      <c r="F16" s="840" t="s">
        <v>310</v>
      </c>
      <c r="G16" s="479" t="s">
        <v>311</v>
      </c>
    </row>
    <row r="17" spans="1:7">
      <c r="A17" s="842"/>
      <c r="B17" s="842"/>
      <c r="C17" s="842"/>
      <c r="D17" s="842"/>
      <c r="E17" s="480" t="s">
        <v>309</v>
      </c>
      <c r="F17" s="842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8" t="s">
        <v>0</v>
      </c>
      <c r="B26" s="485" t="s">
        <v>264</v>
      </c>
      <c r="C26" s="850" t="s">
        <v>317</v>
      </c>
      <c r="D26" s="851"/>
      <c r="E26" s="852"/>
    </row>
    <row r="27" spans="1:7" ht="30.6" customHeight="1">
      <c r="A27" s="849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6" t="s">
        <v>0</v>
      </c>
      <c r="B35" s="461" t="s">
        <v>264</v>
      </c>
      <c r="C35" s="854" t="s">
        <v>305</v>
      </c>
      <c r="D35" s="855"/>
      <c r="E35" s="856"/>
    </row>
    <row r="36" spans="1:7" ht="67.2" customHeight="1">
      <c r="A36" s="853"/>
      <c r="B36" s="491" t="s">
        <v>316</v>
      </c>
      <c r="C36" s="491" t="s">
        <v>321</v>
      </c>
      <c r="D36" s="846" t="s">
        <v>323</v>
      </c>
      <c r="E36" s="846" t="s">
        <v>324</v>
      </c>
      <c r="F36" s="846" t="s">
        <v>323</v>
      </c>
      <c r="G36" s="846" t="s">
        <v>324</v>
      </c>
    </row>
    <row r="37" spans="1:7" ht="16.8">
      <c r="A37" s="847"/>
      <c r="B37" s="492"/>
      <c r="C37" s="493" t="s">
        <v>322</v>
      </c>
      <c r="D37" s="847"/>
      <c r="E37" s="847"/>
      <c r="F37" s="847"/>
      <c r="G37" s="847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L47"/>
  <sheetViews>
    <sheetView tabSelected="1" view="pageBreakPreview" topLeftCell="A16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10" ht="18" customHeight="1"/>
    <row r="2" spans="1:10" s="630" customFormat="1" ht="22.5" customHeight="1">
      <c r="A2" s="806" t="s">
        <v>121</v>
      </c>
      <c r="B2" s="806"/>
      <c r="C2" s="806"/>
      <c r="D2" s="806"/>
      <c r="E2" s="806"/>
      <c r="F2" s="806"/>
    </row>
    <row r="3" spans="1:10" s="630" customFormat="1" ht="48" customHeight="1">
      <c r="A3" s="807" t="str">
        <f>'PL01'!C2</f>
        <v>Dự án: Cải tạo, nâng cấp  trạm bơm Trà Phương 3 tiêu thoát nước cho vùng các khu công nghiệp huyện Kim Động, Ân Thi, Yên Mỹ tỉnh Hưng Yên</v>
      </c>
      <c r="B3" s="808"/>
      <c r="C3" s="808"/>
      <c r="D3" s="808"/>
      <c r="E3" s="808"/>
      <c r="F3" s="808"/>
      <c r="H3" s="631"/>
    </row>
    <row r="4" spans="1:10" s="632" customFormat="1" ht="16.8" customHeight="1">
      <c r="A4" s="807" t="str">
        <f>'PL01'!C3</f>
        <v>Hạng mục: Rà phá bom mìn, vật nổ</v>
      </c>
      <c r="B4" s="808"/>
      <c r="C4" s="808"/>
      <c r="D4" s="808"/>
      <c r="E4" s="808"/>
      <c r="F4" s="808"/>
    </row>
    <row r="5" spans="1:10" s="630" customFormat="1" ht="22.8" customHeight="1">
      <c r="A5" s="807" t="str">
        <f>'PL01'!C4</f>
        <v>Địa điểm: Xã Hồng Quang, tỉnh Hưng Yên</v>
      </c>
      <c r="B5" s="808"/>
      <c r="C5" s="808"/>
      <c r="D5" s="808"/>
      <c r="E5" s="808"/>
      <c r="F5" s="808"/>
    </row>
    <row r="6" spans="1:10" s="632" customFormat="1" ht="21" hidden="1" customHeight="1">
      <c r="A6" s="805" t="s">
        <v>240</v>
      </c>
      <c r="B6" s="805"/>
      <c r="C6" s="805"/>
      <c r="D6" s="805"/>
      <c r="E6" s="805"/>
      <c r="F6" s="633"/>
    </row>
    <row r="7" spans="1:10" s="630" customFormat="1" ht="9.75" customHeight="1">
      <c r="A7" s="634"/>
      <c r="B7" s="634"/>
      <c r="C7" s="634"/>
      <c r="D7" s="634"/>
      <c r="E7" s="634"/>
      <c r="F7" s="634"/>
    </row>
    <row r="8" spans="1:10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10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10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</row>
    <row r="11" spans="1:10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10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10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10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10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$D15%*(E13+E14)</f>
        <v>52058432.511074491</v>
      </c>
      <c r="F15" s="744"/>
      <c r="G15" s="745" t="s">
        <v>524</v>
      </c>
      <c r="H15" s="746"/>
      <c r="I15" s="746"/>
      <c r="J15" s="747" t="s">
        <v>525</v>
      </c>
    </row>
    <row r="16" spans="1:10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 t="shared" ref="E25" si="0">8%*(E24-E21-E20)</f>
        <v>87685373.211352289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 t="shared" ref="E26" si="1">E24+E25</f>
        <v>1198731169.1621242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11" t="s">
        <v>545</v>
      </c>
      <c r="B28" s="811"/>
      <c r="C28" s="811"/>
      <c r="D28" s="811"/>
      <c r="E28" s="811"/>
      <c r="F28" s="811"/>
      <c r="G28" s="812"/>
      <c r="H28" s="812"/>
      <c r="I28" s="812"/>
      <c r="J28" s="812"/>
      <c r="K28" s="812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13" t="s">
        <v>179</v>
      </c>
      <c r="B30" s="813"/>
      <c r="C30" s="424"/>
      <c r="D30" s="813" t="s">
        <v>123</v>
      </c>
      <c r="E30" s="813"/>
      <c r="F30" s="813"/>
    </row>
    <row r="31" spans="1:12" ht="16.95" customHeight="1">
      <c r="A31" s="813"/>
      <c r="B31" s="813"/>
      <c r="C31" s="424"/>
      <c r="D31" s="813" t="s">
        <v>551</v>
      </c>
      <c r="E31" s="813"/>
      <c r="F31" s="813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13" t="s">
        <v>552</v>
      </c>
      <c r="E35" s="813"/>
      <c r="F35" s="813"/>
    </row>
    <row r="36" spans="1:6" ht="18">
      <c r="A36" s="809"/>
      <c r="B36" s="809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10"/>
      <c r="B39" s="810"/>
      <c r="C39" s="810"/>
      <c r="D39" s="810"/>
      <c r="E39" s="810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topLeftCell="A6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58" t="s">
        <v>351</v>
      </c>
      <c r="B1" s="858"/>
      <c r="C1" s="858"/>
      <c r="D1" s="858"/>
      <c r="E1" s="858"/>
      <c r="F1" s="858"/>
      <c r="G1" s="858"/>
      <c r="H1" s="858"/>
      <c r="I1" s="858"/>
      <c r="J1" s="858"/>
      <c r="K1" s="858"/>
      <c r="L1" s="23"/>
      <c r="M1" s="23"/>
      <c r="N1" s="23"/>
      <c r="O1" s="23"/>
    </row>
    <row r="2" spans="1:22" ht="24" customHeight="1">
      <c r="A2" s="858" t="s">
        <v>112</v>
      </c>
      <c r="B2" s="858"/>
      <c r="C2" s="858"/>
      <c r="D2" s="858"/>
      <c r="E2" s="858"/>
      <c r="F2" s="858"/>
      <c r="G2" s="858"/>
      <c r="H2" s="858"/>
      <c r="I2" s="858"/>
      <c r="J2" s="858"/>
      <c r="K2" s="858"/>
      <c r="L2" s="23"/>
      <c r="M2" s="23"/>
      <c r="N2" s="23"/>
      <c r="O2" s="23"/>
      <c r="Q2" s="859"/>
      <c r="R2" s="859"/>
      <c r="S2" s="859"/>
      <c r="T2" s="859"/>
    </row>
    <row r="3" spans="1:22" ht="24" hidden="1" customHeight="1">
      <c r="A3" s="857" t="e">
        <f>#REF!</f>
        <v>#REF!</v>
      </c>
      <c r="B3" s="857"/>
      <c r="C3" s="857"/>
      <c r="D3" s="857"/>
      <c r="E3" s="857"/>
      <c r="F3" s="857"/>
      <c r="G3" s="857"/>
      <c r="H3" s="857"/>
      <c r="I3" s="857"/>
      <c r="J3" s="857"/>
      <c r="K3" s="857"/>
      <c r="L3" s="23"/>
      <c r="M3" s="23"/>
      <c r="N3" s="23"/>
      <c r="O3" s="23"/>
    </row>
    <row r="4" spans="1:22" s="2" customFormat="1" ht="27" customHeight="1">
      <c r="A4" s="860">
        <v>0</v>
      </c>
      <c r="B4" s="860"/>
      <c r="C4" s="860"/>
      <c r="D4" s="860"/>
      <c r="E4" s="860"/>
      <c r="F4" s="860"/>
      <c r="G4" s="860"/>
      <c r="H4" s="860"/>
      <c r="I4" s="860"/>
      <c r="J4" s="860"/>
      <c r="K4" s="860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57" t="s">
        <v>195</v>
      </c>
      <c r="B5" s="857"/>
      <c r="C5" s="857"/>
      <c r="D5" s="857"/>
      <c r="E5" s="857"/>
      <c r="F5" s="857"/>
      <c r="G5" s="857"/>
      <c r="H5" s="857"/>
      <c r="I5" s="857"/>
      <c r="J5" s="857"/>
      <c r="K5" s="857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0" t="str">
        <f>'THKP-TC'!A5</f>
        <v>Địa điểm: Xã Hồng Quang, tỉnh Hưng Yên</v>
      </c>
      <c r="B6" s="857"/>
      <c r="C6" s="857"/>
      <c r="D6" s="857"/>
      <c r="E6" s="857"/>
      <c r="F6" s="857"/>
      <c r="G6" s="857"/>
      <c r="H6" s="857"/>
      <c r="I6" s="857"/>
      <c r="J6" s="857"/>
      <c r="K6" s="857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4"/>
      <c r="B7" s="864"/>
      <c r="C7" s="864"/>
      <c r="D7" s="864"/>
      <c r="E7" s="864"/>
      <c r="F7" s="864"/>
      <c r="G7" s="864"/>
      <c r="H7" s="864"/>
      <c r="I7" s="864"/>
      <c r="J7" s="864"/>
      <c r="K7" s="864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5" t="s">
        <v>0</v>
      </c>
      <c r="B9" s="865" t="s">
        <v>49</v>
      </c>
      <c r="C9" s="865" t="s">
        <v>53</v>
      </c>
      <c r="D9" s="865" t="s">
        <v>22</v>
      </c>
      <c r="E9" s="865" t="s">
        <v>164</v>
      </c>
      <c r="F9" s="861" t="s">
        <v>31</v>
      </c>
      <c r="G9" s="861"/>
      <c r="H9" s="861"/>
      <c r="I9" s="861" t="s">
        <v>45</v>
      </c>
      <c r="J9" s="861"/>
      <c r="K9" s="861"/>
      <c r="L9" s="861" t="s">
        <v>167</v>
      </c>
      <c r="M9" s="861"/>
      <c r="N9" s="861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6"/>
      <c r="B10" s="866"/>
      <c r="C10" s="866"/>
      <c r="D10" s="866"/>
      <c r="E10" s="866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62"/>
      <c r="D30" s="863"/>
      <c r="I30" s="206"/>
      <c r="J30" s="206"/>
      <c r="K30" s="206"/>
      <c r="P30" s="207"/>
    </row>
    <row r="31" spans="1:22">
      <c r="C31" s="862"/>
      <c r="D31" s="863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08" t="s">
        <v>191</v>
      </c>
      <c r="B1" s="828"/>
      <c r="C1" s="828"/>
      <c r="D1" s="828"/>
      <c r="E1" s="828"/>
      <c r="F1" s="828"/>
      <c r="G1" s="828"/>
      <c r="H1" s="828"/>
    </row>
    <row r="2" spans="1:21">
      <c r="A2" s="829" t="str">
        <f>"Dọn mặt bằng thủ công cho một ha rừng "&amp;M11&amp;",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>
      <c r="A3" s="829" t="str" cm="1">
        <f t="array" aca="1" ref="A3" ca="1">"Số hiệu định mức: 010.0200."&amp;INDIRECT(ADDRESS(ROW(M6),COLUMN(M6)+M6,1,1))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M5" s="520" t="s">
        <v>254</v>
      </c>
      <c r="N5" s="835" t="s">
        <v>255</v>
      </c>
      <c r="O5" s="836"/>
      <c r="P5" s="836"/>
      <c r="Q5" s="836"/>
      <c r="R5" s="837"/>
    </row>
    <row r="6" spans="1:21" s="519" customFormat="1" ht="16.2">
      <c r="A6" s="833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1" t="str">
        <f>"Dò bằng máy đến độ sâu 0,3 m cho 1 ha - Mật độ tín hiệu "&amp;M29</f>
        <v>Dò bằng máy đến độ sâu 0,3 m cho 1 ha - Mật độ tín hiệu loại 1</v>
      </c>
      <c r="B14" s="829"/>
      <c r="C14" s="829"/>
      <c r="D14" s="829"/>
      <c r="E14" s="829"/>
      <c r="F14" s="829"/>
      <c r="G14" s="829"/>
      <c r="H14" s="829"/>
    </row>
    <row r="15" spans="1:21" ht="20.100000000000001" customHeight="1">
      <c r="A15" s="829" t="str" cm="1">
        <f t="array" aca="1" ref="A15" ca="1">"Số hiệu định mức: 020.0200."&amp;INDIRECT(ADDRESS(ROW(M18),COLUMN(M18)+M18,1,1))</f>
        <v>Số hiệu định mức: 020.0200.1</v>
      </c>
      <c r="B15" s="829"/>
      <c r="C15" s="829"/>
      <c r="D15" s="829"/>
      <c r="E15" s="829"/>
      <c r="F15" s="829"/>
      <c r="G15" s="829"/>
      <c r="H15" s="829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74" t="s">
        <v>42</v>
      </c>
      <c r="D17" s="874" t="s">
        <v>20</v>
      </c>
      <c r="E17" s="874" t="s">
        <v>80</v>
      </c>
      <c r="F17" s="874" t="s">
        <v>17</v>
      </c>
      <c r="G17" s="874"/>
      <c r="H17" s="874"/>
      <c r="M17" s="520" t="s">
        <v>254</v>
      </c>
      <c r="N17" s="835" t="s">
        <v>255</v>
      </c>
      <c r="O17" s="836"/>
      <c r="P17" s="836"/>
      <c r="Q17" s="836"/>
      <c r="R17" s="837"/>
    </row>
    <row r="18" spans="1:18" s="519" customFormat="1" ht="16.2">
      <c r="A18" s="867"/>
      <c r="B18" s="867"/>
      <c r="C18" s="874"/>
      <c r="D18" s="874"/>
      <c r="E18" s="874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1" t="str">
        <f>"Dò bằng máy đến độ sâu 0,3 m cho 1 ha - Mật độ tín hiệu "&amp;M46</f>
        <v>Dò bằng máy đến độ sâu 0,3 m cho 1 ha - Mật độ tín hiệu Không có</v>
      </c>
      <c r="B31" s="829"/>
      <c r="C31" s="829"/>
      <c r="D31" s="829"/>
      <c r="E31" s="829"/>
      <c r="F31" s="829"/>
      <c r="G31" s="829"/>
      <c r="H31" s="829"/>
    </row>
    <row r="32" spans="1:18" ht="20.100000000000001" hidden="1" customHeight="1" outlineLevel="1">
      <c r="A32" s="829" t="str" cm="1">
        <f t="array" aca="1" ref="A32" ca="1">"Số hiệu định mức: 020.0200."&amp;INDIRECT(ADDRESS(ROW(M35),COLUMN(M35)+M35,1,1))</f>
        <v>Số hiệu định mức: 020.0200.5</v>
      </c>
      <c r="B32" s="829"/>
      <c r="C32" s="829"/>
      <c r="D32" s="829"/>
      <c r="E32" s="829"/>
      <c r="F32" s="829"/>
      <c r="G32" s="829"/>
      <c r="H32" s="829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74" t="s">
        <v>42</v>
      </c>
      <c r="D34" s="874" t="s">
        <v>20</v>
      </c>
      <c r="E34" s="874" t="s">
        <v>80</v>
      </c>
      <c r="F34" s="874" t="s">
        <v>17</v>
      </c>
      <c r="G34" s="874"/>
      <c r="H34" s="874"/>
      <c r="M34" s="520" t="s">
        <v>254</v>
      </c>
      <c r="N34" s="835" t="s">
        <v>255</v>
      </c>
      <c r="O34" s="836"/>
      <c r="P34" s="836"/>
      <c r="Q34" s="836"/>
      <c r="R34" s="837"/>
    </row>
    <row r="35" spans="1:18" s="519" customFormat="1" ht="16.2" hidden="1" outlineLevel="1">
      <c r="A35" s="867"/>
      <c r="B35" s="867"/>
      <c r="C35" s="874"/>
      <c r="D35" s="874"/>
      <c r="E35" s="874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1" t="str">
        <f>"Dò bằng máy đến độ sâu 0,3 m cho 1 ha - Mật độ tín hiệu "&amp;M63</f>
        <v>Dò bằng máy đến độ sâu 0,3 m cho 1 ha - Mật độ tín hiệu Không có</v>
      </c>
      <c r="B48" s="829"/>
      <c r="C48" s="829"/>
      <c r="D48" s="829"/>
      <c r="E48" s="829"/>
      <c r="F48" s="829"/>
      <c r="G48" s="829"/>
      <c r="H48" s="829"/>
    </row>
    <row r="49" spans="1:18" ht="20.100000000000001" hidden="1" customHeight="1" outlineLevel="1">
      <c r="A49" s="829" t="str" cm="1">
        <f t="array" aca="1" ref="A49" ca="1">"Số hiệu định mức: 020.0200."&amp;INDIRECT(ADDRESS(ROW(M52),COLUMN(M52)+M52,1,1))</f>
        <v>Số hiệu định mức: 020.0200.5</v>
      </c>
      <c r="B49" s="829"/>
      <c r="C49" s="829"/>
      <c r="D49" s="829"/>
      <c r="E49" s="829"/>
      <c r="F49" s="829"/>
      <c r="G49" s="829"/>
      <c r="H49" s="829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74" t="s">
        <v>42</v>
      </c>
      <c r="D51" s="874" t="s">
        <v>20</v>
      </c>
      <c r="E51" s="874" t="s">
        <v>80</v>
      </c>
      <c r="F51" s="874" t="s">
        <v>17</v>
      </c>
      <c r="G51" s="874"/>
      <c r="H51" s="874"/>
      <c r="M51" s="520" t="s">
        <v>254</v>
      </c>
      <c r="N51" s="835" t="s">
        <v>255</v>
      </c>
      <c r="O51" s="836"/>
      <c r="P51" s="836"/>
      <c r="Q51" s="836"/>
      <c r="R51" s="837"/>
    </row>
    <row r="52" spans="1:18" s="519" customFormat="1" ht="16.2" hidden="1" outlineLevel="1">
      <c r="A52" s="867"/>
      <c r="B52" s="867"/>
      <c r="C52" s="874"/>
      <c r="D52" s="874"/>
      <c r="E52" s="874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29" t="str">
        <f>"Xử lý tín hiệu cho 1 ha trên cạn ở độ sâu 0,3 m - "&amp;M75</f>
        <v>Xử lý tín hiệu cho 1 ha trên cạn ở độ sâu 0,3 m - Đất cấp 1</v>
      </c>
      <c r="B65" s="829"/>
      <c r="C65" s="829"/>
      <c r="D65" s="829"/>
      <c r="E65" s="829"/>
      <c r="F65" s="829"/>
      <c r="G65" s="829"/>
      <c r="H65" s="829"/>
    </row>
    <row r="66" spans="1:21" ht="15.6" customHeight="1">
      <c r="A66" s="829" t="str" cm="1">
        <f t="array" aca="1" ref="A66" ca="1">"Số hiệu định mức: 020.0300."&amp;INDIRECT(ADDRESS(ROW(M69),COLUMN(M69)+M69,1,1))</f>
        <v>Số hiệu định mức: 020.0300.1</v>
      </c>
      <c r="B66" s="829"/>
      <c r="C66" s="829"/>
      <c r="D66" s="829"/>
      <c r="E66" s="829"/>
      <c r="F66" s="829"/>
      <c r="G66" s="829"/>
      <c r="H66" s="829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74" t="s">
        <v>42</v>
      </c>
      <c r="D68" s="874" t="s">
        <v>20</v>
      </c>
      <c r="E68" s="874" t="s">
        <v>80</v>
      </c>
      <c r="F68" s="874" t="s">
        <v>17</v>
      </c>
      <c r="G68" s="874"/>
      <c r="H68" s="874"/>
      <c r="M68" s="520" t="s">
        <v>254</v>
      </c>
      <c r="N68" s="835" t="s">
        <v>255</v>
      </c>
      <c r="O68" s="836"/>
      <c r="P68" s="836"/>
      <c r="Q68" s="836"/>
      <c r="R68" s="837"/>
    </row>
    <row r="69" spans="1:21" s="519" customFormat="1" ht="16.2">
      <c r="A69" s="867"/>
      <c r="B69" s="867"/>
      <c r="C69" s="874"/>
      <c r="D69" s="874"/>
      <c r="E69" s="874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1" t="s">
        <v>128</v>
      </c>
      <c r="B79" s="829"/>
      <c r="C79" s="829"/>
      <c r="D79" s="829"/>
      <c r="E79" s="829"/>
      <c r="F79" s="829"/>
      <c r="G79" s="829"/>
      <c r="H79" s="829"/>
    </row>
    <row r="80" spans="1:21">
      <c r="A80" s="829" t="str" cm="1">
        <f t="array" aca="1" ref="A80" ca="1">"Số hiệu định mức: 020.0500."&amp;INDIRECT(ADDRESS(ROW(M83),COLUMN(M83)+M83,1,1))</f>
        <v>Số hiệu định mức: 020.0500.2</v>
      </c>
      <c r="B80" s="829"/>
      <c r="C80" s="829"/>
      <c r="D80" s="829"/>
      <c r="E80" s="829"/>
      <c r="F80" s="829"/>
      <c r="G80" s="829"/>
      <c r="H80" s="829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74" t="s">
        <v>42</v>
      </c>
      <c r="D82" s="874" t="s">
        <v>20</v>
      </c>
      <c r="E82" s="874" t="s">
        <v>80</v>
      </c>
      <c r="F82" s="874" t="s">
        <v>17</v>
      </c>
      <c r="G82" s="874"/>
      <c r="H82" s="874"/>
      <c r="M82" s="520" t="s">
        <v>254</v>
      </c>
      <c r="N82" s="835" t="s">
        <v>255</v>
      </c>
      <c r="O82" s="836"/>
      <c r="P82" s="836"/>
      <c r="Q82" s="836"/>
      <c r="R82" s="837"/>
    </row>
    <row r="83" spans="1:18">
      <c r="A83" s="867"/>
      <c r="B83" s="867"/>
      <c r="C83" s="874"/>
      <c r="D83" s="874"/>
      <c r="E83" s="874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1" t="s">
        <v>168</v>
      </c>
      <c r="B97" s="829"/>
      <c r="C97" s="829"/>
      <c r="D97" s="829"/>
      <c r="E97" s="829"/>
      <c r="F97" s="829"/>
      <c r="G97" s="829"/>
      <c r="H97" s="829"/>
    </row>
    <row r="98" spans="1:18" hidden="1" outlineLevel="1">
      <c r="A98" s="829" t="str" cm="1">
        <f t="array" aca="1" ref="A98" ca="1">"Số hiệu định mức: 020.0500."&amp;INDIRECT(ADDRESS(ROW(M101),COLUMN(M101)+M101,1,1))</f>
        <v>Số hiệu định mức: 020.0500.4</v>
      </c>
      <c r="B98" s="829"/>
      <c r="C98" s="829"/>
      <c r="D98" s="829"/>
      <c r="E98" s="829"/>
      <c r="F98" s="829"/>
      <c r="G98" s="829"/>
      <c r="H98" s="829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74" t="s">
        <v>42</v>
      </c>
      <c r="D100" s="874" t="s">
        <v>20</v>
      </c>
      <c r="E100" s="874" t="s">
        <v>80</v>
      </c>
      <c r="F100" s="874" t="s">
        <v>17</v>
      </c>
      <c r="G100" s="874"/>
      <c r="H100" s="874"/>
      <c r="M100" s="520" t="s">
        <v>254</v>
      </c>
      <c r="N100" s="835" t="s">
        <v>255</v>
      </c>
      <c r="O100" s="836"/>
      <c r="P100" s="836"/>
      <c r="Q100" s="836"/>
      <c r="R100" s="837"/>
    </row>
    <row r="101" spans="1:18" hidden="1" outlineLevel="1">
      <c r="A101" s="867"/>
      <c r="B101" s="867"/>
      <c r="C101" s="874"/>
      <c r="D101" s="874"/>
      <c r="E101" s="874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1" t="str">
        <f>"Đào xử lý tín hiệu trên cạn đến độ sâu 3m.
"&amp;M127&amp;" cho 1 m3"</f>
        <v>Đào xử lý tín hiệu trên cạn đến độ sâu 3m.
Đất cấp 2 cho 1 m3</v>
      </c>
      <c r="B113" s="829"/>
      <c r="C113" s="829"/>
      <c r="D113" s="829"/>
      <c r="E113" s="829"/>
      <c r="F113" s="829"/>
      <c r="G113" s="829"/>
      <c r="H113" s="829"/>
    </row>
    <row r="114" spans="1:21" ht="20.100000000000001" customHeight="1">
      <c r="A114" s="829" t="str" cm="1">
        <f t="array" aca="1" ref="A114" ca="1">"Số hiệu định mức: 020.0700."&amp;INDIRECT(ADDRESS(ROW(M117),COLUMN(M117)+M117,1,1))</f>
        <v>Số hiệu định mức: 020.0700.2</v>
      </c>
      <c r="B114" s="829"/>
      <c r="C114" s="829"/>
      <c r="D114" s="829"/>
      <c r="E114" s="829"/>
      <c r="F114" s="829"/>
      <c r="G114" s="829"/>
      <c r="H114" s="829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74" t="s">
        <v>42</v>
      </c>
      <c r="D116" s="874" t="s">
        <v>20</v>
      </c>
      <c r="E116" s="874" t="s">
        <v>80</v>
      </c>
      <c r="F116" s="874" t="s">
        <v>17</v>
      </c>
      <c r="G116" s="874"/>
      <c r="H116" s="874"/>
      <c r="M116" s="520" t="s">
        <v>254</v>
      </c>
      <c r="N116" s="835" t="s">
        <v>255</v>
      </c>
      <c r="O116" s="836"/>
      <c r="P116" s="836"/>
      <c r="Q116" s="836"/>
      <c r="R116" s="837"/>
    </row>
    <row r="117" spans="1:21" s="519" customFormat="1" ht="16.2">
      <c r="A117" s="867"/>
      <c r="B117" s="867"/>
      <c r="C117" s="874"/>
      <c r="D117" s="874"/>
      <c r="E117" s="874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1" t="str">
        <f>"Đào xử lý tín hiệu trên cạn đến độ sâu 5m.
"&amp;M145&amp;" cho 1 ha"</f>
        <v>Đào xử lý tín hiệu trên cạn đến độ sâu 5m.
Không có cho 1 ha</v>
      </c>
      <c r="B129" s="831"/>
      <c r="C129" s="831"/>
      <c r="D129" s="831"/>
      <c r="E129" s="831"/>
      <c r="F129" s="831"/>
      <c r="G129" s="831"/>
      <c r="H129" s="831"/>
    </row>
    <row r="130" spans="1:18" ht="15.75" customHeight="1">
      <c r="A130" s="829" t="str" cm="1">
        <f t="array" aca="1" ref="A130" ca="1">"Số hiệu định mức: 020.0800."&amp;INDIRECT(ADDRESS(ROW(M133),COLUMN(M133)+M133,1,1))</f>
        <v>Số hiệu định mức: 020.0800.5</v>
      </c>
      <c r="B130" s="829"/>
      <c r="C130" s="829"/>
      <c r="D130" s="829"/>
      <c r="E130" s="829"/>
      <c r="F130" s="829"/>
      <c r="G130" s="829"/>
      <c r="H130" s="829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3" t="s">
        <v>18</v>
      </c>
      <c r="B132" s="833" t="s">
        <v>43</v>
      </c>
      <c r="C132" s="838" t="s">
        <v>42</v>
      </c>
      <c r="D132" s="838" t="s">
        <v>20</v>
      </c>
      <c r="E132" s="838" t="s">
        <v>80</v>
      </c>
      <c r="F132" s="835" t="s">
        <v>17</v>
      </c>
      <c r="G132" s="836"/>
      <c r="H132" s="837"/>
      <c r="M132" s="520" t="s">
        <v>254</v>
      </c>
      <c r="N132" s="835" t="s">
        <v>255</v>
      </c>
      <c r="O132" s="836"/>
      <c r="P132" s="836"/>
      <c r="Q132" s="836"/>
      <c r="R132" s="837"/>
    </row>
    <row r="133" spans="1:18" ht="15.75" customHeight="1">
      <c r="A133" s="834"/>
      <c r="B133" s="834"/>
      <c r="C133" s="839"/>
      <c r="D133" s="839"/>
      <c r="E133" s="839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5" t="s">
        <v>435</v>
      </c>
      <c r="B1" s="876"/>
      <c r="C1" s="876"/>
      <c r="D1" s="876"/>
      <c r="E1" s="876"/>
      <c r="F1" s="876"/>
      <c r="G1" s="876"/>
      <c r="H1" s="876"/>
      <c r="J1" s="101" t="s">
        <v>360</v>
      </c>
      <c r="K1" s="101">
        <v>1.1000000000000001</v>
      </c>
      <c r="R1" s="212"/>
    </row>
    <row r="2" spans="1:21" s="504" customFormat="1" hidden="1">
      <c r="A2" s="829" t="str">
        <f>"Dọn mặt bằng thủ công cho một ha rừng "&amp;L11&amp;",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 s="504" customFormat="1" hidden="1">
      <c r="A3" s="829" t="str" cm="1">
        <f t="array" aca="1" ref="A3" ca="1">"Số hiệu định mức: 010.0200."&amp;INDIRECT(ADDRESS(ROW(L6),COLUMN(L6)+L6,1,1))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3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7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7"/>
      <c r="C13" s="877"/>
      <c r="D13" s="877"/>
      <c r="E13" s="877"/>
      <c r="F13" s="877"/>
      <c r="G13" s="877"/>
      <c r="H13" s="877"/>
    </row>
    <row r="14" spans="1:21" ht="19.5" customHeight="1">
      <c r="A14" s="877" t="str" cm="1">
        <f t="array" aca="1" ref="A14" ca="1">"Số hiệu định mức: 030.0100."&amp;INDIRECT(ADDRESS(ROW(L17),COLUMN(L17)+L17,1,1))</f>
        <v>Số hiệu định mức: 030.0100.1</v>
      </c>
      <c r="B14" s="877"/>
      <c r="C14" s="877"/>
      <c r="D14" s="877"/>
      <c r="E14" s="877"/>
      <c r="F14" s="877"/>
      <c r="G14" s="877"/>
      <c r="H14" s="877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8" t="s">
        <v>18</v>
      </c>
      <c r="B16" s="878" t="s">
        <v>43</v>
      </c>
      <c r="C16" s="879" t="s">
        <v>42</v>
      </c>
      <c r="D16" s="879" t="s">
        <v>22</v>
      </c>
      <c r="E16" s="879" t="s">
        <v>237</v>
      </c>
      <c r="F16" s="880" t="s">
        <v>45</v>
      </c>
      <c r="G16" s="880"/>
      <c r="H16" s="880"/>
      <c r="L16" s="520" t="s">
        <v>254</v>
      </c>
      <c r="M16" s="835" t="s">
        <v>255</v>
      </c>
      <c r="N16" s="836"/>
      <c r="O16" s="836"/>
      <c r="P16" s="836"/>
      <c r="Q16" s="837"/>
    </row>
    <row r="17" spans="1:17" s="104" customFormat="1" ht="19.5" customHeight="1">
      <c r="A17" s="878"/>
      <c r="B17" s="878"/>
      <c r="C17" s="879"/>
      <c r="D17" s="879"/>
      <c r="E17" s="879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7" t="str">
        <f>"Dò tìm bom mìn, vật nổ dưới nước từ 0,5m - 3m cho 1 ha. Nước sâu "&amp;L57</f>
        <v>Dò tìm bom mìn, vật nổ dưới nước từ 0,5m - 3m cho 1 ha. Nước sâu 0,5 ÷ 12m</v>
      </c>
      <c r="B36" s="877"/>
      <c r="C36" s="877"/>
      <c r="D36" s="877"/>
      <c r="E36" s="877"/>
      <c r="F36" s="877"/>
      <c r="G36" s="877"/>
      <c r="H36" s="877"/>
    </row>
    <row r="37" spans="1:17" ht="19.5" customHeight="1">
      <c r="A37" s="877" t="str" cm="1">
        <f t="array" aca="1" ref="A37" ca="1">"Số hiệu định mức: 030.0200."&amp;INDIRECT(ADDRESS(ROW(L40),COLUMN(L40)+L40,1,1))</f>
        <v>Số hiệu định mức: 030.0200.1</v>
      </c>
      <c r="B37" s="877"/>
      <c r="C37" s="877"/>
      <c r="D37" s="877"/>
      <c r="E37" s="877"/>
      <c r="F37" s="877"/>
      <c r="G37" s="877"/>
      <c r="H37" s="877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8" t="s">
        <v>18</v>
      </c>
      <c r="B39" s="878" t="s">
        <v>43</v>
      </c>
      <c r="C39" s="879" t="s">
        <v>42</v>
      </c>
      <c r="D39" s="879" t="s">
        <v>22</v>
      </c>
      <c r="E39" s="879" t="s">
        <v>237</v>
      </c>
      <c r="F39" s="880" t="s">
        <v>45</v>
      </c>
      <c r="G39" s="880"/>
      <c r="H39" s="880"/>
      <c r="L39" s="520" t="s">
        <v>254</v>
      </c>
      <c r="M39" s="835" t="s">
        <v>255</v>
      </c>
      <c r="N39" s="836"/>
      <c r="O39" s="836"/>
      <c r="P39" s="836"/>
      <c r="Q39" s="837"/>
    </row>
    <row r="40" spans="1:17" ht="19.5" customHeight="1">
      <c r="A40" s="878"/>
      <c r="B40" s="878"/>
      <c r="C40" s="879"/>
      <c r="D40" s="879"/>
      <c r="E40" s="879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81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1"/>
      <c r="C58" s="881"/>
      <c r="D58" s="881"/>
      <c r="E58" s="881"/>
      <c r="F58" s="881"/>
      <c r="G58" s="881"/>
      <c r="H58" s="881"/>
      <c r="M58" s="556" t="s">
        <v>267</v>
      </c>
    </row>
    <row r="59" spans="1:17" ht="19.5" customHeight="1">
      <c r="A59" s="877" t="str" cm="1">
        <f t="array" aca="1" ref="A59" ca="1">"Số hiệu định mức: 030.0300."&amp;INDIRECT(ADDRESS(ROW(L62),COLUMN(L62)+L62,1,1))</f>
        <v>Số hiệu định mức: 030.0300.1</v>
      </c>
      <c r="B59" s="877"/>
      <c r="C59" s="877"/>
      <c r="D59" s="877"/>
      <c r="E59" s="877"/>
      <c r="F59" s="877"/>
      <c r="G59" s="877"/>
      <c r="H59" s="877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8" t="s">
        <v>18</v>
      </c>
      <c r="B61" s="878" t="s">
        <v>43</v>
      </c>
      <c r="C61" s="879" t="s">
        <v>42</v>
      </c>
      <c r="D61" s="879" t="s">
        <v>22</v>
      </c>
      <c r="E61" s="879" t="s">
        <v>237</v>
      </c>
      <c r="F61" s="880" t="s">
        <v>45</v>
      </c>
      <c r="G61" s="880"/>
      <c r="H61" s="880"/>
      <c r="L61" s="520" t="s">
        <v>254</v>
      </c>
      <c r="M61" s="835" t="s">
        <v>255</v>
      </c>
      <c r="N61" s="836"/>
      <c r="O61" s="836"/>
      <c r="P61" s="836"/>
      <c r="Q61" s="837"/>
    </row>
    <row r="62" spans="1:17" ht="19.5" customHeight="1">
      <c r="A62" s="878"/>
      <c r="B62" s="878"/>
      <c r="C62" s="879"/>
      <c r="D62" s="879"/>
      <c r="E62" s="879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7" t="str">
        <f>"Lặn xử lý tín hiệu đến độ sâu 0,5m. Nước sâu "&amp;L88</f>
        <v>Lặn xử lý tín hiệu đến độ sâu 0,5m. Nước sâu 0,5 ÷ 12m</v>
      </c>
      <c r="B76" s="877"/>
      <c r="C76" s="877"/>
      <c r="D76" s="877"/>
      <c r="E76" s="877"/>
      <c r="F76" s="877"/>
      <c r="G76" s="877"/>
      <c r="H76" s="877"/>
    </row>
    <row r="77" spans="1:17" ht="19.5" customHeight="1">
      <c r="A77" s="877" t="str" cm="1">
        <f t="array" aca="1" ref="A77" ca="1">"Số hiệu định mức: 030.0400."&amp;INDIRECT(ADDRESS(ROW(L80),COLUMN(L80)+L80,1,1))</f>
        <v>Số hiệu định mức: 030.0400.1</v>
      </c>
      <c r="B77" s="877"/>
      <c r="C77" s="877"/>
      <c r="D77" s="877"/>
      <c r="E77" s="877"/>
      <c r="F77" s="877"/>
      <c r="G77" s="877"/>
      <c r="H77" s="877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8" t="s">
        <v>18</v>
      </c>
      <c r="B79" s="878" t="s">
        <v>43</v>
      </c>
      <c r="C79" s="879" t="s">
        <v>42</v>
      </c>
      <c r="D79" s="879" t="s">
        <v>22</v>
      </c>
      <c r="E79" s="879" t="s">
        <v>237</v>
      </c>
      <c r="F79" s="880" t="s">
        <v>17</v>
      </c>
      <c r="G79" s="880"/>
      <c r="H79" s="880"/>
      <c r="L79" s="520" t="s">
        <v>254</v>
      </c>
      <c r="M79" s="835" t="s">
        <v>255</v>
      </c>
      <c r="N79" s="836"/>
      <c r="O79" s="836"/>
      <c r="P79" s="836"/>
      <c r="Q79" s="837"/>
    </row>
    <row r="80" spans="1:17" ht="19.5" customHeight="1">
      <c r="A80" s="878"/>
      <c r="B80" s="878"/>
      <c r="C80" s="879"/>
      <c r="D80" s="879"/>
      <c r="E80" s="879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7" t="str">
        <f>"Lặn xử lý tín hiệu nằm từ độ sâu 0,5m-1m. Nước sâu "&amp;L103</f>
        <v>Lặn xử lý tín hiệu nằm từ độ sâu 0,5m-1m. Nước sâu 0,5 ÷ 12m</v>
      </c>
      <c r="B89" s="877"/>
      <c r="C89" s="877"/>
      <c r="D89" s="877"/>
      <c r="E89" s="877"/>
      <c r="F89" s="877"/>
      <c r="G89" s="877"/>
      <c r="H89" s="877"/>
    </row>
    <row r="90" spans="1:17" ht="19.5" customHeight="1">
      <c r="A90" s="877" t="str" cm="1">
        <f t="array" aca="1" ref="A90" ca="1">"Số hiệu định mức: 030.0500."&amp;INDIRECT(ADDRESS(ROW(L93),COLUMN(L93)+L93,1,1))</f>
        <v>Số hiệu định mức: 030.0500.1</v>
      </c>
      <c r="B90" s="877"/>
      <c r="C90" s="877"/>
      <c r="D90" s="877"/>
      <c r="E90" s="877"/>
      <c r="F90" s="877"/>
      <c r="G90" s="877"/>
      <c r="H90" s="877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8" t="s">
        <v>18</v>
      </c>
      <c r="B92" s="878" t="s">
        <v>43</v>
      </c>
      <c r="C92" s="879" t="s">
        <v>42</v>
      </c>
      <c r="D92" s="879" t="s">
        <v>22</v>
      </c>
      <c r="E92" s="879" t="s">
        <v>237</v>
      </c>
      <c r="F92" s="880" t="s">
        <v>45</v>
      </c>
      <c r="G92" s="880"/>
      <c r="H92" s="880"/>
      <c r="L92" s="520" t="s">
        <v>254</v>
      </c>
      <c r="M92" s="835" t="s">
        <v>255</v>
      </c>
      <c r="N92" s="836"/>
      <c r="O92" s="836"/>
      <c r="P92" s="836"/>
      <c r="Q92" s="837"/>
    </row>
    <row r="93" spans="1:17" ht="19.5" customHeight="1">
      <c r="A93" s="878"/>
      <c r="B93" s="878"/>
      <c r="C93" s="879"/>
      <c r="D93" s="879"/>
      <c r="E93" s="879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7" t="str">
        <f>"Lặn xử lý tín hiệu nằm từ độ sâu 1m-3m. Nước sâu "&amp;L121</f>
        <v>Lặn xử lý tín hiệu nằm từ độ sâu 1m-3m. Nước sâu 0,5 ÷ 12m</v>
      </c>
      <c r="B106" s="877"/>
      <c r="C106" s="877"/>
      <c r="D106" s="877"/>
      <c r="E106" s="877"/>
      <c r="F106" s="877"/>
      <c r="G106" s="877"/>
      <c r="H106" s="877"/>
    </row>
    <row r="107" spans="1:17" ht="19.5" customHeight="1">
      <c r="A107" s="877" t="str" cm="1">
        <f t="array" aca="1" ref="A107" ca="1">"Số hiệu định mức: 030.0600."&amp;INDIRECT(ADDRESS(ROW(L110),COLUMN(L110)+L110,1,1))</f>
        <v>Số hiệu định mức: 030.0600.1</v>
      </c>
      <c r="B107" s="877"/>
      <c r="C107" s="877"/>
      <c r="D107" s="877"/>
      <c r="E107" s="877"/>
      <c r="F107" s="877"/>
      <c r="G107" s="877"/>
      <c r="H107" s="877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8" t="s">
        <v>18</v>
      </c>
      <c r="B109" s="878" t="s">
        <v>43</v>
      </c>
      <c r="C109" s="879" t="s">
        <v>42</v>
      </c>
      <c r="D109" s="879" t="s">
        <v>22</v>
      </c>
      <c r="E109" s="879" t="s">
        <v>237</v>
      </c>
      <c r="F109" s="880" t="s">
        <v>45</v>
      </c>
      <c r="G109" s="880"/>
      <c r="H109" s="880"/>
      <c r="L109" s="520" t="s">
        <v>254</v>
      </c>
      <c r="M109" s="835" t="s">
        <v>255</v>
      </c>
      <c r="N109" s="836"/>
      <c r="O109" s="836"/>
      <c r="P109" s="836"/>
      <c r="Q109" s="837"/>
    </row>
    <row r="110" spans="1:17" ht="19.5" customHeight="1">
      <c r="A110" s="878"/>
      <c r="B110" s="878"/>
      <c r="C110" s="879"/>
      <c r="D110" s="879"/>
      <c r="E110" s="879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7" t="str">
        <f>"Lặn xử lý tín hiệu nằm từ độ sâu 1m-5m. Nước sâu "&amp;L138</f>
        <v>Lặn xử lý tín hiệu nằm từ độ sâu 1m-5m. Nước sâu Không có</v>
      </c>
      <c r="B123" s="877"/>
      <c r="C123" s="877"/>
      <c r="D123" s="877"/>
      <c r="E123" s="877"/>
      <c r="F123" s="877"/>
      <c r="G123" s="877"/>
      <c r="H123" s="877"/>
    </row>
    <row r="124" spans="1:17" hidden="1" outlineLevel="1">
      <c r="A124" s="877" t="str" cm="1">
        <f t="array" aca="1" ref="A124" ca="1">"Số hiệu định mức: 030.0700."&amp;INDIRECT(ADDRESS(ROW(L127),COLUMN(L127)+L127,1,1))</f>
        <v>Số hiệu định mức: 030.0700.4</v>
      </c>
      <c r="B124" s="877"/>
      <c r="C124" s="877"/>
      <c r="D124" s="877"/>
      <c r="E124" s="877"/>
      <c r="F124" s="877"/>
      <c r="G124" s="877"/>
      <c r="H124" s="877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8" t="s">
        <v>18</v>
      </c>
      <c r="B126" s="878" t="s">
        <v>43</v>
      </c>
      <c r="C126" s="879" t="s">
        <v>42</v>
      </c>
      <c r="D126" s="879" t="s">
        <v>22</v>
      </c>
      <c r="E126" s="879" t="s">
        <v>237</v>
      </c>
      <c r="F126" s="880" t="s">
        <v>45</v>
      </c>
      <c r="G126" s="880"/>
      <c r="H126" s="880"/>
      <c r="L126" s="520" t="s">
        <v>254</v>
      </c>
      <c r="M126" s="835" t="s">
        <v>255</v>
      </c>
      <c r="N126" s="836"/>
      <c r="O126" s="836"/>
      <c r="P126" s="836"/>
      <c r="Q126" s="837"/>
    </row>
    <row r="127" spans="1:17" hidden="1" outlineLevel="1">
      <c r="A127" s="878"/>
      <c r="B127" s="878"/>
      <c r="C127" s="879"/>
      <c r="D127" s="879"/>
      <c r="E127" s="879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89" t="s">
        <v>286</v>
      </c>
      <c r="B2" s="889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89"/>
      <c r="N2" s="889"/>
    </row>
    <row r="3" spans="1:18">
      <c r="A3" s="890" t="s">
        <v>358</v>
      </c>
      <c r="B3" s="891"/>
      <c r="C3" s="891"/>
      <c r="D3" s="891"/>
      <c r="E3" s="891"/>
      <c r="F3" s="891"/>
      <c r="G3" s="891"/>
      <c r="H3" s="891"/>
      <c r="I3" s="891"/>
      <c r="J3" s="891"/>
      <c r="K3" s="891"/>
      <c r="L3" s="891"/>
      <c r="M3" s="891"/>
      <c r="N3" s="891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892" t="s">
        <v>0</v>
      </c>
      <c r="B6" s="893" t="s">
        <v>222</v>
      </c>
      <c r="C6" s="95" t="s">
        <v>18</v>
      </c>
      <c r="D6" s="893" t="s">
        <v>230</v>
      </c>
      <c r="E6" s="893"/>
      <c r="F6" s="893"/>
      <c r="G6" s="893"/>
      <c r="H6" s="893"/>
      <c r="I6" s="893"/>
      <c r="J6" s="893"/>
      <c r="K6" s="893"/>
      <c r="L6" s="893"/>
      <c r="M6" s="893"/>
      <c r="N6" s="893"/>
      <c r="O6" s="201"/>
      <c r="P6" s="201"/>
    </row>
    <row r="7" spans="1:18">
      <c r="A7" s="892"/>
      <c r="B7" s="893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8" t="s">
        <v>287</v>
      </c>
      <c r="B15" s="888"/>
      <c r="C15" s="888"/>
      <c r="D15" s="888"/>
      <c r="E15" s="888"/>
      <c r="F15" s="888"/>
      <c r="G15" s="888"/>
      <c r="H15" s="888"/>
    </row>
    <row r="16" spans="1:18">
      <c r="A16" s="894" t="s">
        <v>357</v>
      </c>
      <c r="B16" s="894"/>
      <c r="C16" s="894"/>
      <c r="D16" s="894"/>
      <c r="E16" s="894"/>
      <c r="F16" s="894"/>
      <c r="G16" s="894"/>
      <c r="H16" s="894"/>
    </row>
    <row r="17" spans="1:13">
      <c r="A17" s="895" t="s">
        <v>224</v>
      </c>
      <c r="B17" s="895"/>
      <c r="C17" s="895"/>
      <c r="D17" s="895"/>
      <c r="E17" s="895"/>
      <c r="F17" s="895"/>
      <c r="G17" s="895"/>
      <c r="H17" s="895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6" t="s">
        <v>0</v>
      </c>
      <c r="B19" s="896" t="s">
        <v>222</v>
      </c>
      <c r="C19" s="190"/>
      <c r="D19" s="897" t="s">
        <v>221</v>
      </c>
      <c r="E19" s="897"/>
      <c r="F19" s="897"/>
      <c r="G19" s="897"/>
      <c r="H19" s="897"/>
      <c r="I19" s="175" t="s">
        <v>278</v>
      </c>
      <c r="J19" s="904">
        <f>IF('THKP-TC'!$E$13&lt;15*10^9,15*10^9,'THKP-TC'!$E$13)</f>
        <v>15000000000</v>
      </c>
      <c r="K19" s="904"/>
      <c r="L19" s="898">
        <f>'THKP-TC'!E13</f>
        <v>839151026.70680892</v>
      </c>
      <c r="M19" s="898"/>
    </row>
    <row r="20" spans="1:13" ht="16.8">
      <c r="A20" s="896"/>
      <c r="B20" s="896"/>
      <c r="C20" s="190"/>
      <c r="D20" s="897" t="s">
        <v>220</v>
      </c>
      <c r="E20" s="897"/>
      <c r="F20" s="897"/>
      <c r="G20" s="897"/>
      <c r="H20" s="897"/>
      <c r="I20" s="80" t="s">
        <v>277</v>
      </c>
      <c r="J20" s="899" t="e">
        <f>I22</f>
        <v>#REF!</v>
      </c>
      <c r="K20" s="900"/>
    </row>
    <row r="21" spans="1:13">
      <c r="A21" s="896"/>
      <c r="B21" s="896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1" t="s">
        <v>0</v>
      </c>
      <c r="B28" s="901" t="s">
        <v>216</v>
      </c>
      <c r="C28" s="902" t="s">
        <v>18</v>
      </c>
      <c r="D28" s="901" t="s">
        <v>215</v>
      </c>
      <c r="E28" s="901"/>
      <c r="F28" s="901" t="s">
        <v>214</v>
      </c>
    </row>
    <row r="29" spans="1:13" ht="34.200000000000003">
      <c r="A29" s="901"/>
      <c r="B29" s="901"/>
      <c r="C29" s="903"/>
      <c r="D29" s="195" t="s">
        <v>285</v>
      </c>
      <c r="E29" s="195" t="s">
        <v>213</v>
      </c>
      <c r="F29" s="901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8">
        <f>IF('THKP-TC'!E16&lt;1*10^9,1*10^9,'THKP-TC'!E16)</f>
        <v>1000000000</v>
      </c>
      <c r="F42" s="898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5" t="s">
        <v>399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600"/>
      <c r="W1" s="600"/>
      <c r="X1" s="600"/>
    </row>
    <row r="2" spans="1:24" s="601" customFormat="1" ht="24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</row>
    <row r="3" spans="1:24" s="601" customFormat="1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  <c r="T3" s="908"/>
      <c r="U3" s="908"/>
    </row>
    <row r="4" spans="1:24" s="32" customFormat="1" ht="33.6" hidden="1" customHeight="1">
      <c r="A4" s="908" t="s">
        <v>197</v>
      </c>
      <c r="B4" s="908"/>
      <c r="C4" s="908"/>
      <c r="D4" s="908"/>
      <c r="E4" s="908"/>
      <c r="F4" s="908"/>
      <c r="G4" s="908"/>
      <c r="H4" s="908"/>
      <c r="I4" s="908"/>
      <c r="J4" s="908"/>
      <c r="K4" s="908"/>
      <c r="L4" s="908"/>
      <c r="M4" s="908"/>
      <c r="N4" s="908"/>
      <c r="O4" s="908"/>
      <c r="P4" s="908"/>
      <c r="Q4" s="908"/>
      <c r="R4" s="908"/>
      <c r="S4" s="908"/>
      <c r="T4" s="908"/>
      <c r="U4" s="908"/>
    </row>
    <row r="5" spans="1:24" ht="28.95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141</v>
      </c>
      <c r="F5" s="912"/>
      <c r="G5" s="909" t="s">
        <v>147</v>
      </c>
      <c r="H5" s="909" t="s">
        <v>148</v>
      </c>
      <c r="I5" s="909" t="s">
        <v>133</v>
      </c>
      <c r="J5" s="909" t="s">
        <v>194</v>
      </c>
      <c r="K5" s="909" t="s">
        <v>241</v>
      </c>
      <c r="L5" s="909" t="s">
        <v>393</v>
      </c>
      <c r="M5" s="909" t="s">
        <v>395</v>
      </c>
      <c r="N5" s="909" t="s">
        <v>394</v>
      </c>
      <c r="O5" s="909" t="s">
        <v>396</v>
      </c>
      <c r="P5" s="913" t="s">
        <v>134</v>
      </c>
      <c r="Q5" s="914"/>
      <c r="R5" s="914"/>
      <c r="S5" s="914"/>
      <c r="T5" s="915"/>
      <c r="U5" s="909" t="s">
        <v>19</v>
      </c>
    </row>
    <row r="6" spans="1:24" ht="49.5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6"/>
      <c r="I6" s="910"/>
      <c r="J6" s="910"/>
      <c r="K6" s="910"/>
      <c r="L6" s="910"/>
      <c r="M6" s="910"/>
      <c r="N6" s="910"/>
      <c r="O6" s="910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0"/>
    </row>
    <row r="7" spans="1:24" s="339" customFormat="1" ht="19.5" customHeight="1">
      <c r="A7" s="924">
        <v>1</v>
      </c>
      <c r="B7" s="921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5"/>
      <c r="B8" s="92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5"/>
      <c r="B9" s="92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6"/>
      <c r="B10" s="92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9" t="s">
        <v>548</v>
      </c>
      <c r="B14" s="919"/>
      <c r="C14" s="919"/>
      <c r="D14" s="919"/>
      <c r="E14" s="919"/>
      <c r="F14" s="919"/>
      <c r="G14" s="47"/>
      <c r="H14" s="203"/>
      <c r="I14" s="48"/>
      <c r="J14" s="49"/>
      <c r="K14" s="49"/>
      <c r="L14" s="920" t="s">
        <v>140</v>
      </c>
      <c r="M14" s="920"/>
      <c r="N14" s="920"/>
      <c r="O14" s="920"/>
      <c r="P14" s="920"/>
      <c r="Q14" s="920"/>
      <c r="R14" s="920"/>
      <c r="S14" s="920"/>
      <c r="T14" s="920"/>
      <c r="U14" s="92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7"/>
      <c r="B18" s="917"/>
      <c r="C18" s="917"/>
      <c r="D18" s="917"/>
      <c r="E18" s="917"/>
      <c r="F18" s="917"/>
      <c r="G18" s="60"/>
      <c r="H18" s="61"/>
      <c r="I18" s="62"/>
      <c r="J18" s="62"/>
      <c r="K18" s="62"/>
      <c r="L18" s="918" t="s">
        <v>550</v>
      </c>
      <c r="M18" s="918"/>
      <c r="N18" s="918"/>
      <c r="O18" s="918"/>
      <c r="P18" s="918"/>
      <c r="Q18" s="918"/>
      <c r="R18" s="918"/>
      <c r="S18" s="918"/>
      <c r="T18" s="918"/>
      <c r="U18" s="918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5" t="s">
        <v>400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</row>
    <row r="2" spans="1:19" ht="36.75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</row>
    <row r="3" spans="1:19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250</v>
      </c>
      <c r="F5" s="912"/>
      <c r="G5" s="909" t="s">
        <v>249</v>
      </c>
      <c r="H5" s="909" t="s">
        <v>544</v>
      </c>
      <c r="I5" s="909" t="s">
        <v>248</v>
      </c>
      <c r="J5" s="909" t="s">
        <v>247</v>
      </c>
      <c r="K5" s="909" t="s">
        <v>246</v>
      </c>
      <c r="L5" s="909" t="s">
        <v>245</v>
      </c>
      <c r="M5" s="909" t="s">
        <v>344</v>
      </c>
      <c r="N5" s="909" t="s">
        <v>244</v>
      </c>
      <c r="O5" s="929" t="s">
        <v>134</v>
      </c>
      <c r="P5" s="929"/>
      <c r="Q5" s="929"/>
      <c r="R5" s="929"/>
      <c r="S5" s="909" t="s">
        <v>19</v>
      </c>
    </row>
    <row r="6" spans="1:19" ht="60.6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0"/>
      <c r="I6" s="910"/>
      <c r="J6" s="910"/>
      <c r="K6" s="910"/>
      <c r="L6" s="910"/>
      <c r="M6" s="910"/>
      <c r="N6" s="910"/>
      <c r="O6" s="148" t="s">
        <v>136</v>
      </c>
      <c r="P6" s="148" t="s">
        <v>137</v>
      </c>
      <c r="Q6" s="148" t="s">
        <v>138</v>
      </c>
      <c r="R6" s="148" t="s">
        <v>243</v>
      </c>
      <c r="S6" s="910"/>
    </row>
    <row r="7" spans="1:19" ht="20.25" customHeight="1">
      <c r="A7" s="930">
        <v>1</v>
      </c>
      <c r="B7" s="932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7" t="str">
        <f>THNK_C!A14</f>
        <v>CÁN BỘ QUẢN LÝ CHẤT LƯỢNG</v>
      </c>
      <c r="B12" s="917"/>
      <c r="C12" s="917"/>
      <c r="D12" s="917"/>
      <c r="E12" s="917"/>
      <c r="F12" s="917"/>
      <c r="G12" s="917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7"/>
      <c r="B17" s="917"/>
      <c r="C17" s="917"/>
      <c r="D17" s="917"/>
      <c r="E17" s="917"/>
      <c r="F17" s="917"/>
      <c r="G17" s="917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2026-08-03T05:58:51Z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1|b68b5a3325c245ca93ecb40e565a4542|8|AD17348A71AAA0F0C2D77FEA7F2747EAA5047AC3A1B2885C2363FB99C589AE82</vt:lpwstr>
  </property>
  <property fmtid="{D5CDD505-2E9C-101B-9397-08002B2CF9AE}" pid="12" name="TTBMVN.ProjectProfile.Part.b68b5a3325c245ca93ecb40e565a4542.0000">
    <vt:lpwstr>TTBMVN_PROJECT_PROFILE
schema=2
projectId=VEVTVC1EVC0xMDMtMDAtRFUtVE9BTi1UUDM=
preparedDate=2026-08-03
approvalDate=
priceDate=2026-08-03
regulationPackageId=VEVTVC1EVDEwMy1QQUNLQUdFLU5PVC1GT1ItQ0FMQ1VMQVRJT04=
regulationPackageVersion=Mi4w</vt:lpwstr>
  </property>
  <property fmtid="{D5CDD505-2E9C-101B-9397-08002B2CF9AE}" pid="13" name="TTBMVN.ProjectProfile.Part.b68b5a3325c245ca93ecb40e565a4542.0001">
    <vt:lpwstr>LjA=
regulationPackageChecksum=6D044E98A906BC5C0FB7A92CCED66075F9924A039106A5210D4EFCB1C961BDA7
priceProfileId=VEVTVC1EVDEwMy1QUklDRS1CQVNFTElORQ==
overrideSummary=RFQtMTAzIHBlcnNpc3RlbmNlIHByb2ZpbGUgb25seTsgbm8gYnVzaW5lc3Mgb3ZlcnJpZGUuIERU</vt:lpwstr>
  </property>
  <property fmtid="{D5CDD505-2E9C-101B-9397-08002B2CF9AE}" pid="14" name="TTBMVN.ProjectProfile.Part.b68b5a3325c245ca93ecb40e565a4542.0002">
    <vt:lpwstr>LTEwMyBwZXJzaXN0ZW5jZSBwcm9maWxlIG9ubHk7IG5vIGJ1c2luZXNzIG92ZXJyaWRlLiBEVC0xMDMgcGVyc2lzdGVuY2UgcHJvZmlsZSBvbmx5OyBubyBidXNpbmVzcyBvdmVycmlkZS4gRFQtMTAzIHBlcnNpc3RlbmNlIHByb2ZpbGUgb25seTsgbm8gYnVzaW5lc3Mgb3ZlcnJpZGUuIERULTEwMyBwZXJzaXN0ZW5j</vt:lpwstr>
  </property>
  <property fmtid="{D5CDD505-2E9C-101B-9397-08002B2CF9AE}" pid="15" name="TTBMVN.ProjectProfile.Part.b68b5a3325c245ca93ecb40e565a4542.0003">
    <vt:lpwstr>ZSBwcm9maWxlIG9ubHk7IG5vIGJ1c2luZXNzIG92ZXJyaWRlLiBEVC0xMDMgcGVyc2lzdGVuY2UgcHJvZmlsZSBvbmx5OyBubyBidXNpbmVzcyBvdmVycmlkZS4gRFQtMTAzIHBlcnNpc3RlbmNlIHByb2ZpbGUgb25seTsgbm8gYnVzaW5lc3Mgb3ZlcnJpZGUuIERULTEwMyBwZXJzaXN0ZW5jZSBwcm9maWxlIG9ubHk7</vt:lpwstr>
  </property>
  <property fmtid="{D5CDD505-2E9C-101B-9397-08002B2CF9AE}" pid="16" name="TTBMVN.ProjectProfile.Part.b68b5a3325c245ca93ecb40e565a4542.0004">
    <vt:lpwstr>IG5vIGJ1c2luZXNzIG92ZXJyaWRlLiBEVC0xMDMgcGVyc2lzdGVuY2UgcHJvZmlsZSBvbmx5OyBubyBidXNpbmVzcyBvdmVycmlkZS4gRFQtMTAzIHBlcnNpc3RlbmNlIHByb2ZpbGUgb25seTsgbm8gYnVzaW5lc3Mgb3ZlcnJpZGUuIERULTEwMyBwZXJzaXN0ZW5jZSBwcm9maWxlIG9ubHk7IG5vIGJ1c2luZXNzIG92</vt:lpwstr>
  </property>
  <property fmtid="{D5CDD505-2E9C-101B-9397-08002B2CF9AE}" pid="17" name="TTBMVN.ProjectProfile.Part.b68b5a3325c245ca93ecb40e565a4542.0005">
    <vt:lpwstr>ZXJyaWRlLiBEVC0xMDMgcGVyc2lzdGVuY2UgcHJvZmlsZSBvbmx5OyBubyBidXNpbmVzcyBvdmVycmlkZS4gRFQtMTAzIHBlcnNpc3RlbmNlIHByb2ZpbGUgb25seTsgbm8gYnVzaW5lc3Mgb3ZlcnJpZGUuIERULTEwMyBwZXJzaXN0ZW5jZSBwcm9maWxlIG9ubHk7IG5vIGJ1c2luZXNzIG92ZXJyaWRlLiBEVC0xMDMg</vt:lpwstr>
  </property>
  <property fmtid="{D5CDD505-2E9C-101B-9397-08002B2CF9AE}" pid="18" name="TTBMVN.ProjectProfile.Part.b68b5a3325c245ca93ecb40e565a4542.0006">
    <vt:lpwstr>cGVyc2lzdGVuY2UgcHJvZmlsZSBvbmx5OyBubyBidXNpbmVzcyBvdmVycmlkZS4gRFQtMTAzIHBlcnNpc3RlbmNlIHByb2ZpbGUgb25seTsgbm8gYnVzaW5lc3Mgb3ZlcnJpZGUuIERULTEwMyBwZXJzaXN0ZW5jZSBwcm9maWxlIG9ubHk7IG5vIGJ1c2luZXNzIG92ZXJyaWRlLiBEVC0xMDMgcGVyc2lzdGVuY2UgcHJv</vt:lpwstr>
  </property>
  <property fmtid="{D5CDD505-2E9C-101B-9397-08002B2CF9AE}" pid="19" name="TTBMVN.ProjectProfile.Part.b68b5a3325c245ca93ecb40e565a4542.0007">
    <vt:lpwstr>ZmlsZSBvbmx5OyBubyBidXNpbmVzcyBvdmVycmlkZS4gRFQtMTAzIHBlcnNpc3RlbmNlIHByb2ZpbGUgb25seTsgbm8gYnVzaW5lc3Mgb3ZlcnJpZGUuIERULTEwMyBwZXJzaXN0ZW5jZSBwcm9maWxlIG9ubHk7IG5vIGJ1c2luZXNzIG92ZXJyaWRlLg==</vt:lpwstr>
  </property>
</Properties>
</file>