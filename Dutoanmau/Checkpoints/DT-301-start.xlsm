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"/>
    </mc:Choice>
  </mc:AlternateContent>
  <xr:revisionPtr revIDLastSave="0" documentId="8_{77B017B0-5A36-4B3B-89FA-FE30C3CB0969}" xr6:coauthVersionLast="47" xr6:coauthVersionMax="47" xr10:uidLastSave="{00000000-0000-0000-0000-000000000000}"/>
  <bookViews>
    <workbookView xWindow="-108" yWindow="-108" windowWidth="23256" windowHeight="12456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<sst xmlns="http://schemas.openxmlformats.org/spreadsheetml/2006/main" count="1630" uniqueCount="553">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</sst>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4" t="s">
        <v>436</v>
      </c>
      <c r="D1" s="814"/>
      <c r="E1" s="814"/>
      <c r="F1" s="814"/>
      <c r="G1" s="814"/>
      <c r="H1" s="814"/>
      <c r="I1" s="814"/>
      <c r="J1" s="814"/>
      <c r="K1" s="814"/>
      <c r="L1" s="814"/>
      <c r="M1" s="814"/>
      <c r="N1" s="814"/>
      <c r="O1" s="814"/>
      <c r="P1" s="814"/>
      <c r="Q1" s="814"/>
      <c r="R1" s="710"/>
      <c r="S1" s="710"/>
    </row>
    <row r="2" spans="1:31" ht="20.25" customHeight="1">
      <c r="C2" s="823" t="s">
        <v>541</v>
      </c>
      <c r="D2" s="823"/>
      <c r="E2" s="823"/>
      <c r="F2" s="823"/>
      <c r="G2" s="823"/>
      <c r="H2" s="823"/>
      <c r="I2" s="823"/>
      <c r="J2" s="823"/>
      <c r="K2" s="823"/>
      <c r="L2" s="823"/>
      <c r="M2" s="823"/>
      <c r="N2" s="823"/>
      <c r="O2" s="823"/>
      <c r="P2" s="823"/>
      <c r="Q2" s="823"/>
      <c r="R2" s="711"/>
      <c r="S2" s="711"/>
    </row>
    <row r="3" spans="1:31" ht="20.25" customHeight="1">
      <c r="C3" s="824" t="s">
        <v>195</v>
      </c>
      <c r="D3" s="824"/>
      <c r="E3" s="824"/>
      <c r="F3" s="824"/>
      <c r="G3" s="824"/>
      <c r="H3" s="824"/>
      <c r="I3" s="824"/>
      <c r="J3" s="824"/>
      <c r="K3" s="824"/>
      <c r="L3" s="824"/>
      <c r="M3" s="824"/>
      <c r="N3" s="824"/>
      <c r="O3" s="824"/>
      <c r="P3" s="824"/>
      <c r="Q3" s="824"/>
      <c r="R3" s="711"/>
      <c r="S3" s="711"/>
    </row>
    <row r="4" spans="1:31" ht="20.25" customHeight="1">
      <c r="C4" s="823" t="s">
        <v>542</v>
      </c>
      <c r="D4" s="823"/>
      <c r="E4" s="823"/>
      <c r="F4" s="823"/>
      <c r="G4" s="823"/>
      <c r="H4" s="823"/>
      <c r="I4" s="823"/>
      <c r="J4" s="823"/>
      <c r="K4" s="823"/>
      <c r="L4" s="823"/>
      <c r="M4" s="823"/>
      <c r="N4" s="823"/>
      <c r="O4" s="823"/>
      <c r="P4" s="823"/>
      <c r="Q4" s="823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5" t="s">
        <v>452</v>
      </c>
      <c r="B6" s="713"/>
      <c r="C6" s="826" t="s">
        <v>18</v>
      </c>
      <c r="D6" s="826" t="s">
        <v>453</v>
      </c>
      <c r="E6" s="827" t="s">
        <v>454</v>
      </c>
      <c r="F6" s="827" t="s">
        <v>455</v>
      </c>
      <c r="G6" s="820" t="s">
        <v>456</v>
      </c>
      <c r="H6" s="822"/>
      <c r="I6" s="821"/>
      <c r="J6" s="815" t="s">
        <v>510</v>
      </c>
      <c r="K6" s="816"/>
      <c r="L6" s="817"/>
      <c r="M6" s="820" t="s">
        <v>508</v>
      </c>
      <c r="N6" s="821"/>
      <c r="O6" s="820" t="s">
        <v>509</v>
      </c>
      <c r="P6" s="821"/>
      <c r="Q6" s="818" t="s">
        <v>19</v>
      </c>
      <c r="R6" s="711"/>
      <c r="S6" s="711"/>
      <c r="U6" s="709">
        <v>3</v>
      </c>
    </row>
    <row r="7" spans="1:31" ht="57.6" customHeight="1">
      <c r="A7" s="825"/>
      <c r="B7" s="713"/>
      <c r="C7" s="826"/>
      <c r="D7" s="826"/>
      <c r="E7" s="827"/>
      <c r="F7" s="827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19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0" t="s">
        <v>0</v>
      </c>
      <c r="B15" s="840" t="s">
        <v>304</v>
      </c>
      <c r="C15" s="843" t="s">
        <v>305</v>
      </c>
      <c r="D15" s="844"/>
      <c r="E15" s="844"/>
      <c r="F15" s="844"/>
      <c r="G15" s="845"/>
    </row>
    <row r="16" spans="1:7" ht="15" customHeight="1">
      <c r="A16" s="841"/>
      <c r="B16" s="841"/>
      <c r="C16" s="840" t="s">
        <v>306</v>
      </c>
      <c r="D16" s="840" t="s">
        <v>307</v>
      </c>
      <c r="E16" s="478" t="s">
        <v>308</v>
      </c>
      <c r="F16" s="840" t="s">
        <v>310</v>
      </c>
      <c r="G16" s="479" t="s">
        <v>311</v>
      </c>
    </row>
    <row r="17" spans="1:7">
      <c r="A17" s="842"/>
      <c r="B17" s="842"/>
      <c r="C17" s="842"/>
      <c r="D17" s="842"/>
      <c r="E17" s="480" t="s">
        <v>309</v>
      </c>
      <c r="F17" s="842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8" t="s">
        <v>0</v>
      </c>
      <c r="B26" s="485" t="s">
        <v>264</v>
      </c>
      <c r="C26" s="850" t="s">
        <v>317</v>
      </c>
      <c r="D26" s="851"/>
      <c r="E26" s="852"/>
    </row>
    <row r="27" spans="1:7" ht="30.6" customHeight="1">
      <c r="A27" s="849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6" t="s">
        <v>0</v>
      </c>
      <c r="B35" s="461" t="s">
        <v>264</v>
      </c>
      <c r="C35" s="854" t="s">
        <v>305</v>
      </c>
      <c r="D35" s="855"/>
      <c r="E35" s="856"/>
    </row>
    <row r="36" spans="1:7" ht="67.2" customHeight="1">
      <c r="A36" s="853"/>
      <c r="B36" s="491" t="s">
        <v>316</v>
      </c>
      <c r="C36" s="491" t="s">
        <v>321</v>
      </c>
      <c r="D36" s="846" t="s">
        <v>323</v>
      </c>
      <c r="E36" s="846" t="s">
        <v>324</v>
      </c>
      <c r="F36" s="846" t="s">
        <v>323</v>
      </c>
      <c r="G36" s="846" t="s">
        <v>324</v>
      </c>
    </row>
    <row r="37" spans="1:7" ht="16.8">
      <c r="A37" s="847"/>
      <c r="B37" s="492"/>
      <c r="C37" s="493" t="s">
        <v>322</v>
      </c>
      <c r="D37" s="847"/>
      <c r="E37" s="847"/>
      <c r="F37" s="847"/>
      <c r="G37" s="847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L47"/>
  <sheetViews>
    <sheetView tabSelected="1" view="pageBreakPreview" topLeftCell="A16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10" ht="18" customHeight="1"/>
    <row r="2" spans="1:10" s="630" customFormat="1" ht="22.5" customHeight="1">
      <c r="A2" s="806" t="s">
        <v>121</v>
      </c>
      <c r="B2" s="806"/>
      <c r="C2" s="806"/>
      <c r="D2" s="806"/>
      <c r="E2" s="806"/>
      <c r="F2" s="806"/>
    </row>
    <row r="3" spans="1:10" s="630" customFormat="1" ht="48" customHeight="1">
      <c r="A3" s="807" t="str">
        <f>'PL01'!C2</f>
        <v>Dự án: Cải tạo, nâng cấp  trạm bơm Trà Phương 3 tiêu thoát nước cho vùng các khu công nghiệp huyện Kim Động, Ân Thi, Yên Mỹ tỉnh Hưng Yên</v>
      </c>
      <c r="B3" s="808"/>
      <c r="C3" s="808"/>
      <c r="D3" s="808"/>
      <c r="E3" s="808"/>
      <c r="F3" s="808"/>
      <c r="H3" s="631"/>
    </row>
    <row r="4" spans="1:10" s="632" customFormat="1" ht="16.8" customHeight="1">
      <c r="A4" s="807" t="str">
        <f>'PL01'!C3</f>
        <v>Hạng mục: Rà phá bom mìn, vật nổ</v>
      </c>
      <c r="B4" s="808"/>
      <c r="C4" s="808"/>
      <c r="D4" s="808"/>
      <c r="E4" s="808"/>
      <c r="F4" s="808"/>
    </row>
    <row r="5" spans="1:10" s="630" customFormat="1" ht="22.8" customHeight="1">
      <c r="A5" s="807" t="str">
        <f>'PL01'!C4</f>
        <v>Địa điểm: Xã Hồng Quang, tỉnh Hưng Yên</v>
      </c>
      <c r="B5" s="808"/>
      <c r="C5" s="808"/>
      <c r="D5" s="808"/>
      <c r="E5" s="808"/>
      <c r="F5" s="808"/>
    </row>
    <row r="6" spans="1:10" s="632" customFormat="1" ht="21" hidden="1" customHeight="1">
      <c r="A6" s="805" t="s">
        <v>240</v>
      </c>
      <c r="B6" s="805"/>
      <c r="C6" s="805"/>
      <c r="D6" s="805"/>
      <c r="E6" s="805"/>
      <c r="F6" s="633"/>
    </row>
    <row r="7" spans="1:10" s="630" customFormat="1" ht="9.75" customHeight="1">
      <c r="A7" s="634"/>
      <c r="B7" s="634"/>
      <c r="C7" s="634"/>
      <c r="D7" s="634"/>
      <c r="E7" s="634"/>
      <c r="F7" s="634"/>
    </row>
    <row r="8" spans="1:10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10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10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</row>
    <row r="11" spans="1:10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10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10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10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10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10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11" t="s">
        <v>545</v>
      </c>
      <c r="B28" s="811"/>
      <c r="C28" s="811"/>
      <c r="D28" s="811"/>
      <c r="E28" s="811"/>
      <c r="F28" s="811"/>
      <c r="G28" s="812"/>
      <c r="H28" s="812"/>
      <c r="I28" s="812"/>
      <c r="J28" s="812"/>
      <c r="K28" s="812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13" t="s">
        <v>179</v>
      </c>
      <c r="B30" s="813"/>
      <c r="C30" s="424"/>
      <c r="D30" s="813" t="s">
        <v>123</v>
      </c>
      <c r="E30" s="813"/>
      <c r="F30" s="813"/>
    </row>
    <row r="31" spans="1:12" ht="16.95" customHeight="1">
      <c r="A31" s="813"/>
      <c r="B31" s="813"/>
      <c r="C31" s="424"/>
      <c r="D31" s="813" t="s">
        <v>551</v>
      </c>
      <c r="E31" s="813"/>
      <c r="F31" s="813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13" t="s">
        <v>552</v>
      </c>
      <c r="E35" s="813"/>
      <c r="F35" s="813"/>
    </row>
    <row r="36" spans="1:6" ht="18">
      <c r="A36" s="809"/>
      <c r="B36" s="809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10"/>
      <c r="B39" s="810"/>
      <c r="C39" s="810"/>
      <c r="D39" s="810"/>
      <c r="E39" s="810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topLeftCell="A6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58" t="s">
        <v>351</v>
      </c>
      <c r="B1" s="858"/>
      <c r="C1" s="858"/>
      <c r="D1" s="858"/>
      <c r="E1" s="858"/>
      <c r="F1" s="858"/>
      <c r="G1" s="858"/>
      <c r="H1" s="858"/>
      <c r="I1" s="858"/>
      <c r="J1" s="858"/>
      <c r="K1" s="858"/>
      <c r="L1" s="23"/>
      <c r="M1" s="23"/>
      <c r="N1" s="23"/>
      <c r="O1" s="23"/>
    </row>
    <row r="2" spans="1:22" ht="24" customHeight="1">
      <c r="A2" s="858" t="s">
        <v>112</v>
      </c>
      <c r="B2" s="858"/>
      <c r="C2" s="858"/>
      <c r="D2" s="858"/>
      <c r="E2" s="858"/>
      <c r="F2" s="858"/>
      <c r="G2" s="858"/>
      <c r="H2" s="858"/>
      <c r="I2" s="858"/>
      <c r="J2" s="858"/>
      <c r="K2" s="858"/>
      <c r="L2" s="23"/>
      <c r="M2" s="23"/>
      <c r="N2" s="23"/>
      <c r="O2" s="23"/>
      <c r="Q2" s="859"/>
      <c r="R2" s="859"/>
      <c r="S2" s="859"/>
      <c r="T2" s="859"/>
    </row>
    <row r="3" spans="1:22" ht="24" hidden="1" customHeight="1">
      <c r="A3" s="857" t="e">
        <f>#REF!</f>
        <v>#REF!</v>
      </c>
      <c r="B3" s="857"/>
      <c r="C3" s="857"/>
      <c r="D3" s="857"/>
      <c r="E3" s="857"/>
      <c r="F3" s="857"/>
      <c r="G3" s="857"/>
      <c r="H3" s="857"/>
      <c r="I3" s="857"/>
      <c r="J3" s="857"/>
      <c r="K3" s="857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57" t="s">
        <v>195</v>
      </c>
      <c r="B5" s="857"/>
      <c r="C5" s="857"/>
      <c r="D5" s="857"/>
      <c r="E5" s="857"/>
      <c r="F5" s="857"/>
      <c r="G5" s="857"/>
      <c r="H5" s="857"/>
      <c r="I5" s="857"/>
      <c r="J5" s="857"/>
      <c r="K5" s="857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57"/>
      <c r="C6" s="857"/>
      <c r="D6" s="857"/>
      <c r="E6" s="857"/>
      <c r="F6" s="857"/>
      <c r="G6" s="857"/>
      <c r="H6" s="857"/>
      <c r="I6" s="857"/>
      <c r="J6" s="857"/>
      <c r="K6" s="857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4"/>
      <c r="B7" s="864"/>
      <c r="C7" s="864"/>
      <c r="D7" s="864"/>
      <c r="E7" s="864"/>
      <c r="F7" s="864"/>
      <c r="G7" s="864"/>
      <c r="H7" s="864"/>
      <c r="I7" s="864"/>
      <c r="J7" s="864"/>
      <c r="K7" s="864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5" t="s">
        <v>0</v>
      </c>
      <c r="B9" s="865" t="s">
        <v>49</v>
      </c>
      <c r="C9" s="865" t="s">
        <v>53</v>
      </c>
      <c r="D9" s="865" t="s">
        <v>22</v>
      </c>
      <c r="E9" s="865" t="s">
        <v>164</v>
      </c>
      <c r="F9" s="861" t="s">
        <v>31</v>
      </c>
      <c r="G9" s="861"/>
      <c r="H9" s="861"/>
      <c r="I9" s="861" t="s">
        <v>45</v>
      </c>
      <c r="J9" s="861"/>
      <c r="K9" s="861"/>
      <c r="L9" s="861" t="s">
        <v>167</v>
      </c>
      <c r="M9" s="861"/>
      <c r="N9" s="861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6"/>
      <c r="B10" s="866"/>
      <c r="C10" s="866"/>
      <c r="D10" s="866"/>
      <c r="E10" s="866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62"/>
      <c r="D30" s="863"/>
      <c r="I30" s="206"/>
      <c r="J30" s="206"/>
      <c r="K30" s="206"/>
      <c r="P30" s="207"/>
    </row>
    <row r="31" spans="1:22">
      <c r="C31" s="862"/>
      <c r="D31" s="863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08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839151026.70680892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548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550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2026-08-03T05:08:36Z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1|b68b5a3325c245ca93ecb40e565a4542|8|AD17348A71AAA0F0C2D77FEA7F2747EAA5047AC3A1B2885C2363FB99C589AE82</vt:lpwstr>
  </property>
  <property fmtid="{D5CDD505-2E9C-101B-9397-08002B2CF9AE}" pid="12" name="TTBMVN.ProjectProfile.Part.b68b5a3325c245ca93ecb40e565a4542.0000">
    <vt:lpwstr>TTBMVN_PROJECT_PROFILE
schema=2
projectId=VEVTVC1EVC0xMDMtMDAtRFUtVE9BTi1UUDM=
preparedDate=2026-08-03
approvalDate=
priceDate=2026-08-03
regulationPackageId=VEVTVC1EVDEwMy1QQUNLQUdFLU5PVC1GT1ItQ0FMQ1VMQVRJT04=
regulationPackageVersion=Mi4w</vt:lpwstr>
  </property>
  <property fmtid="{D5CDD505-2E9C-101B-9397-08002B2CF9AE}" pid="13" name="TTBMVN.ProjectProfile.Part.b68b5a3325c245ca93ecb40e565a4542.0001">
    <vt:lpwstr>LjA=
regulationPackageChecksum=6D044E98A906BC5C0FB7A92CCED66075F9924A039106A5210D4EFCB1C961BDA7
priceProfileId=VEVTVC1EVDEwMy1QUklDRS1CQVNFTElORQ==
overrideSummary=RFQtMTAzIHBlcnNpc3RlbmNlIHByb2ZpbGUgb25seTsgbm8gYnVzaW5lc3Mgb3ZlcnJpZGUuIERU</vt:lpwstr>
  </property>
  <property fmtid="{D5CDD505-2E9C-101B-9397-08002B2CF9AE}" pid="14" name="TTBMVN.ProjectProfile.Part.b68b5a3325c245ca93ecb40e565a4542.0002">
    <vt:lpwstr>LTEwMyBwZXJzaXN0ZW5jZSBwcm9maWxlIG9ubHk7IG5vIGJ1c2luZXNzIG92ZXJyaWRlLiBEVC0xMDMgcGVyc2lzdGVuY2UgcHJvZmlsZSBvbmx5OyBubyBidXNpbmVzcyBvdmVycmlkZS4gRFQtMTAzIHBlcnNpc3RlbmNlIHByb2ZpbGUgb25seTsgbm8gYnVzaW5lc3Mgb3ZlcnJpZGUuIERULTEwMyBwZXJzaXN0ZW5j</vt:lpwstr>
  </property>
  <property fmtid="{D5CDD505-2E9C-101B-9397-08002B2CF9AE}" pid="15" name="TTBMVN.ProjectProfile.Part.b68b5a3325c245ca93ecb40e565a4542.0003">
    <vt:lpwstr>ZSBwcm9maWxlIG9ubHk7IG5vIGJ1c2luZXNzIG92ZXJyaWRlLiBEVC0xMDMgcGVyc2lzdGVuY2UgcHJvZmlsZSBvbmx5OyBubyBidXNpbmVzcyBvdmVycmlkZS4gRFQtMTAzIHBlcnNpc3RlbmNlIHByb2ZpbGUgb25seTsgbm8gYnVzaW5lc3Mgb3ZlcnJpZGUuIERULTEwMyBwZXJzaXN0ZW5jZSBwcm9maWxlIG9ubHk7</vt:lpwstr>
  </property>
  <property fmtid="{D5CDD505-2E9C-101B-9397-08002B2CF9AE}" pid="16" name="TTBMVN.ProjectProfile.Part.b68b5a3325c245ca93ecb40e565a4542.0004">
    <vt:lpwstr>IG5vIGJ1c2luZXNzIG92ZXJyaWRlLiBEVC0xMDMgcGVyc2lzdGVuY2UgcHJvZmlsZSBvbmx5OyBubyBidXNpbmVzcyBvdmVycmlkZS4gRFQtMTAzIHBlcnNpc3RlbmNlIHByb2ZpbGUgb25seTsgbm8gYnVzaW5lc3Mgb3ZlcnJpZGUuIERULTEwMyBwZXJzaXN0ZW5jZSBwcm9maWxlIG9ubHk7IG5vIGJ1c2luZXNzIG92</vt:lpwstr>
  </property>
  <property fmtid="{D5CDD505-2E9C-101B-9397-08002B2CF9AE}" pid="17" name="TTBMVN.ProjectProfile.Part.b68b5a3325c245ca93ecb40e565a4542.0005">
    <vt:lpwstr>ZXJyaWRlLiBEVC0xMDMgcGVyc2lzdGVuY2UgcHJvZmlsZSBvbmx5OyBubyBidXNpbmVzcyBvdmVycmlkZS4gRFQtMTAzIHBlcnNpc3RlbmNlIHByb2ZpbGUgb25seTsgbm8gYnVzaW5lc3Mgb3ZlcnJpZGUuIERULTEwMyBwZXJzaXN0ZW5jZSBwcm9maWxlIG9ubHk7IG5vIGJ1c2luZXNzIG92ZXJyaWRlLiBEVC0xMDMg</vt:lpwstr>
  </property>
  <property fmtid="{D5CDD505-2E9C-101B-9397-08002B2CF9AE}" pid="18" name="TTBMVN.ProjectProfile.Part.b68b5a3325c245ca93ecb40e565a4542.0006">
    <vt:lpwstr>cGVyc2lzdGVuY2UgcHJvZmlsZSBvbmx5OyBubyBidXNpbmVzcyBvdmVycmlkZS4gRFQtMTAzIHBlcnNpc3RlbmNlIHByb2ZpbGUgb25seTsgbm8gYnVzaW5lc3Mgb3ZlcnJpZGUuIERULTEwMyBwZXJzaXN0ZW5jZSBwcm9maWxlIG9ubHk7IG5vIGJ1c2luZXNzIG92ZXJyaWRlLiBEVC0xMDMgcGVyc2lzdGVuY2UgcHJv</vt:lpwstr>
  </property>
  <property fmtid="{D5CDD505-2E9C-101B-9397-08002B2CF9AE}" pid="19" name="TTBMVN.ProjectProfile.Part.b68b5a3325c245ca93ecb40e565a4542.0007">
    <vt:lpwstr>ZmlsZSBvbmx5OyBubyBidXNpbmVzcyBvdmVycmlkZS4gRFQtMTAzIHBlcnNpc3RlbmNlIHByb2ZpbGUgb25seTsgbm8gYnVzaW5lc3Mgb3ZlcnJpZGUuIERULTEwMyBwZXJzaXN0ZW5jZSBwcm9maWxlIG9ubHk7IG5vIGJ1c2luZXNzIG92ZXJyaWRlLg==</vt:lpwstr>
  </property>
</Properties>
</file>