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Variants\"/>
    </mc:Choice>
  </mc:AlternateContent>
  <xr:revisionPtr revIDLastSave="0" documentId="8_{EA6C2F16-DDF6-45E3-81C4-312C28053275}" xr6:coauthVersionLast="47" xr6:coauthVersionMax="47" xr10:uidLastSave="{00000000-0000-0000-0000-000000000000}"/>
  <bookViews>
    <workbookView xWindow="2304" yWindow="2304" windowWidth="17280" windowHeight="8880" tabRatio="771" activeTab="7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11" l="1"/>
  <c r="D12" i="211"/>
  <c r="B12" i="212"/>
  <c r="L12" i="212"/>
  <c r="L11" i="212" s="1"/>
  <c r="M12" i="212"/>
  <c r="M11" i="212" s="1"/>
  <c r="N12" i="212"/>
  <c r="N11" i="212" s="1"/>
  <c r="B13" i="212"/>
  <c r="D13" i="212"/>
  <c r="D12" i="212" s="1"/>
  <c r="I13" i="212"/>
  <c r="J13" i="212"/>
  <c r="K13" i="212"/>
  <c r="L13" i="212"/>
  <c r="M13" i="212"/>
  <c r="N13" i="212"/>
  <c r="B14" i="212"/>
  <c r="D14" i="212"/>
  <c r="I14" i="212"/>
  <c r="J14" i="212"/>
  <c r="K14" i="212"/>
  <c r="L14" i="212"/>
  <c r="M14" i="212"/>
  <c r="N14" i="212"/>
  <c r="D15" i="212"/>
  <c r="I15" i="212"/>
  <c r="J15" i="212"/>
  <c r="K15" i="212"/>
  <c r="L15" i="212"/>
  <c r="M15" i="212"/>
  <c r="N15" i="212"/>
  <c r="I16" i="212"/>
  <c r="J16" i="212"/>
  <c r="K16" i="212"/>
  <c r="L16" i="212"/>
  <c r="M16" i="212"/>
  <c r="N16" i="212"/>
  <c r="B17" i="212"/>
  <c r="D17" i="212"/>
  <c r="I17" i="212"/>
  <c r="J17" i="212"/>
  <c r="K17" i="212"/>
  <c r="L17" i="212"/>
  <c r="M17" i="212"/>
  <c r="N17" i="212"/>
  <c r="B18" i="212"/>
  <c r="D18" i="212"/>
  <c r="I18" i="212"/>
  <c r="J18" i="212"/>
  <c r="K18" i="212"/>
  <c r="L18" i="212"/>
  <c r="M18" i="212"/>
  <c r="N18" i="212"/>
  <c r="D20" i="212"/>
  <c r="I20" i="212"/>
  <c r="J20" i="212"/>
  <c r="K20" i="212"/>
  <c r="L20" i="212"/>
  <c r="L19" i="212" s="1"/>
  <c r="M20" i="212"/>
  <c r="M19" i="212" s="1"/>
  <c r="N20" i="212"/>
  <c r="N19" i="212" s="1"/>
  <c r="D21" i="212"/>
  <c r="I21" i="212"/>
  <c r="J21" i="212"/>
  <c r="K21" i="212"/>
  <c r="L21" i="212"/>
  <c r="M21" i="212"/>
  <c r="N21" i="212"/>
  <c r="L22" i="212"/>
  <c r="M22" i="212"/>
  <c r="N22" i="212"/>
  <c r="B23" i="212"/>
  <c r="D23" i="212"/>
  <c r="D22" i="212" s="1"/>
  <c r="I23" i="212"/>
  <c r="J23" i="212"/>
  <c r="K23" i="212"/>
  <c r="L23" i="212"/>
  <c r="M23" i="212"/>
  <c r="N23" i="212"/>
  <c r="B24" i="212"/>
  <c r="D24" i="212"/>
  <c r="I24" i="212"/>
  <c r="J24" i="212"/>
  <c r="K24" i="212"/>
  <c r="L24" i="212"/>
  <c r="M24" i="212"/>
  <c r="N24" i="212"/>
  <c r="B25" i="212"/>
  <c r="D25" i="212"/>
  <c r="L25" i="212"/>
  <c r="M25" i="212"/>
  <c r="N25" i="212"/>
  <c r="M26" i="212"/>
  <c r="N26" i="212"/>
  <c r="A4" i="211"/>
  <c r="A5" i="211"/>
  <c r="A3" i="211"/>
  <c r="A13" i="230"/>
  <c r="A11" i="230"/>
  <c r="E18" i="230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N45" i="232"/>
  <c r="O45" i="232"/>
  <c r="M45" i="232" s="1"/>
  <c r="E30" i="216"/>
  <c r="E36" i="216" s="1"/>
  <c r="K12" i="212" l="1"/>
  <c r="K11" i="212" s="1"/>
  <c r="J12" i="212"/>
  <c r="J11" i="212" s="1"/>
  <c r="I12" i="212"/>
  <c r="I11" i="212" s="1"/>
  <c r="K22" i="212"/>
  <c r="J22" i="212"/>
  <c r="I22" i="212"/>
  <c r="I25" i="212"/>
  <c r="J25" i="212"/>
  <c r="K25" i="212"/>
  <c r="L27" i="212"/>
  <c r="M27" i="212"/>
  <c r="N27" i="212"/>
  <c r="A3" i="217"/>
  <c r="A3" i="218"/>
  <c r="A2" i="218"/>
  <c r="A2" i="217"/>
  <c r="M9" i="218"/>
  <c r="G8" i="218"/>
  <c r="H8" i="218" s="1"/>
  <c r="G7" i="218"/>
  <c r="J8" i="218"/>
  <c r="R8" i="218" s="1"/>
  <c r="E21" i="230"/>
  <c r="J10" i="217"/>
  <c r="D8" i="232"/>
  <c r="E8" i="232" s="1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A22" i="211"/>
  <c r="A21" i="211"/>
  <c r="A20" i="211"/>
  <c r="A19" i="211"/>
  <c r="E19" i="230"/>
  <c r="Q21" i="230" a="1"/>
  <c r="T21" i="230" s="1"/>
  <c r="Q18" i="230" a="1"/>
  <c r="T18" i="230" s="1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A12" i="232"/>
  <c r="AC11" i="232"/>
  <c r="AB11" i="232"/>
  <c r="A11" i="232"/>
  <c r="AC10" i="232"/>
  <c r="AB10" i="232"/>
  <c r="A10" i="232"/>
  <c r="C11" i="232" a="1"/>
  <c r="K26" i="212" l="1"/>
  <c r="K19" i="212" s="1"/>
  <c r="K27" i="212" s="1"/>
  <c r="E12" i="211" s="1"/>
  <c r="J26" i="212"/>
  <c r="J19" i="212" s="1"/>
  <c r="J27" i="212" s="1"/>
  <c r="E11" i="211" s="1"/>
  <c r="I19" i="212"/>
  <c r="I27" i="212" s="1"/>
  <c r="E10" i="211" s="1"/>
  <c r="P23" i="232"/>
  <c r="O23" i="232"/>
  <c r="N38" i="232"/>
  <c r="P9" i="232"/>
  <c r="E20" i="230"/>
  <c r="E23" i="230" s="1"/>
  <c r="E22" i="230"/>
  <c r="M30" i="232"/>
  <c r="N34" i="232"/>
  <c r="O31" i="232"/>
  <c r="O35" i="232"/>
  <c r="O38" i="232"/>
  <c r="N21" i="232"/>
  <c r="N39" i="232"/>
  <c r="O39" i="232"/>
  <c r="E17" i="230"/>
  <c r="N40" i="232"/>
  <c r="P26" i="232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E13" i="211" l="1"/>
  <c r="E14" i="211"/>
  <c r="P22" i="232"/>
  <c r="P47" i="232" s="1"/>
  <c r="C22" i="230" s="1"/>
  <c r="D22" i="230" s="1"/>
  <c r="F22" i="230" s="1"/>
  <c r="O22" i="232"/>
  <c r="N22" i="232"/>
  <c r="M22" i="232"/>
  <c r="M9" i="232"/>
  <c r="N9" i="232"/>
  <c r="O9" i="232"/>
  <c r="N17" i="230"/>
  <c r="C13" i="232" a="1"/>
  <c r="E19" i="211" l="1"/>
  <c r="E15" i="211"/>
  <c r="E16" i="211" s="1"/>
  <c r="O47" i="232"/>
  <c r="C21" i="230" s="1"/>
  <c r="D21" i="230" s="1"/>
  <c r="N47" i="232"/>
  <c r="C19" i="230" s="1"/>
  <c r="D19" i="230" s="1"/>
  <c r="F19" i="230" s="1"/>
  <c r="M47" i="232"/>
  <c r="C18" i="230" s="1"/>
  <c r="D18" i="230" s="1"/>
  <c r="C20" i="230"/>
  <c r="O21" i="230"/>
  <c r="R21" i="230" s="1"/>
  <c r="D20" i="230"/>
  <c r="F21" i="230"/>
  <c r="N20" i="230"/>
  <c r="C14" i="232" a="1"/>
  <c r="E23" i="211" l="1"/>
  <c r="E22" i="211"/>
  <c r="E21" i="211"/>
  <c r="E20" i="211"/>
  <c r="E18" i="211"/>
  <c r="E17" i="211" s="1"/>
  <c r="E24" i="211" s="1"/>
  <c r="C17" i="230"/>
  <c r="C23" i="230" s="1"/>
  <c r="O18" i="230"/>
  <c r="R18" i="230" s="1"/>
  <c r="F18" i="230"/>
  <c r="D17" i="230"/>
  <c r="D23" i="230" s="1"/>
  <c r="F20" i="230"/>
  <c r="C15" i="232" a="1"/>
  <c r="E25" i="211" l="1"/>
  <c r="E26" i="211" s="1"/>
  <c r="E27" i="211" s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A58" i="214" s="1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A36" i="214" s="1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N29" i="219" s="1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F11" i="213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H21" i="219" s="1"/>
  <c r="F34" i="208"/>
  <c r="F47" i="214"/>
  <c r="F44" i="214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E23" i="219"/>
  <c r="H23" i="219" s="1"/>
  <c r="E26" i="219"/>
  <c r="H26" i="219" s="1"/>
  <c r="A9" i="219"/>
  <c r="A10" i="219" s="1"/>
  <c r="A12" i="219" s="1"/>
  <c r="L10" i="218"/>
  <c r="P23" i="212"/>
  <c r="H7" i="218"/>
  <c r="H9" i="218" s="1"/>
  <c r="J9" i="218"/>
  <c r="F7" i="216"/>
  <c r="E55" i="216" s="1"/>
  <c r="F55" i="216" s="1"/>
  <c r="F51" i="216" s="1"/>
  <c r="F11" i="216"/>
  <c r="E45" i="216" s="1"/>
  <c r="F45" i="216" s="1"/>
  <c r="F41" i="216" s="1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P17" i="212"/>
  <c r="P13" i="212"/>
  <c r="P12" i="212"/>
  <c r="P24" i="212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E139" i="213"/>
  <c r="F139" i="213" s="1"/>
  <c r="H10" i="219"/>
  <c r="H14" i="219"/>
  <c r="F49" i="214"/>
  <c r="F57" i="214" s="1"/>
  <c r="F26" i="214"/>
  <c r="F34" i="214" s="1"/>
  <c r="A22" i="212"/>
  <c r="A21" i="212"/>
  <c r="A20" i="212"/>
  <c r="F30" i="219"/>
  <c r="E114" i="214"/>
  <c r="G114" i="214" s="1"/>
  <c r="G121" i="214" s="1"/>
  <c r="E96" i="214"/>
  <c r="G96" i="214" s="1"/>
  <c r="G103" i="214" s="1"/>
  <c r="E83" i="214"/>
  <c r="G83" i="214" s="1"/>
  <c r="G88" i="214" s="1"/>
  <c r="E28" i="214"/>
  <c r="G28" i="214" s="1"/>
  <c r="G34" i="214" s="1"/>
  <c r="E9" i="214"/>
  <c r="G9" i="214" s="1"/>
  <c r="G11" i="214" s="1"/>
  <c r="E51" i="214"/>
  <c r="G51" i="214" s="1"/>
  <c r="G57" i="214" s="1"/>
  <c r="E108" i="213"/>
  <c r="G108" i="213" s="1"/>
  <c r="G111" i="213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E70" i="214"/>
  <c r="G70" i="214" s="1"/>
  <c r="G74" i="214" s="1"/>
  <c r="E90" i="213"/>
  <c r="G90" i="213" s="1"/>
  <c r="G93" i="213" s="1"/>
  <c r="E43" i="213"/>
  <c r="G43" i="213" s="1"/>
  <c r="G46" i="213" s="1"/>
  <c r="F31" i="219"/>
  <c r="E142" i="213"/>
  <c r="G142" i="213" s="1"/>
  <c r="G145" i="213" s="1"/>
  <c r="E124" i="213"/>
  <c r="G124" i="213" s="1"/>
  <c r="G127" i="213" s="1"/>
  <c r="E72" i="213"/>
  <c r="G72" i="213" s="1"/>
  <c r="G75" i="213" s="1"/>
  <c r="F29" i="219"/>
  <c r="H13" i="219"/>
  <c r="E76" i="216"/>
  <c r="F76" i="216" s="1"/>
  <c r="F72" i="216" s="1"/>
  <c r="H16" i="219"/>
  <c r="H20" i="219"/>
  <c r="H7" i="219"/>
  <c r="I41" i="208"/>
  <c r="E71" i="216"/>
  <c r="F71" i="216" s="1"/>
  <c r="F67" i="216" s="1"/>
  <c r="A13" i="219"/>
  <c r="H19" i="219"/>
  <c r="H17" i="219"/>
  <c r="P14" i="212"/>
  <c r="V11" i="217"/>
  <c r="G12" i="217"/>
  <c r="D6" i="215"/>
  <c r="A13" i="212"/>
  <c r="A12" i="212"/>
  <c r="E3" i="210" l="1"/>
  <c r="G3" i="210"/>
  <c r="F3" i="210" s="1"/>
  <c r="I12" i="217"/>
  <c r="K10" i="218"/>
  <c r="G41" i="208"/>
  <c r="E61" i="216"/>
  <c r="F61" i="216" s="1"/>
  <c r="F56" i="216" s="1"/>
  <c r="E50" i="216"/>
  <c r="F50" i="216" s="1"/>
  <c r="F46" i="216" s="1"/>
  <c r="E28" i="216"/>
  <c r="E66" i="216"/>
  <c r="F66" i="216" s="1"/>
  <c r="F62" i="216" s="1"/>
  <c r="F41" i="219" s="1"/>
  <c r="G29" i="219"/>
  <c r="F88" i="213"/>
  <c r="F93" i="213" s="1"/>
  <c r="F106" i="213"/>
  <c r="F111" i="213" s="1"/>
  <c r="F58" i="213"/>
  <c r="F63" i="213" s="1"/>
  <c r="F41" i="213"/>
  <c r="F46" i="213" s="1"/>
  <c r="F122" i="213"/>
  <c r="F127" i="213" s="1"/>
  <c r="F140" i="213"/>
  <c r="F145" i="213" s="1"/>
  <c r="F24" i="213"/>
  <c r="F29" i="213" s="1"/>
  <c r="K68" i="214"/>
  <c r="K49" i="214"/>
  <c r="K26" i="214"/>
  <c r="K122" i="213"/>
  <c r="A14" i="212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E100" i="214"/>
  <c r="H100" i="214" s="1"/>
  <c r="E86" i="214"/>
  <c r="H86" i="214" s="1"/>
  <c r="F40" i="219"/>
  <c r="E135" i="214"/>
  <c r="H135" i="214" s="1"/>
  <c r="E118" i="214"/>
  <c r="H118" i="214" s="1"/>
  <c r="D7" i="215"/>
  <c r="K41" i="213"/>
  <c r="J41" i="213"/>
  <c r="K58" i="213"/>
  <c r="J58" i="213"/>
  <c r="K88" i="213"/>
  <c r="K140" i="213"/>
  <c r="A25" i="212"/>
  <c r="A23" i="212"/>
  <c r="A24" i="212"/>
  <c r="C33" i="232" a="1"/>
  <c r="E54" i="214" l="1"/>
  <c r="H54" i="214" s="1"/>
  <c r="F37" i="219"/>
  <c r="E99" i="214"/>
  <c r="H99" i="214" s="1"/>
  <c r="E31" i="214"/>
  <c r="H31" i="214" s="1"/>
  <c r="E73" i="214"/>
  <c r="H73" i="214" s="1"/>
  <c r="E117" i="214"/>
  <c r="H117" i="214" s="1"/>
  <c r="E134" i="214"/>
  <c r="H134" i="214" s="1"/>
  <c r="F28" i="216"/>
  <c r="F23" i="216" s="1"/>
  <c r="E34" i="216"/>
  <c r="E40" i="216" s="1"/>
  <c r="F40" i="216" s="1"/>
  <c r="F35" i="216" s="1"/>
  <c r="E119" i="214"/>
  <c r="H119" i="214" s="1"/>
  <c r="F39" i="219"/>
  <c r="E101" i="214"/>
  <c r="H101" i="214" s="1"/>
  <c r="E136" i="214"/>
  <c r="H136" i="214" s="1"/>
  <c r="K106" i="213"/>
  <c r="K24" i="213"/>
  <c r="F34" i="216"/>
  <c r="F29" i="216" s="1"/>
  <c r="E126" i="213" s="1"/>
  <c r="H126" i="213" s="1"/>
  <c r="H127" i="213" s="1"/>
  <c r="A17" i="212"/>
  <c r="A15" i="212"/>
  <c r="A18" i="212"/>
  <c r="A16" i="212"/>
  <c r="E72" i="214"/>
  <c r="H72" i="214" s="1"/>
  <c r="H74" i="214" s="1"/>
  <c r="E53" i="214"/>
  <c r="H53" i="214" s="1"/>
  <c r="H57" i="214" s="1"/>
  <c r="E85" i="214"/>
  <c r="H85" i="214" s="1"/>
  <c r="H88" i="214" s="1"/>
  <c r="E116" i="214"/>
  <c r="H116" i="214" s="1"/>
  <c r="H121" i="214" s="1"/>
  <c r="F35" i="219"/>
  <c r="E133" i="214"/>
  <c r="H133" i="214" s="1"/>
  <c r="H138" i="214" s="1"/>
  <c r="E30" i="214"/>
  <c r="H30" i="214" s="1"/>
  <c r="E98" i="214"/>
  <c r="H98" i="214" s="1"/>
  <c r="E144" i="213"/>
  <c r="H144" i="213" s="1"/>
  <c r="H145" i="213" s="1"/>
  <c r="E110" i="213"/>
  <c r="H110" i="213" s="1"/>
  <c r="H111" i="213" s="1"/>
  <c r="A15" i="219"/>
  <c r="D8" i="215"/>
  <c r="C9" i="215"/>
  <c r="C34" i="232" a="1"/>
  <c r="H34" i="214" l="1"/>
  <c r="H103" i="214"/>
  <c r="E62" i="213"/>
  <c r="H62" i="213" s="1"/>
  <c r="H63" i="213" s="1"/>
  <c r="E45" i="213"/>
  <c r="H45" i="213" s="1"/>
  <c r="H46" i="213" s="1"/>
  <c r="E74" i="213"/>
  <c r="H74" i="213" s="1"/>
  <c r="H75" i="213" s="1"/>
  <c r="E28" i="213"/>
  <c r="H28" i="213" s="1"/>
  <c r="H29" i="213" s="1"/>
  <c r="F33" i="219"/>
  <c r="F34" i="219"/>
  <c r="E92" i="213"/>
  <c r="H92" i="213" s="1"/>
  <c r="H93" i="213" s="1"/>
  <c r="J101" i="213"/>
  <c r="A16" i="219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J133" i="213"/>
  <c r="J144" i="213" s="1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E52" i="209"/>
  <c r="N52" i="219"/>
  <c r="N50" i="219"/>
  <c r="J18" i="213"/>
  <c r="O52" i="219"/>
  <c r="O50" i="219"/>
  <c r="J17" i="214"/>
  <c r="J83" i="213"/>
  <c r="J40" i="214"/>
  <c r="Q52" i="219"/>
  <c r="J69" i="213"/>
  <c r="J28" i="214"/>
  <c r="J21" i="214"/>
  <c r="J23" i="214"/>
  <c r="J33" i="214"/>
  <c r="J24" i="214"/>
  <c r="J26" i="214"/>
  <c r="J30" i="214"/>
  <c r="J32" i="214"/>
  <c r="J22" i="214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J117" i="213"/>
  <c r="N63" i="219"/>
  <c r="N51" i="219"/>
  <c r="J80" i="214"/>
  <c r="J6" i="213"/>
  <c r="J9" i="213" s="1"/>
  <c r="J93" i="214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25" i="219"/>
  <c r="G25" i="219" s="1"/>
  <c r="D17" i="219"/>
  <c r="G17" i="219" s="1"/>
  <c r="D20" i="219"/>
  <c r="G20" i="219" s="1"/>
  <c r="D18" i="219"/>
  <c r="G18" i="219" s="1"/>
  <c r="J62" i="214"/>
  <c r="J83" i="214"/>
  <c r="J86" i="214"/>
  <c r="J87" i="214"/>
  <c r="J85" i="214"/>
  <c r="J134" i="214"/>
  <c r="J133" i="214"/>
  <c r="J135" i="214"/>
  <c r="J129" i="214"/>
  <c r="J131" i="214"/>
  <c r="J137" i="214"/>
  <c r="J136" i="214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J124" i="213"/>
  <c r="J101" i="214"/>
  <c r="J98" i="214"/>
  <c r="J99" i="214"/>
  <c r="J96" i="214"/>
  <c r="J102" i="214"/>
  <c r="J100" i="214"/>
  <c r="J72" i="213"/>
  <c r="J74" i="213"/>
  <c r="D33" i="219" s="1"/>
  <c r="D41" i="219"/>
  <c r="D31" i="219"/>
  <c r="J68" i="214"/>
  <c r="J70" i="214"/>
  <c r="J73" i="214"/>
  <c r="J72" i="214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D22" i="219" l="1"/>
  <c r="G22" i="219" s="1"/>
  <c r="J108" i="213"/>
  <c r="J106" i="213"/>
  <c r="D27" i="219" s="1"/>
  <c r="G27" i="219" s="1"/>
  <c r="D10" i="215"/>
  <c r="C11" i="215"/>
  <c r="G41" i="219"/>
  <c r="K41" i="219"/>
  <c r="O41" i="219" s="1"/>
  <c r="J105" i="213"/>
  <c r="D9" i="219" s="1"/>
  <c r="G9" i="219" s="1"/>
  <c r="J110" i="213"/>
  <c r="D34" i="219" s="1"/>
  <c r="J103" i="213"/>
  <c r="D7" i="219" s="1"/>
  <c r="G7" i="219" s="1"/>
  <c r="J104" i="213"/>
  <c r="D10" i="219" s="1"/>
  <c r="G10" i="219" s="1"/>
  <c r="A27" i="219"/>
  <c r="A17" i="219"/>
  <c r="N31" i="219"/>
  <c r="G31" i="219"/>
  <c r="K33" i="219"/>
  <c r="N33" i="219" s="1"/>
  <c r="G33" i="219"/>
  <c r="D36" i="219"/>
  <c r="D23" i="219"/>
  <c r="G23" i="219" s="1"/>
  <c r="J110" i="214"/>
  <c r="D11" i="215" l="1"/>
  <c r="E11" i="215"/>
  <c r="A18" i="219"/>
  <c r="G34" i="219"/>
  <c r="K34" i="219"/>
  <c r="N34" i="219" s="1"/>
  <c r="N32" i="219" s="1"/>
  <c r="J114" i="214"/>
  <c r="J117" i="214"/>
  <c r="D37" i="219" s="1"/>
  <c r="J116" i="214"/>
  <c r="D35" i="219" s="1"/>
  <c r="J119" i="214"/>
  <c r="D39" i="219" s="1"/>
  <c r="J118" i="214"/>
  <c r="D40" i="219" s="1"/>
  <c r="J112" i="214"/>
  <c r="D26" i="219" s="1"/>
  <c r="G26" i="219" s="1"/>
  <c r="G5" i="219" s="1"/>
  <c r="J120" i="214"/>
  <c r="D38" i="219" s="1"/>
  <c r="G36" i="219"/>
  <c r="K36" i="219"/>
  <c r="O36" i="219" s="1"/>
  <c r="A19" i="219" l="1"/>
  <c r="I5" i="219"/>
  <c r="D30" i="219"/>
  <c r="O30" i="219"/>
  <c r="O28" i="219" s="1"/>
  <c r="G37" i="219"/>
  <c r="K37" i="219"/>
  <c r="O37" i="219" s="1"/>
  <c r="K35" i="219"/>
  <c r="O35" i="219" s="1"/>
  <c r="G35" i="219"/>
  <c r="K39" i="219"/>
  <c r="O39" i="219" s="1"/>
  <c r="G39" i="219"/>
  <c r="G40" i="219"/>
  <c r="K40" i="219"/>
  <c r="O40" i="219" s="1"/>
  <c r="G38" i="219"/>
  <c r="K38" i="219"/>
  <c r="O38" i="219" s="1"/>
  <c r="A20" i="219" l="1"/>
  <c r="A21" i="219" s="1"/>
  <c r="A22" i="219"/>
  <c r="O32" i="219"/>
  <c r="O42" i="219" s="1"/>
  <c r="O44" i="219" s="1"/>
  <c r="O53" i="219" s="1"/>
  <c r="O54" i="219" s="1"/>
  <c r="I28" i="219"/>
  <c r="I32" i="219"/>
  <c r="D28" i="219"/>
  <c r="G30" i="219"/>
  <c r="G28" i="219" s="1"/>
  <c r="N30" i="219"/>
  <c r="N28" i="219" s="1"/>
  <c r="N42" i="219" s="1"/>
  <c r="G32" i="219"/>
  <c r="A23" i="219" l="1"/>
  <c r="A24" i="219" s="1"/>
  <c r="A25" i="219" s="1"/>
  <c r="A26" i="219" s="1"/>
  <c r="G43" i="219"/>
  <c r="J19" i="209"/>
  <c r="I21" i="209" s="1"/>
  <c r="I22" i="209" s="1"/>
  <c r="J20" i="209" s="1"/>
  <c r="L19" i="209"/>
  <c r="P42" i="219"/>
  <c r="Q42" i="219" s="1"/>
  <c r="Q44" i="219" s="1"/>
  <c r="N44" i="219"/>
  <c r="G42" i="219"/>
  <c r="P5" i="209"/>
  <c r="G42" i="209"/>
  <c r="Q5" i="209"/>
  <c r="E42" i="209"/>
  <c r="F45" i="209" s="1"/>
  <c r="E45" i="209" s="1"/>
  <c r="G44" i="219" l="1"/>
  <c r="I44" i="219" s="1"/>
  <c r="P44" i="219"/>
  <c r="N53" i="219"/>
  <c r="N54" i="219" s="1"/>
  <c r="E46" i="209"/>
  <c r="F44" i="209" s="1"/>
  <c r="O8" i="209"/>
  <c r="P8" i="209" a="1"/>
  <c r="P13" i="209"/>
  <c r="N60" i="219" l="1"/>
  <c r="N62" i="219"/>
  <c r="P7" i="209"/>
  <c r="K10" i="232" l="1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<sst xmlns="http://schemas.openxmlformats.org/spreadsheetml/2006/main" count="1637" uniqueCount="555">
  <si>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</si>
  <si>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</si>
  <si>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</si>
  <si>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</si>
  <si>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</si>
  <si>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</si>
  <si>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</si>
  <si>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</si>
  <si>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</si>
  <si>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</si>
  <si>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</si>
  <si>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</si>
  <si>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</si>
  <si>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</si>
  <si>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</si>
  <si>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</si>
  <si>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</si>
  <si>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</si>
  <si>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</si>
  <si>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</si>
  <si>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</si>
  <si>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</si>
  <si>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</si>
  <si>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</si>
  <si>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</si>
  <si>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</si>
  <si>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</si>
  <si>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</si>
  <si>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</si>
  <si>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</si>
  <si>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</si>
  <si>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</si>
  <si>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</si>
  <si>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</si>
  <si>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</si>
  <si>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</si>
  <si>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</si>
  <si>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</si>
  <si>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</si>
  <si>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</si>
  <si>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</si>
  <si>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</si>
  <si>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</si>
  <si>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</si>
  <si>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</si>
  <si>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</si>
  <si>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</si>
  <si>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</si>
  <si>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</si>
  <si>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</si>
  <si>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</si>
  <si>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</si>
  <si>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</si>
  <si>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</si>
  <si>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</si>
  <si>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</si>
  <si>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</si>
  <si>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</si>
  <si>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</si>
  <si>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</si>
  <si>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</si>
  <si>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</si>
  <si>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</si>
  <si>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</si>
  <si>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</si>
  <si>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</si>
  <si>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</si>
  <si>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</si>
  <si>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</si>
  <si>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</si>
  <si>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</si>
  <si>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</si>
  <si>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</si>
  <si>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</si>
  <si>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</si>
  <si>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</si>
  <si>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</si>
  <si>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</si>
  <si>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</si>
  <si>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</si>
  <si>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</si>
  <si>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</si>
  <si>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</si>
  <si>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</si>
  <si>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</si>
  <si>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</si>
  <si>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</si>
  <si>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</si>
  <si>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</si>
  <si>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</si>
  <si>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</si>
  <si>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</si>
  <si>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</si>
  <si>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</si>
  <si>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</si>
  <si>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</si>
  <si>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</si>
  <si>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</si>
  <si>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</si>
  <si>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</si>
  <si>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</si>
  <si>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</si>
  <si>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</si>
  <si>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</si>
  <si>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</si>
  <si>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</si>
  <si>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</si>
  <si>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</si>
  <si>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</si>
  <si>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</si>
  <si>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</si>
  <si>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</si>
  <si>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</si>
  <si>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</si>
  <si>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</si>
  <si>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</si>
  <si>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</si>
  <si>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</si>
  <si>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</si>
  <si>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</si>
  <si>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</si>
  <si>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</si>
  <si>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</si>
  <si>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</si>
  <si>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</si>
  <si>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</si>
  <si>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</si>
  <si>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</si>
  <si>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</si>
  <si>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</si>
  <si>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</si>
  <si>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</si>
  <si>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</si>
  <si>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</si>
  <si>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</si>
  <si>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</si>
  <si>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</si>
  <si>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</si>
  <si>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</si>
  <si>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</si>
  <si>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</si>
  <si>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</si>
  <si>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</si>
  <si>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</si>
  <si>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</si>
  <si>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</si>
  <si>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</si>
  <si>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</si>
  <si>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</si>
  <si>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</si>
  <si>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</si>
  <si>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</si>
  <si>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</si>
  <si>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</si>
  <si>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</si>
  <si>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</si>
  <si>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</si>
  <si>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</si>
  <si>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</si>
  <si>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</si>
  <si>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</si>
  <si>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</si>
  <si>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</si>
  <si>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</si>
  <si>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</si>
  <si>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</si>
  <si>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</si>
  <si>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</si>
  <si>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</si>
  <si>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</si>
  <si>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</si>
  <si>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</si>
  <si>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</si>
  <si>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</si>
  <si>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</si>
  <si>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</si>
  <si>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</si>
  <si>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</si>
  <si>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</si>
  <si>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</si>
  <si>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</si>
  <si>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</si>
  <si>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</si>
  <si>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</si>
  <si>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</si>
  <si>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</si>
  <si>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</si>
  <si>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</si>
  <si>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</si>
  <si>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</si>
  <si>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</si>
  <si>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</si>
  <si>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</si>
  <si>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</si>
  <si>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</si>
  <si>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</si>
  <si>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</si>
  <si>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</si>
  <si>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</si>
  <si>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</si>
  <si>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</si>
  <si>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</si>
  <si>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</si>
  <si>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</si>
  <si>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</si>
  <si>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</si>
  <si>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</si>
  <si>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</si>
  <si>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</si>
  <si>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</si>
  <si>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</si>
  <si>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</si>
  <si>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</si>
  <si>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</si>
  <si>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</si>
  <si>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</si>
  <si>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</si>
  <si>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</si>
  <si>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</si>
  <si>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</si>
  <si>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</si>
  <si>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</si>
  <si>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</si>
  <si>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</si>
  <si>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</si>
  <si>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</si>
  <si>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</si>
  <si>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</si>
  <si>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</si>
  <si>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</si>
  <si>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</si>
  <si>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</si>
  <si>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</si>
  <si>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</si>
  <si>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</si>
  <si>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</si>
  <si>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</si>
  <si>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</si>
  <si>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</si>
  <si>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</si>
  <si>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</si>
  <si>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</si>
  <si>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</si>
  <si>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</si>
  <si>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</si>
  <si>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</si>
  <si>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</si>
  <si>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</si>
  <si>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</si>
  <si>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</si>
  <si>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</si>
  <si>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</si>
  <si>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</si>
  <si>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</si>
  <si>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</si>
  <si>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</si>
  <si>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</si>
  <si>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</si>
  <si>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</si>
  <si>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</si>
  <si>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</si>
  <si>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</si>
  <si>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</si>
  <si>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</si>
  <si>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</si>
  <si>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</si>
  <si>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</si>
  <si>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</si>
  <si>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</si>
  <si>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</si>
  <si>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</si>
  <si>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</si>
  <si>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</si>
  <si>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</si>
  <si>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</si>
  <si>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</si>
  <si>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</si>
  <si>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</si>
  <si>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</si>
  <si>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</si>
  <si>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</si>
  <si>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</si>
  <si>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</si>
  <si>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</si>
  <si>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</si>
  <si>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</si>
  <si>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</si>
  <si>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</si>
  <si>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</si>
  <si>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</si>
  <si>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</si>
  <si>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</si>
  <si>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</si>
  <si>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</si>
  <si>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</si>
  <si>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</si>
  <si>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</si>
  <si>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</si>
  <si>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</si>
  <si>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</si>
  <si>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</si>
  <si>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</si>
  <si>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</si>
  <si>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</si>
  <si>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</si>
  <si>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</si>
  <si>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</si>
  <si>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</si>
  <si>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</si>
  <si>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</si>
  <si>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</si>
  <si>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</si>
  <si>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</si>
  <si>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</si>
  <si>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</si>
  <si>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</si>
  <si>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</si>
  <si>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</si>
  <si>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</si>
  <si>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</si>
  <si>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</si>
  <si>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</si>
  <si>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</si>
  <si>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</si>
  <si>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</si>
  <si>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</si>
  <si>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</si>
  <si>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</si>
  <si>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</si>
  <si>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</si>
  <si>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</si>
  <si>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</si>
  <si>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</si>
  <si>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</si>
  <si>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</si>
  <si>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</si>
  <si>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</si>
  <si>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</si>
  <si>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</si>
  <si>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</si>
  <si>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</si>
  <si>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</si>
  <si>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</si>
  <si>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</si>
  <si>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</si>
  <si>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</si>
  <si>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</si>
  <si>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</si>
  <si>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</si>
  <si>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</si>
  <si>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</si>
  <si>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</si>
  <si>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</si>
  <si>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</si>
  <si>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</si>
  <si>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</si>
  <si>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</si>
  <si>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</si>
  <si>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</si>
  <si>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</si>
  <si>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</si>
  <si>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</si>
  <si>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</si>
  <si>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</si>
  <si>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</si>
  <si>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</si>
  <si>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</si>
  <si>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</si>
  <si>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</si>
  <si>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</si>
  <si>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</si>
  <si>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</si>
  <si>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</si>
  <si>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</si>
  <si>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</si>
  <si>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</si>
  <si>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</si>
  <si>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</si>
  <si>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</si>
  <si>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</si>
  <si>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</si>
  <si>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</si>
  <si>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</si>
  <si>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</si>
  <si>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</si>
  <si>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</si>
  <si>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</si>
  <si>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</si>
  <si>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</si>
  <si>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</si>
  <si>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</si>
  <si>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</si>
  <si>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</si>
  <si>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</si>
  <si>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</si>
  <si>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</si>
  <si>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</si>
  <si>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</si>
  <si>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</si>
  <si>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</si>
  <si>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</si>
  <si>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</si>
  <si>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</si>
  <si>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</si>
  <si>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</si>
  <si>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</si>
  <si>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</si>
  <si>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</si>
  <si>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</si>
  <si>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</si>
  <si>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</si>
  <si>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</si>
  <si>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</si>
  <si>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</si>
  <si>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</si>
  <si>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</si>
  <si>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</si>
  <si>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</si>
  <si>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</si>
  <si>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</si>
  <si>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</si>
  <si>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</si>
  <si>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</si>
  <si>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</si>
  <si>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</si>
  <si>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</si>
  <si>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</si>
  <si>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</si>
  <si>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</si>
  <si>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</si>
  <si>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</si>
  <si>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</si>
  <si>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</si>
  <si>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</si>
  <si>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</si>
  <si>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</si>
  <si>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</si>
  <si>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</si>
  <si>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</si>
  <si>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</si>
  <si>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</si>
  <si>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</si>
  <si>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</si>
  <si>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</si>
  <si>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</si>
  <si>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</si>
  <si>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</si>
  <si>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</si>
  <si>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</si>
  <si>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</si>
  <si>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</si>
  <si>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</si>
  <si>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</si>
  <si>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</si>
  <si>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</si>
  <si>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</si>
  <si>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</si>
  <si>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</si>
  <si>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</si>
  <si>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</si>
  <si>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</si>
  <si>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</si>
  <si>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</si>
  <si>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</si>
  <si>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</si>
  <si>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</si>
  <si>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</si>
  <si>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</si>
  <si>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</si>
  <si>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</si>
  <si>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</si>
  <si>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</si>
  <si>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</si>
  <si>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</si>
  <si>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</si>
  <si>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</si>
  <si>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</si>
  <si>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</si>
  <si>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</si>
  <si>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</si>
  <si>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</si>
  <si>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</si>
  <si>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</si>
  <si>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</si>
  <si>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</si>
  <si>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</si>
  <si>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</si>
  <si>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</si>
  <si>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</si>
  <si>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</si>
  <si>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</si>
  <si>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</si>
  <si>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</si>
  <si>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</si>
  <si>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</si>
  <si>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</si>
  <si>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</si>
  <si>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</si>
  <si>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</si>
  <si>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</si>
  <si>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</si>
  <si>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</si>
  <si>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</si>
  <si>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</si>
  <si>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</si>
  <si>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</si>
  <si>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</si>
  <si>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</si>
  <si>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</si>
  <si>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</si>
  <si>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</si>
  <si>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</si>
  <si>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</si>
  <si>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</si>
  <si>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</si>
  <si>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</si>
  <si>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</si>
  <si>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</si>
  <si>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</si>
  <si>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</si>
  <si>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</si>
  <si>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</si>
  <si>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</si>
  <si>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</si>
  <si>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</si>
  <si>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</si>
  <si>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</si>
  <si>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</si>
  <si>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</si>
  <si>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</si>
  <si>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</si>
  <si>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</si>
  <si>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</si>
  <si>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</si>
  <si>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</si>
  <si>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</si>
  <si>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</si>
  <si>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</si>
  <si>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</si>
  <si>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</si>
  <si>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</si>
  <si>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</si>
  <si>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</si>
  <si>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</si>
  <si>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</si>
  <si>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</si>
  <si>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</si>
  <si>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</si>
  <si>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</si>
  <si>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</si>
  <si>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</si>
  <si>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</si>
  <si>
    <t xml:space="preserve">b </t>
  </si>
  <si>
    <t/>
  </si>
  <si>
    <t>Bằng chữ: Một tỷ, hai trăm linh một triệu, năm trăm năm mươi bảy nghìn đồng chẵn.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</si>
</sst>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5" t="s">
        <v>436</v>
      </c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815"/>
      <c r="P1" s="815"/>
      <c r="Q1" s="815"/>
      <c r="R1" s="710"/>
      <c r="S1" s="710"/>
    </row>
    <row r="2" spans="1:31" ht="20.25" customHeight="1">
      <c r="C2" s="824" t="s">
        <v>541</v>
      </c>
      <c r="D2" s="824"/>
      <c r="E2" s="824"/>
      <c r="F2" s="824"/>
      <c r="G2" s="824"/>
      <c r="H2" s="824"/>
      <c r="I2" s="824"/>
      <c r="J2" s="824"/>
      <c r="K2" s="824"/>
      <c r="L2" s="824"/>
      <c r="M2" s="824"/>
      <c r="N2" s="824"/>
      <c r="O2" s="824"/>
      <c r="P2" s="824"/>
      <c r="Q2" s="824"/>
      <c r="R2" s="711"/>
      <c r="S2" s="711"/>
    </row>
    <row r="3" spans="1:31" ht="20.25" customHeight="1">
      <c r="C3" s="825" t="s">
        <v>195</v>
      </c>
      <c r="D3" s="825"/>
      <c r="E3" s="825"/>
      <c r="F3" s="825"/>
      <c r="G3" s="825"/>
      <c r="H3" s="825"/>
      <c r="I3" s="825"/>
      <c r="J3" s="825"/>
      <c r="K3" s="825"/>
      <c r="L3" s="825"/>
      <c r="M3" s="825"/>
      <c r="N3" s="825"/>
      <c r="O3" s="825"/>
      <c r="P3" s="825"/>
      <c r="Q3" s="825"/>
      <c r="R3" s="711"/>
      <c r="S3" s="711"/>
    </row>
    <row r="4" spans="1:31" ht="20.25" customHeight="1">
      <c r="C4" s="824" t="s">
        <v>542</v>
      </c>
      <c r="D4" s="824"/>
      <c r="E4" s="824"/>
      <c r="F4" s="824"/>
      <c r="G4" s="824"/>
      <c r="H4" s="824"/>
      <c r="I4" s="824"/>
      <c r="J4" s="824"/>
      <c r="K4" s="824"/>
      <c r="L4" s="824"/>
      <c r="M4" s="824"/>
      <c r="N4" s="824"/>
      <c r="O4" s="824"/>
      <c r="P4" s="824"/>
      <c r="Q4" s="824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6" t="s">
        <v>452</v>
      </c>
      <c r="B6" s="713"/>
      <c r="C6" s="827" t="s">
        <v>18</v>
      </c>
      <c r="D6" s="827" t="s">
        <v>453</v>
      </c>
      <c r="E6" s="828" t="s">
        <v>454</v>
      </c>
      <c r="F6" s="828" t="s">
        <v>455</v>
      </c>
      <c r="G6" s="821" t="s">
        <v>456</v>
      </c>
      <c r="H6" s="823"/>
      <c r="I6" s="822"/>
      <c r="J6" s="816" t="s">
        <v>510</v>
      </c>
      <c r="K6" s="817"/>
      <c r="L6" s="818"/>
      <c r="M6" s="821" t="s">
        <v>508</v>
      </c>
      <c r="N6" s="822"/>
      <c r="O6" s="821" t="s">
        <v>509</v>
      </c>
      <c r="P6" s="822"/>
      <c r="Q6" s="819" t="s">
        <v>19</v>
      </c>
      <c r="R6" s="711"/>
      <c r="S6" s="711"/>
      <c r="U6" s="709">
        <v>3</v>
      </c>
    </row>
    <row r="7" spans="1:31" ht="57.6" customHeight="1">
      <c r="A7" s="826"/>
      <c r="B7" s="713"/>
      <c r="C7" s="827"/>
      <c r="D7" s="827"/>
      <c r="E7" s="828"/>
      <c r="F7" s="828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20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545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30" t="s">
        <v>443</v>
      </c>
      <c r="B10" s="830"/>
      <c r="C10" s="830"/>
      <c r="D10" s="830"/>
      <c r="E10" s="830"/>
      <c r="F10" s="830"/>
      <c r="G10" s="830"/>
    </row>
    <row r="11" spans="1:13" ht="30" customHeight="1">
      <c r="A11" s="831" t="str">
        <f>'PL01'!C2</f>
        <v>Dự án: Cải tạo, nâng cấp  trạm bơm Trà Phương 3 tiêu thoát nước cho vùng các khu công nghiệp huyện Kim Động, Ân Thi, Yên Mỹ tỉnh Hưng Yên</v>
      </c>
      <c r="B11" s="832"/>
      <c r="C11" s="832"/>
      <c r="D11" s="832"/>
      <c r="E11" s="832"/>
      <c r="F11" s="832"/>
      <c r="G11" s="832"/>
    </row>
    <row r="12" spans="1:13">
      <c r="A12" s="831" t="s">
        <v>195</v>
      </c>
      <c r="B12" s="832"/>
      <c r="C12" s="832"/>
      <c r="D12" s="832"/>
      <c r="E12" s="832"/>
      <c r="F12" s="832"/>
      <c r="G12" s="832"/>
    </row>
    <row r="13" spans="1:13" ht="15.6" customHeight="1">
      <c r="A13" s="831" t="str">
        <f>'PL01'!C4</f>
        <v>Địa điểm: Xã Hồng Quang, tỉnh Hưng Yên</v>
      </c>
      <c r="B13" s="832"/>
      <c r="C13" s="832"/>
      <c r="D13" s="832"/>
      <c r="E13" s="832"/>
      <c r="F13" s="832"/>
      <c r="G13" s="832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546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3" t="s">
        <v>516</v>
      </c>
      <c r="B26" s="833"/>
      <c r="C26" s="833"/>
      <c r="D26" s="833"/>
      <c r="E26" s="833"/>
      <c r="F26" s="833"/>
      <c r="G26" s="833"/>
      <c r="J26" s="705"/>
    </row>
    <row r="27" spans="1:21" s="424" customFormat="1" ht="9" customHeight="1">
      <c r="A27" s="829"/>
      <c r="B27" s="829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9" t="s">
        <v>140</v>
      </c>
      <c r="F28" s="829"/>
      <c r="G28" s="829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9"/>
      <c r="B31" s="829"/>
      <c r="C31" s="423"/>
      <c r="D31" s="423"/>
      <c r="E31" s="427"/>
      <c r="F31" s="427"/>
      <c r="G31" s="423"/>
      <c r="J31" s="706"/>
    </row>
    <row r="32" spans="1:21" s="424" customFormat="1" ht="9" customHeight="1">
      <c r="A32" s="829"/>
      <c r="B32" s="829"/>
      <c r="C32" s="423"/>
      <c r="D32" s="425"/>
      <c r="E32" s="425"/>
      <c r="F32" s="425"/>
      <c r="G32" s="425"/>
      <c r="J32" s="698"/>
    </row>
    <row r="33" spans="2:7" ht="16.8">
      <c r="B33" s="423"/>
      <c r="E33" s="829" t="s">
        <v>549</v>
      </c>
      <c r="F33" s="829"/>
      <c r="G33" s="829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30" t="s">
        <v>389</v>
      </c>
      <c r="B10" s="830"/>
      <c r="C10" s="830"/>
      <c r="D10" s="830"/>
      <c r="E10" s="830"/>
      <c r="F10" s="830"/>
      <c r="G10" s="830"/>
      <c r="H10" s="830"/>
      <c r="I10" s="830"/>
      <c r="J10" s="830"/>
    </row>
    <row r="11" spans="1:20" ht="27.6" customHeight="1">
      <c r="A11" s="832" t="s">
        <v>374</v>
      </c>
      <c r="B11" s="832"/>
      <c r="C11" s="832"/>
      <c r="D11" s="832"/>
      <c r="E11" s="832"/>
      <c r="F11" s="832"/>
      <c r="G11" s="832"/>
      <c r="H11" s="832"/>
      <c r="I11" s="832"/>
      <c r="J11" s="832"/>
    </row>
    <row r="12" spans="1:20" ht="20.25" customHeight="1">
      <c r="A12" s="830" t="s">
        <v>195</v>
      </c>
      <c r="B12" s="830"/>
      <c r="C12" s="830"/>
      <c r="D12" s="830"/>
      <c r="E12" s="830"/>
      <c r="F12" s="830"/>
      <c r="G12" s="830"/>
      <c r="H12" s="830"/>
      <c r="I12" s="830"/>
      <c r="J12" s="830"/>
    </row>
    <row r="13" spans="1:20" ht="19.5" customHeight="1">
      <c r="A13" s="830" t="s">
        <v>375</v>
      </c>
      <c r="B13" s="830"/>
      <c r="C13" s="830"/>
      <c r="D13" s="830"/>
      <c r="E13" s="830"/>
      <c r="F13" s="830"/>
      <c r="G13" s="830"/>
      <c r="H13" s="830"/>
      <c r="I13" s="830"/>
      <c r="J13" s="830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4" t="s">
        <v>18</v>
      </c>
      <c r="B15" s="834" t="s">
        <v>117</v>
      </c>
      <c r="C15" s="834" t="s">
        <v>53</v>
      </c>
      <c r="D15" s="836" t="s">
        <v>366</v>
      </c>
      <c r="E15" s="837"/>
      <c r="F15" s="838"/>
      <c r="G15" s="836" t="s">
        <v>390</v>
      </c>
      <c r="H15" s="837"/>
      <c r="I15" s="838"/>
      <c r="J15" s="839" t="s">
        <v>19</v>
      </c>
      <c r="T15" s="410">
        <v>1</v>
      </c>
    </row>
    <row r="16" spans="1:20" ht="31.2">
      <c r="A16" s="835"/>
      <c r="B16" s="835"/>
      <c r="C16" s="835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40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9" t="s">
        <v>242</v>
      </c>
      <c r="B43" s="829"/>
      <c r="C43" s="829"/>
      <c r="D43" s="829"/>
      <c r="E43" s="425"/>
      <c r="F43" s="425"/>
      <c r="G43" s="829" t="s">
        <v>140</v>
      </c>
      <c r="H43" s="829"/>
      <c r="I43" s="829"/>
      <c r="J43" s="829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9"/>
      <c r="B48" s="829"/>
      <c r="C48" s="423"/>
      <c r="D48" s="425"/>
      <c r="E48" s="425"/>
      <c r="F48" s="425"/>
      <c r="G48" s="829" t="str">
        <f>THNK_C!L18</f>
        <v>Nguyễn Đình Duy</v>
      </c>
      <c r="H48" s="829"/>
      <c r="I48" s="829"/>
      <c r="J48" s="829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1" t="s">
        <v>0</v>
      </c>
      <c r="B15" s="841" t="s">
        <v>304</v>
      </c>
      <c r="C15" s="844" t="s">
        <v>305</v>
      </c>
      <c r="D15" s="845"/>
      <c r="E15" s="845"/>
      <c r="F15" s="845"/>
      <c r="G15" s="846"/>
    </row>
    <row r="16" spans="1:7" ht="15" customHeight="1">
      <c r="A16" s="842"/>
      <c r="B16" s="842"/>
      <c r="C16" s="841" t="s">
        <v>306</v>
      </c>
      <c r="D16" s="841" t="s">
        <v>307</v>
      </c>
      <c r="E16" s="478" t="s">
        <v>308</v>
      </c>
      <c r="F16" s="841" t="s">
        <v>310</v>
      </c>
      <c r="G16" s="479" t="s">
        <v>311</v>
      </c>
    </row>
    <row r="17" spans="1:7">
      <c r="A17" s="843"/>
      <c r="B17" s="843"/>
      <c r="C17" s="843"/>
      <c r="D17" s="843"/>
      <c r="E17" s="480" t="s">
        <v>309</v>
      </c>
      <c r="F17" s="843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9" t="s">
        <v>0</v>
      </c>
      <c r="B26" s="485" t="s">
        <v>264</v>
      </c>
      <c r="C26" s="851" t="s">
        <v>317</v>
      </c>
      <c r="D26" s="852"/>
      <c r="E26" s="853"/>
    </row>
    <row r="27" spans="1:7" ht="30.6" customHeight="1">
      <c r="A27" s="850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7" t="s">
        <v>0</v>
      </c>
      <c r="B35" s="461" t="s">
        <v>264</v>
      </c>
      <c r="C35" s="855" t="s">
        <v>305</v>
      </c>
      <c r="D35" s="856"/>
      <c r="E35" s="857"/>
    </row>
    <row r="36" spans="1:7" ht="67.2" customHeight="1">
      <c r="A36" s="854"/>
      <c r="B36" s="491" t="s">
        <v>316</v>
      </c>
      <c r="C36" s="491" t="s">
        <v>321</v>
      </c>
      <c r="D36" s="847" t="s">
        <v>323</v>
      </c>
      <c r="E36" s="847" t="s">
        <v>324</v>
      </c>
      <c r="F36" s="847" t="s">
        <v>323</v>
      </c>
      <c r="G36" s="847" t="s">
        <v>324</v>
      </c>
    </row>
    <row r="37" spans="1:7" ht="16.8">
      <c r="A37" s="848"/>
      <c r="B37" s="492"/>
      <c r="C37" s="493" t="s">
        <v>322</v>
      </c>
      <c r="D37" s="848"/>
      <c r="E37" s="848"/>
      <c r="F37" s="848"/>
      <c r="G37" s="848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Y47"/>
  <sheetViews>
    <sheetView view="pageBreakPreview" topLeftCell="A10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25" ht="18" customHeight="1"/>
    <row r="2" spans="1:25" s="630" customFormat="1" ht="22.5" customHeight="1">
      <c r="A2" s="859" t="s">
        <v>121</v>
      </c>
      <c r="B2" s="859"/>
      <c r="C2" s="859"/>
      <c r="D2" s="859"/>
      <c r="E2" s="859"/>
      <c r="F2" s="859"/>
    </row>
    <row r="3" spans="1:25" s="630" customFormat="1" ht="48" customHeight="1">
      <c r="A3" s="860" t="str">
        <f>'PL01'!C2</f>
        <v>Dự án: Cải tạo, nâng cấp  trạm bơm Trà Phương 3 tiêu thoát nước cho vùng các khu công nghiệp huyện Kim Động, Ân Thi, Yên Mỹ tỉnh Hưng Yên</v>
      </c>
      <c r="B3" s="861"/>
      <c r="C3" s="861"/>
      <c r="D3" s="861"/>
      <c r="E3" s="861"/>
      <c r="F3" s="861"/>
      <c r="H3" s="631"/>
    </row>
    <row r="4" spans="1:25" s="632" customFormat="1" ht="16.8" customHeight="1">
      <c r="A4" s="860" t="str">
        <f>'PL01'!C3</f>
        <v>Hạng mục: Rà phá bom mìn, vật nổ</v>
      </c>
      <c r="B4" s="861"/>
      <c r="C4" s="861"/>
      <c r="D4" s="861"/>
      <c r="E4" s="861"/>
      <c r="F4" s="861"/>
    </row>
    <row r="5" spans="1:25" s="630" customFormat="1" ht="22.8" customHeight="1">
      <c r="A5" s="860" t="str">
        <f>'PL01'!C4</f>
        <v>Địa điểm: Xã Hồng Quang, tỉnh Hưng Yên</v>
      </c>
      <c r="B5" s="861"/>
      <c r="C5" s="861"/>
      <c r="D5" s="861"/>
      <c r="E5" s="861"/>
      <c r="F5" s="861"/>
    </row>
    <row r="6" spans="1:25" s="632" customFormat="1" ht="21" hidden="1" customHeight="1">
      <c r="A6" s="858" t="s">
        <v>240</v>
      </c>
      <c r="B6" s="858"/>
      <c r="C6" s="858"/>
      <c r="D6" s="858"/>
      <c r="E6" s="858"/>
      <c r="F6" s="633"/>
    </row>
    <row r="7" spans="1:25" s="630" customFormat="1" ht="9.75" customHeight="1">
      <c r="A7" s="634"/>
      <c r="B7" s="634"/>
      <c r="C7" s="634"/>
      <c r="D7" s="634"/>
      <c r="E7" s="634"/>
      <c r="F7" s="634"/>
    </row>
    <row r="8" spans="1:25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25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25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>
        <f>ROUND('Gia DT TC'!I27,0)</f>
        <v>12540586</v>
      </c>
      <c r="F10" s="648"/>
      <c r="G10" s="643">
        <v>2</v>
      </c>
      <c r="H10" s="643" t="s">
        <v>378</v>
      </c>
      <c r="Y10" s="643" t="s">
        <v>552</v>
      </c>
    </row>
    <row r="11" spans="1:25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f>ROUND('Gia DT TC'!J27,0)</f>
        <v>268414820</v>
      </c>
      <c r="F11" s="653"/>
      <c r="H11" s="654" t="s">
        <v>379</v>
      </c>
    </row>
    <row r="12" spans="1:25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f>ROUND('Gia DT TC'!K27,0)</f>
        <v>558860046</v>
      </c>
      <c r="F12" s="659"/>
      <c r="H12" s="660"/>
    </row>
    <row r="13" spans="1:25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SUM(E10:E12)</f>
        <v>839815452</v>
      </c>
      <c r="F13" s="254"/>
      <c r="G13" s="664"/>
    </row>
    <row r="14" spans="1:25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ROUND(40%*E11,0)</f>
        <v>107365928</v>
      </c>
      <c r="F14" s="667"/>
      <c r="G14" s="664"/>
    </row>
    <row r="15" spans="1:25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ROUND(D15%*(E13+E14),0)</f>
        <v>52094976</v>
      </c>
      <c r="F15" s="744"/>
      <c r="G15" s="745" t="s">
        <v>524</v>
      </c>
      <c r="H15" s="746"/>
      <c r="I15" s="746"/>
      <c r="J15" s="747" t="s">
        <v>525</v>
      </c>
    </row>
    <row r="16" spans="1:25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SUM(E13:E15)</f>
        <v>999276356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114386486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ROUND(D18%*E16,0)</f>
        <v>24981909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ROUND(D19%*E13,0)</f>
        <v>18475940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MAX(2000000,MIN(60000000,ROUND(D20%*E16,0)))</f>
        <v>4996382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ROUND(D21%*E16,0)</f>
        <v>9992764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v>2.5979999999999999</v>
      </c>
      <c r="E22" s="677">
        <f>ROUND(D22%*E16,0)</f>
        <v>25961200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ROUND(D23%*E16,0)</f>
        <v>29978291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E16+E17</f>
        <v>1113662842</v>
      </c>
      <c r="F24" s="254"/>
      <c r="G24" s="664"/>
      <c r="I24" s="666"/>
      <c r="J24" s="675"/>
      <c r="L24" s="675">
        <f>1%*E27</f>
        <v>12015570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>ROUND(8%*(E24-E20-E21),0)</f>
        <v>87893896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>E24+E25</f>
        <v>1201556738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ROUND(E26,-3)</f>
        <v>1201557000</v>
      </c>
      <c r="F27" s="254"/>
      <c r="G27" s="680"/>
      <c r="H27" s="681"/>
      <c r="I27" s="666"/>
      <c r="J27" s="666">
        <v>15564162000</v>
      </c>
      <c r="K27" s="666">
        <f>E27-J27</f>
        <v>-14362605000</v>
      </c>
    </row>
    <row r="28" spans="1:12" ht="37.950000000000003" customHeight="1">
      <c r="A28" s="864" t="s">
        <v>554</v>
      </c>
      <c r="B28" s="864"/>
      <c r="C28" s="864"/>
      <c r="D28" s="864"/>
      <c r="E28" s="864"/>
      <c r="F28" s="864"/>
      <c r="G28" s="865"/>
      <c r="H28" s="865"/>
      <c r="I28" s="865"/>
      <c r="J28" s="865"/>
      <c r="K28" s="865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66" t="s">
        <v>179</v>
      </c>
      <c r="B30" s="866"/>
      <c r="C30" s="424"/>
      <c r="D30" s="866" t="s">
        <v>123</v>
      </c>
      <c r="E30" s="866"/>
      <c r="F30" s="866"/>
    </row>
    <row r="31" spans="1:12" ht="16.95" customHeight="1">
      <c r="A31" s="866"/>
      <c r="B31" s="866"/>
      <c r="C31" s="424"/>
      <c r="D31" s="866" t="s">
        <v>550</v>
      </c>
      <c r="E31" s="866"/>
      <c r="F31" s="866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66" t="s">
        <v>551</v>
      </c>
      <c r="E35" s="866"/>
      <c r="F35" s="866"/>
    </row>
    <row r="36" spans="1:6" ht="18">
      <c r="A36" s="862"/>
      <c r="B36" s="862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63"/>
      <c r="B39" s="863"/>
      <c r="C39" s="863"/>
      <c r="D39" s="863"/>
      <c r="E39" s="863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tabSelected="1" view="pageBreakPreview" zoomScale="60" zoomScaleNormal="85" workbookViewId="0">
      <selection activeCell="K22" sqref="K22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06" t="s">
        <v>351</v>
      </c>
      <c r="B1" s="806"/>
      <c r="C1" s="806"/>
      <c r="D1" s="806"/>
      <c r="E1" s="806"/>
      <c r="F1" s="806"/>
      <c r="G1" s="806"/>
      <c r="H1" s="806"/>
      <c r="I1" s="806"/>
      <c r="J1" s="806"/>
      <c r="K1" s="806"/>
      <c r="L1" s="23"/>
      <c r="M1" s="23"/>
      <c r="N1" s="23"/>
      <c r="O1" s="23"/>
    </row>
    <row r="2" spans="1:22" ht="24" customHeight="1">
      <c r="A2" s="806" t="s">
        <v>112</v>
      </c>
      <c r="B2" s="806"/>
      <c r="C2" s="806"/>
      <c r="D2" s="806"/>
      <c r="E2" s="806"/>
      <c r="F2" s="806"/>
      <c r="G2" s="806"/>
      <c r="H2" s="806"/>
      <c r="I2" s="806"/>
      <c r="J2" s="806"/>
      <c r="K2" s="806"/>
      <c r="L2" s="23"/>
      <c r="M2" s="23"/>
      <c r="N2" s="23"/>
      <c r="O2" s="23"/>
      <c r="Q2" s="807"/>
      <c r="R2" s="807"/>
      <c r="S2" s="807"/>
      <c r="T2" s="807"/>
    </row>
    <row r="3" spans="1:22" ht="24" hidden="1" customHeight="1">
      <c r="A3" s="805" t="e">
        <f>#REF!</f>
        <v>#REF!</v>
      </c>
      <c r="B3" s="805"/>
      <c r="C3" s="805"/>
      <c r="D3" s="805"/>
      <c r="E3" s="805"/>
      <c r="F3" s="805"/>
      <c r="G3" s="805"/>
      <c r="H3" s="805"/>
      <c r="I3" s="805"/>
      <c r="J3" s="805"/>
      <c r="K3" s="805"/>
      <c r="L3" s="23"/>
      <c r="M3" s="23"/>
      <c r="N3" s="23"/>
      <c r="O3" s="23"/>
    </row>
    <row r="4" spans="1:22" s="2" customFormat="1" ht="27" customHeight="1">
      <c r="A4" s="808">
        <v>0</v>
      </c>
      <c r="B4" s="808"/>
      <c r="C4" s="808"/>
      <c r="D4" s="808"/>
      <c r="E4" s="808"/>
      <c r="F4" s="808"/>
      <c r="G4" s="808"/>
      <c r="H4" s="808"/>
      <c r="I4" s="808"/>
      <c r="J4" s="808"/>
      <c r="K4" s="808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05" t="s">
        <v>195</v>
      </c>
      <c r="B5" s="805"/>
      <c r="C5" s="805"/>
      <c r="D5" s="805"/>
      <c r="E5" s="805"/>
      <c r="F5" s="805"/>
      <c r="G5" s="805"/>
      <c r="H5" s="805"/>
      <c r="I5" s="805"/>
      <c r="J5" s="805"/>
      <c r="K5" s="805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08" t="str">
        <f>'THKP-TC'!A5</f>
        <v>Địa điểm: Xã Hồng Quang, tỉnh Hưng Yên</v>
      </c>
      <c r="B6" s="805"/>
      <c r="C6" s="805"/>
      <c r="D6" s="805"/>
      <c r="E6" s="805"/>
      <c r="F6" s="805"/>
      <c r="G6" s="805"/>
      <c r="H6" s="805"/>
      <c r="I6" s="805"/>
      <c r="J6" s="805"/>
      <c r="K6" s="805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12"/>
      <c r="B7" s="812"/>
      <c r="C7" s="812"/>
      <c r="D7" s="812"/>
      <c r="E7" s="812"/>
      <c r="F7" s="812"/>
      <c r="G7" s="812"/>
      <c r="H7" s="812"/>
      <c r="I7" s="812"/>
      <c r="J7" s="812"/>
      <c r="K7" s="812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13" t="s">
        <v>0</v>
      </c>
      <c r="B9" s="813" t="s">
        <v>49</v>
      </c>
      <c r="C9" s="813" t="s">
        <v>53</v>
      </c>
      <c r="D9" s="813" t="s">
        <v>22</v>
      </c>
      <c r="E9" s="813" t="s">
        <v>164</v>
      </c>
      <c r="F9" s="809" t="s">
        <v>31</v>
      </c>
      <c r="G9" s="809"/>
      <c r="H9" s="809"/>
      <c r="I9" s="809" t="s">
        <v>45</v>
      </c>
      <c r="J9" s="809"/>
      <c r="K9" s="809"/>
      <c r="L9" s="809" t="s">
        <v>167</v>
      </c>
      <c r="M9" s="809"/>
      <c r="N9" s="809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14"/>
      <c r="B10" s="814"/>
      <c r="C10" s="814"/>
      <c r="D10" s="814"/>
      <c r="E10" s="814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SUM(L12:L18)</f>
        <v>0</v>
      </c>
      <c r="M11" s="66">
        <f>SUM(M12:M18)</f>
        <v>0</v>
      </c>
      <c r="N11" s="66">
        <f>SUM(N12:N18)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v>0</v>
      </c>
      <c r="G12" s="384">
        <v>33165000</v>
      </c>
      <c r="H12" s="384">
        <v>0</v>
      </c>
      <c r="I12" s="384">
        <f>D12*F12</f>
        <v>0</v>
      </c>
      <c r="J12" s="384">
        <f>D12*G12</f>
        <v>63179325</v>
      </c>
      <c r="K12" s="384">
        <f>D12*H12</f>
        <v>0</v>
      </c>
      <c r="L12" s="241">
        <f>E12*F12</f>
        <v>0</v>
      </c>
      <c r="M12" s="241">
        <f>E12*G12</f>
        <v>0</v>
      </c>
      <c r="N12" s="241">
        <f>E12*H12</f>
        <v>0</v>
      </c>
      <c r="O12" s="241"/>
      <c r="P12" s="501">
        <f t="shared" ref="P12:P14" si="0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v>851550</v>
      </c>
      <c r="G13" s="385">
        <v>8593200</v>
      </c>
      <c r="H13" s="385">
        <v>8827863.7200000007</v>
      </c>
      <c r="I13" s="385">
        <f>D13*F13</f>
        <v>3244405.5</v>
      </c>
      <c r="J13" s="385">
        <f>D13*G13</f>
        <v>32740092</v>
      </c>
      <c r="K13" s="385">
        <f>D13*H13</f>
        <v>33634160.773200005</v>
      </c>
      <c r="L13" s="241">
        <f>E13*F13</f>
        <v>0</v>
      </c>
      <c r="M13" s="241">
        <f>E13*G13</f>
        <v>0</v>
      </c>
      <c r="N13" s="241">
        <f>E13*H13</f>
        <v>0</v>
      </c>
      <c r="O13" s="241"/>
      <c r="P13" s="501" t="str">
        <f t="shared" si="0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v>0</v>
      </c>
      <c r="G14" s="385">
        <v>31050</v>
      </c>
      <c r="H14" s="385">
        <v>10681.944</v>
      </c>
      <c r="I14" s="385">
        <f>D14*F14</f>
        <v>0</v>
      </c>
      <c r="J14" s="385">
        <f>D14*G14</f>
        <v>8290350</v>
      </c>
      <c r="K14" s="385">
        <f>D14*H14</f>
        <v>2852079.048</v>
      </c>
      <c r="L14" s="241">
        <f>E14*F14</f>
        <v>0</v>
      </c>
      <c r="M14" s="241">
        <f>E14*G14</f>
        <v>0</v>
      </c>
      <c r="N14" s="241">
        <f>E14*H14</f>
        <v>0</v>
      </c>
      <c r="O14" s="241"/>
      <c r="P14" s="501">
        <f t="shared" si="0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v>640500</v>
      </c>
      <c r="G15" s="385">
        <v>3489750</v>
      </c>
      <c r="H15" s="385">
        <v>5030522.8</v>
      </c>
      <c r="I15" s="385">
        <f>D15*F15</f>
        <v>1582034.9999999998</v>
      </c>
      <c r="J15" s="385">
        <f>D15*G15</f>
        <v>8619682.5</v>
      </c>
      <c r="K15" s="385">
        <f>D15*H15</f>
        <v>12425391.315999998</v>
      </c>
      <c r="L15" s="241">
        <f>E15*F15</f>
        <v>0</v>
      </c>
      <c r="M15" s="241">
        <f>E15*G15</f>
        <v>0</v>
      </c>
      <c r="N15" s="241">
        <f>E15*H15</f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v>640500</v>
      </c>
      <c r="G16" s="385">
        <v>3841200</v>
      </c>
      <c r="H16" s="385">
        <v>5533575.0800000001</v>
      </c>
      <c r="I16" s="385">
        <f>D16*F16</f>
        <v>0</v>
      </c>
      <c r="J16" s="385">
        <f>D16*G16</f>
        <v>0</v>
      </c>
      <c r="K16" s="385">
        <f>D16*H16</f>
        <v>0</v>
      </c>
      <c r="L16" s="241">
        <f>E16*F16</f>
        <v>0</v>
      </c>
      <c r="M16" s="241">
        <f>E16*G16</f>
        <v>0</v>
      </c>
      <c r="N16" s="241">
        <f>E16*H16</f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v>19108.739440000001</v>
      </c>
      <c r="G17" s="385">
        <v>589950</v>
      </c>
      <c r="H17" s="385">
        <v>8562.5920000000006</v>
      </c>
      <c r="I17" s="385">
        <f>D17*F17</f>
        <v>382556.96358879999</v>
      </c>
      <c r="J17" s="385">
        <f>D17*G17</f>
        <v>11810799</v>
      </c>
      <c r="K17" s="385">
        <f>D17*H17</f>
        <v>171423.09184000001</v>
      </c>
      <c r="L17" s="241">
        <f>E17*F17</f>
        <v>0</v>
      </c>
      <c r="M17" s="241">
        <f>E17*G17</f>
        <v>0</v>
      </c>
      <c r="N17" s="241">
        <f>E17*H17</f>
        <v>0</v>
      </c>
      <c r="O17" s="241"/>
      <c r="P17" s="501">
        <f t="shared" ref="P17:P18" si="1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v>0</v>
      </c>
      <c r="G18" s="385">
        <v>0</v>
      </c>
      <c r="H18" s="385">
        <v>0</v>
      </c>
      <c r="I18" s="385">
        <f>D18*F18</f>
        <v>0</v>
      </c>
      <c r="J18" s="385">
        <f>D18*G18</f>
        <v>0</v>
      </c>
      <c r="K18" s="385">
        <f>D18*H18</f>
        <v>0</v>
      </c>
      <c r="L18" s="241">
        <f>E18*F18</f>
        <v>0</v>
      </c>
      <c r="M18" s="241">
        <f>E18*G18</f>
        <v>0</v>
      </c>
      <c r="N18" s="241">
        <f>E18*H18</f>
        <v>0</v>
      </c>
      <c r="O18" s="241"/>
      <c r="P18" s="501">
        <f t="shared" si="1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509776991.89318007</v>
      </c>
      <c r="L19" s="66">
        <f>SUM(L20:L26)</f>
        <v>0</v>
      </c>
      <c r="M19" s="66">
        <f>SUM(M20:M26)</f>
        <v>0</v>
      </c>
      <c r="N19" s="66">
        <f>SUM(N20:N26)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v>572387.19999999995</v>
      </c>
      <c r="G20" s="385">
        <v>11790900</v>
      </c>
      <c r="H20" s="385">
        <v>39574428.280000001</v>
      </c>
      <c r="I20" s="385">
        <f>D20*F20</f>
        <v>3806374.88</v>
      </c>
      <c r="J20" s="385">
        <f>D20*G20</f>
        <v>78409485</v>
      </c>
      <c r="K20" s="385">
        <f>D20*H20</f>
        <v>263169948.06200004</v>
      </c>
      <c r="L20" s="241">
        <f>E20*F20</f>
        <v>0</v>
      </c>
      <c r="M20" s="241">
        <f>E20*G20</f>
        <v>0</v>
      </c>
      <c r="N20" s="241">
        <f>E20*H20</f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v>360287.2</v>
      </c>
      <c r="G21" s="385">
        <v>4855950</v>
      </c>
      <c r="H21" s="385">
        <v>19792190.91</v>
      </c>
      <c r="I21" s="385">
        <f>D21*F21</f>
        <v>2370689.7760000001</v>
      </c>
      <c r="J21" s="385">
        <f>D21*G21</f>
        <v>31952151</v>
      </c>
      <c r="K21" s="385">
        <f>D21*H21</f>
        <v>130232616.18780001</v>
      </c>
      <c r="L21" s="241">
        <f>E21*F21</f>
        <v>0</v>
      </c>
      <c r="M21" s="241">
        <f>E21*G21</f>
        <v>0</v>
      </c>
      <c r="N21" s="241">
        <f>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v>4393.5</v>
      </c>
      <c r="G22" s="385">
        <v>27720</v>
      </c>
      <c r="H22" s="385">
        <v>34270.800000000003</v>
      </c>
      <c r="I22" s="385">
        <f>D22*F22</f>
        <v>619483.5</v>
      </c>
      <c r="J22" s="385">
        <f>D22*G22</f>
        <v>3908520</v>
      </c>
      <c r="K22" s="385">
        <f>D22*H22</f>
        <v>4832182.8000000007</v>
      </c>
      <c r="L22" s="241">
        <f>E22*F22</f>
        <v>0</v>
      </c>
      <c r="M22" s="241">
        <f>E22*G22</f>
        <v>0</v>
      </c>
      <c r="N22" s="241">
        <f>E22*H22</f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v>0</v>
      </c>
      <c r="G23" s="385">
        <v>113850</v>
      </c>
      <c r="H23" s="385">
        <v>441645.14</v>
      </c>
      <c r="I23" s="385">
        <f>D23*F23</f>
        <v>0</v>
      </c>
      <c r="J23" s="385">
        <f>D23*G23</f>
        <v>15142050</v>
      </c>
      <c r="K23" s="385">
        <f>D23*H23</f>
        <v>58738803.620000005</v>
      </c>
      <c r="L23" s="241">
        <f>E23*F23</f>
        <v>0</v>
      </c>
      <c r="M23" s="241">
        <f>E23*G23</f>
        <v>0</v>
      </c>
      <c r="N23" s="241">
        <f>E23*H23</f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v>0</v>
      </c>
      <c r="G24" s="385">
        <v>113850</v>
      </c>
      <c r="H24" s="385">
        <v>764584.71299999999</v>
      </c>
      <c r="I24" s="385">
        <f>D24*F24</f>
        <v>0</v>
      </c>
      <c r="J24" s="385">
        <f>D24*G24</f>
        <v>796950</v>
      </c>
      <c r="K24" s="385">
        <f>D24*H24</f>
        <v>5352092.9910000004</v>
      </c>
      <c r="L24" s="241">
        <f>E24*F24</f>
        <v>0</v>
      </c>
      <c r="M24" s="241">
        <f>E24*G24</f>
        <v>0</v>
      </c>
      <c r="N24" s="241">
        <f>E24*H24</f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v>535040</v>
      </c>
      <c r="G25" s="385">
        <v>495000</v>
      </c>
      <c r="H25" s="385">
        <v>1107985.3330000001</v>
      </c>
      <c r="I25" s="385">
        <f>D25*F25</f>
        <v>535040</v>
      </c>
      <c r="J25" s="385">
        <f>D25*G25</f>
        <v>495000</v>
      </c>
      <c r="K25" s="385">
        <f>D25*H25</f>
        <v>1107985.3330000001</v>
      </c>
      <c r="L25" s="241">
        <f>E25*F25</f>
        <v>0</v>
      </c>
      <c r="M25" s="241">
        <f>E25*G25</f>
        <v>0</v>
      </c>
      <c r="N25" s="241">
        <f>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>
        <v>0</v>
      </c>
      <c r="J26" s="388">
        <f>SUM(J20:J25)*0.1</f>
        <v>13070415.600000001</v>
      </c>
      <c r="K26" s="388">
        <f>SUM(K20:K25)*0.1</f>
        <v>46343362.899380006</v>
      </c>
      <c r="L26" s="241">
        <v>0</v>
      </c>
      <c r="M26" s="241">
        <f>SUM(M20:M25)*0.1</f>
        <v>0</v>
      </c>
      <c r="N26" s="241">
        <f>SUM(N20:N25)*0.1</f>
        <v>0</v>
      </c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 t="s">
        <v>553</v>
      </c>
      <c r="D27" s="511" t="s">
        <v>553</v>
      </c>
      <c r="E27" s="511" t="s">
        <v>553</v>
      </c>
      <c r="F27" s="511" t="s">
        <v>553</v>
      </c>
      <c r="G27" s="511" t="s">
        <v>553</v>
      </c>
      <c r="H27" s="511" t="s">
        <v>553</v>
      </c>
      <c r="I27" s="512">
        <f>I11+I19</f>
        <v>12540585.6195888</v>
      </c>
      <c r="J27" s="512">
        <f>J11+J19</f>
        <v>268414820.09999999</v>
      </c>
      <c r="K27" s="512">
        <f>K11+K19</f>
        <v>558860046.12222004</v>
      </c>
      <c r="L27" s="512">
        <f>L11+L19</f>
        <v>0</v>
      </c>
      <c r="M27" s="512">
        <f>M11+M19</f>
        <v>0</v>
      </c>
      <c r="N27" s="512">
        <f>N11+N19</f>
        <v>0</v>
      </c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10"/>
      <c r="D30" s="811"/>
      <c r="I30" s="206"/>
      <c r="J30" s="206"/>
      <c r="K30" s="206"/>
      <c r="P30" s="207"/>
    </row>
    <row r="31" spans="1:22">
      <c r="C31" s="810"/>
      <c r="D31" s="811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61" t="s">
        <v>191</v>
      </c>
      <c r="B1" s="829"/>
      <c r="C1" s="829"/>
      <c r="D1" s="829"/>
      <c r="E1" s="829"/>
      <c r="F1" s="829"/>
      <c r="G1" s="829"/>
      <c r="H1" s="829"/>
    </row>
    <row r="2" spans="1:21">
      <c r="A2" s="830" t="str">
        <f>"Dọn mặt bằng thủ công cho một ha rừng "&amp;M11&amp;",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>
      <c r="A3" s="830" t="str" cm="1">
        <f t="array" aca="1" ref="A3" ca="1">"Số hiệu định mức: 010.0200."&amp;INDIRECT(ADDRESS(ROW(M6),COLUMN(M6)+M6,1,1))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6" t="s">
        <v>255</v>
      </c>
      <c r="O5" s="837"/>
      <c r="P5" s="837"/>
      <c r="Q5" s="837"/>
      <c r="R5" s="838"/>
    </row>
    <row r="6" spans="1:21" s="519" customFormat="1" ht="16.2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2" t="str">
        <f>"Dò bằng máy đến độ sâu 0,3 m cho 1 ha - Mật độ tín hiệu "&amp;M29</f>
        <v>Dò bằng máy đến độ sâu 0,3 m cho 1 ha - Mật độ tín hiệu loại 1</v>
      </c>
      <c r="B14" s="830"/>
      <c r="C14" s="830"/>
      <c r="D14" s="830"/>
      <c r="E14" s="830"/>
      <c r="F14" s="830"/>
      <c r="G14" s="830"/>
      <c r="H14" s="830"/>
    </row>
    <row r="15" spans="1:21" ht="20.100000000000001" customHeight="1">
      <c r="A15" s="830" t="str" cm="1">
        <f t="array" aca="1" ref="A15" ca="1">"Số hiệu định mức: 020.0200."&amp;INDIRECT(ADDRESS(ROW(M18),COLUMN(M18)+M18,1,1))</f>
        <v>Số hiệu định mức: 020.0200.1</v>
      </c>
      <c r="B15" s="830"/>
      <c r="C15" s="830"/>
      <c r="D15" s="830"/>
      <c r="E15" s="830"/>
      <c r="F15" s="830"/>
      <c r="G15" s="830"/>
      <c r="H15" s="830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6" t="s">
        <v>255</v>
      </c>
      <c r="O17" s="837"/>
      <c r="P17" s="837"/>
      <c r="Q17" s="837"/>
      <c r="R17" s="838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2" t="str">
        <f>"Dò bằng máy đến độ sâu 0,3 m cho 1 ha - Mật độ tín hiệu "&amp;M46</f>
        <v>Dò bằng máy đến độ sâu 0,3 m cho 1 ha - Mật độ tín hiệu Không có</v>
      </c>
      <c r="B31" s="830"/>
      <c r="C31" s="830"/>
      <c r="D31" s="830"/>
      <c r="E31" s="830"/>
      <c r="F31" s="830"/>
      <c r="G31" s="830"/>
      <c r="H31" s="830"/>
    </row>
    <row r="32" spans="1:18" ht="20.100000000000001" hidden="1" customHeight="1" outlineLevel="1">
      <c r="A32" s="830" t="str" cm="1">
        <f t="array" aca="1" ref="A32" ca="1">"Số hiệu định mức: 020.0200."&amp;INDIRECT(ADDRESS(ROW(M35),COLUMN(M35)+M35,1,1))</f>
        <v>Số hiệu định mức: 020.0200.5</v>
      </c>
      <c r="B32" s="830"/>
      <c r="C32" s="830"/>
      <c r="D32" s="830"/>
      <c r="E32" s="830"/>
      <c r="F32" s="830"/>
      <c r="G32" s="830"/>
      <c r="H32" s="830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6" t="s">
        <v>255</v>
      </c>
      <c r="O34" s="837"/>
      <c r="P34" s="837"/>
      <c r="Q34" s="837"/>
      <c r="R34" s="838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2" t="str">
        <f>"Dò bằng máy đến độ sâu 0,3 m cho 1 ha - Mật độ tín hiệu "&amp;M63</f>
        <v>Dò bằng máy đến độ sâu 0,3 m cho 1 ha - Mật độ tín hiệu Không có</v>
      </c>
      <c r="B48" s="830"/>
      <c r="C48" s="830"/>
      <c r="D48" s="830"/>
      <c r="E48" s="830"/>
      <c r="F48" s="830"/>
      <c r="G48" s="830"/>
      <c r="H48" s="830"/>
    </row>
    <row r="49" spans="1:18" ht="20.100000000000001" hidden="1" customHeight="1" outlineLevel="1">
      <c r="A49" s="830" t="str" cm="1">
        <f t="array" aca="1" ref="A49" ca="1">"Số hiệu định mức: 020.0200."&amp;INDIRECT(ADDRESS(ROW(M52),COLUMN(M52)+M52,1,1))</f>
        <v>Số hiệu định mức: 020.0200.5</v>
      </c>
      <c r="B49" s="830"/>
      <c r="C49" s="830"/>
      <c r="D49" s="830"/>
      <c r="E49" s="830"/>
      <c r="F49" s="830"/>
      <c r="G49" s="830"/>
      <c r="H49" s="830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6" t="s">
        <v>255</v>
      </c>
      <c r="O51" s="837"/>
      <c r="P51" s="837"/>
      <c r="Q51" s="837"/>
      <c r="R51" s="838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30" t="str">
        <f>"Xử lý tín hiệu cho 1 ha trên cạn ở độ sâu 0,3 m - "&amp;M75</f>
        <v>Xử lý tín hiệu cho 1 ha trên cạn ở độ sâu 0,3 m - Đất cấp 1</v>
      </c>
      <c r="B65" s="830"/>
      <c r="C65" s="830"/>
      <c r="D65" s="830"/>
      <c r="E65" s="830"/>
      <c r="F65" s="830"/>
      <c r="G65" s="830"/>
      <c r="H65" s="830"/>
    </row>
    <row r="66" spans="1:21" ht="15.6" customHeight="1">
      <c r="A66" s="830" t="str" cm="1">
        <f t="array" aca="1" ref="A66" ca="1">"Số hiệu định mức: 020.0300."&amp;INDIRECT(ADDRESS(ROW(M69),COLUMN(M69)+M69,1,1))</f>
        <v>Số hiệu định mức: 020.0300.1</v>
      </c>
      <c r="B66" s="830"/>
      <c r="C66" s="830"/>
      <c r="D66" s="830"/>
      <c r="E66" s="830"/>
      <c r="F66" s="830"/>
      <c r="G66" s="830"/>
      <c r="H66" s="830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6" t="s">
        <v>255</v>
      </c>
      <c r="O68" s="837"/>
      <c r="P68" s="837"/>
      <c r="Q68" s="837"/>
      <c r="R68" s="838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2" t="s">
        <v>128</v>
      </c>
      <c r="B79" s="830"/>
      <c r="C79" s="830"/>
      <c r="D79" s="830"/>
      <c r="E79" s="830"/>
      <c r="F79" s="830"/>
      <c r="G79" s="830"/>
      <c r="H79" s="830"/>
    </row>
    <row r="80" spans="1:21">
      <c r="A80" s="830" t="str" cm="1">
        <f t="array" aca="1" ref="A80" ca="1">"Số hiệu định mức: 020.0500."&amp;INDIRECT(ADDRESS(ROW(M83),COLUMN(M83)+M83,1,1))</f>
        <v>Số hiệu định mức: 020.0500.2</v>
      </c>
      <c r="B80" s="830"/>
      <c r="C80" s="830"/>
      <c r="D80" s="830"/>
      <c r="E80" s="830"/>
      <c r="F80" s="830"/>
      <c r="G80" s="830"/>
      <c r="H80" s="830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6" t="s">
        <v>255</v>
      </c>
      <c r="O82" s="837"/>
      <c r="P82" s="837"/>
      <c r="Q82" s="837"/>
      <c r="R82" s="838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2" t="s">
        <v>168</v>
      </c>
      <c r="B97" s="830"/>
      <c r="C97" s="830"/>
      <c r="D97" s="830"/>
      <c r="E97" s="830"/>
      <c r="F97" s="830"/>
      <c r="G97" s="830"/>
      <c r="H97" s="830"/>
    </row>
    <row r="98" spans="1:18" hidden="1" outlineLevel="1">
      <c r="A98" s="830" t="str" cm="1">
        <f t="array" aca="1" ref="A98" ca="1">"Số hiệu định mức: 020.0500."&amp;INDIRECT(ADDRESS(ROW(M101),COLUMN(M101)+M101,1,1))</f>
        <v>Số hiệu định mức: 020.0500.4</v>
      </c>
      <c r="B98" s="830"/>
      <c r="C98" s="830"/>
      <c r="D98" s="830"/>
      <c r="E98" s="830"/>
      <c r="F98" s="830"/>
      <c r="G98" s="830"/>
      <c r="H98" s="830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6" t="s">
        <v>255</v>
      </c>
      <c r="O100" s="837"/>
      <c r="P100" s="837"/>
      <c r="Q100" s="837"/>
      <c r="R100" s="838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2" t="str">
        <f>"Đào xử lý tín hiệu trên cạn đến độ sâu 3m.
"&amp;M127&amp;" cho 1 m3"</f>
        <v>Đào xử lý tín hiệu trên cạn đến độ sâu 3m.
Đất cấp 2 cho 1 m3</v>
      </c>
      <c r="B113" s="830"/>
      <c r="C113" s="830"/>
      <c r="D113" s="830"/>
      <c r="E113" s="830"/>
      <c r="F113" s="830"/>
      <c r="G113" s="830"/>
      <c r="H113" s="830"/>
    </row>
    <row r="114" spans="1:21" ht="20.100000000000001" customHeight="1">
      <c r="A114" s="830" t="str" cm="1">
        <f t="array" aca="1" ref="A114" ca="1">"Số hiệu định mức: 020.0700."&amp;INDIRECT(ADDRESS(ROW(M117),COLUMN(M117)+M117,1,1))</f>
        <v>Số hiệu định mức: 020.0700.2</v>
      </c>
      <c r="B114" s="830"/>
      <c r="C114" s="830"/>
      <c r="D114" s="830"/>
      <c r="E114" s="830"/>
      <c r="F114" s="830"/>
      <c r="G114" s="830"/>
      <c r="H114" s="830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6" t="s">
        <v>255</v>
      </c>
      <c r="O116" s="837"/>
      <c r="P116" s="837"/>
      <c r="Q116" s="837"/>
      <c r="R116" s="838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2" t="str">
        <f>"Đào xử lý tín hiệu trên cạn đến độ sâu 5m.
"&amp;M145&amp;" cho 1 ha"</f>
        <v>Đào xử lý tín hiệu trên cạn đến độ sâu 5m.
Không có cho 1 ha</v>
      </c>
      <c r="B129" s="832"/>
      <c r="C129" s="832"/>
      <c r="D129" s="832"/>
      <c r="E129" s="832"/>
      <c r="F129" s="832"/>
      <c r="G129" s="832"/>
      <c r="H129" s="832"/>
    </row>
    <row r="130" spans="1:18" ht="15.75" customHeight="1">
      <c r="A130" s="830" t="str" cm="1">
        <f t="array" aca="1" ref="A130" ca="1">"Số hiệu định mức: 020.0800."&amp;INDIRECT(ADDRESS(ROW(M133),COLUMN(M133)+M133,1,1))</f>
        <v>Số hiệu định mức: 020.0800.5</v>
      </c>
      <c r="B130" s="830"/>
      <c r="C130" s="830"/>
      <c r="D130" s="830"/>
      <c r="E130" s="830"/>
      <c r="F130" s="830"/>
      <c r="G130" s="830"/>
      <c r="H130" s="830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4" t="s">
        <v>18</v>
      </c>
      <c r="B132" s="834" t="s">
        <v>43</v>
      </c>
      <c r="C132" s="839" t="s">
        <v>42</v>
      </c>
      <c r="D132" s="839" t="s">
        <v>20</v>
      </c>
      <c r="E132" s="839" t="s">
        <v>80</v>
      </c>
      <c r="F132" s="836" t="s">
        <v>17</v>
      </c>
      <c r="G132" s="837"/>
      <c r="H132" s="838"/>
      <c r="M132" s="520" t="s">
        <v>254</v>
      </c>
      <c r="N132" s="836" t="s">
        <v>255</v>
      </c>
      <c r="O132" s="837"/>
      <c r="P132" s="837"/>
      <c r="Q132" s="837"/>
      <c r="R132" s="838"/>
    </row>
    <row r="133" spans="1:18" ht="15.75" customHeight="1">
      <c r="A133" s="835"/>
      <c r="B133" s="835"/>
      <c r="C133" s="840"/>
      <c r="D133" s="840"/>
      <c r="E133" s="840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30" t="str">
        <f>"Dọn mặt bằng thủ công cho một ha rừng "&amp;L11&amp;", khu vực không phải là bãi mìn"</f>
        <v>Dọn mặt bằng thủ công cho một ha rừng loại 1, khu vực không phải là bãi mìn</v>
      </c>
      <c r="B2" s="830"/>
      <c r="C2" s="830"/>
      <c r="D2" s="830"/>
      <c r="E2" s="830"/>
      <c r="F2" s="830"/>
      <c r="G2" s="830"/>
      <c r="H2" s="830"/>
    </row>
    <row r="3" spans="1:21" s="504" customFormat="1" hidden="1">
      <c r="A3" s="830" t="str" cm="1">
        <f t="array" aca="1" ref="A3" ca="1">"Số hiệu định mức: 010.0200."&amp;INDIRECT(ADDRESS(ROW(L6),COLUMN(L6)+L6,1,1))</f>
        <v>Số hiệu định mức: 010.0200.1</v>
      </c>
      <c r="B3" s="830"/>
      <c r="C3" s="830"/>
      <c r="D3" s="830"/>
      <c r="E3" s="830"/>
      <c r="F3" s="830"/>
      <c r="G3" s="830"/>
      <c r="H3" s="830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4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6" t="s">
        <v>255</v>
      </c>
      <c r="N16" s="837"/>
      <c r="O16" s="837"/>
      <c r="P16" s="837"/>
      <c r="Q16" s="838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6" t="s">
        <v>255</v>
      </c>
      <c r="N39" s="837"/>
      <c r="O39" s="837"/>
      <c r="P39" s="837"/>
      <c r="Q39" s="838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6" t="s">
        <v>255</v>
      </c>
      <c r="N61" s="837"/>
      <c r="O61" s="837"/>
      <c r="P61" s="837"/>
      <c r="Q61" s="838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6" t="s">
        <v>255</v>
      </c>
      <c r="N79" s="837"/>
      <c r="O79" s="837"/>
      <c r="P79" s="837"/>
      <c r="Q79" s="838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6" t="s">
        <v>255</v>
      </c>
      <c r="N92" s="837"/>
      <c r="O92" s="837"/>
      <c r="P92" s="837"/>
      <c r="Q92" s="838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6" t="s">
        <v>255</v>
      </c>
      <c r="N109" s="837"/>
      <c r="O109" s="837"/>
      <c r="P109" s="837"/>
      <c r="Q109" s="838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6" t="s">
        <v>255</v>
      </c>
      <c r="N126" s="837"/>
      <c r="O126" s="837"/>
      <c r="P126" s="837"/>
      <c r="Q126" s="838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999276356</v>
      </c>
      <c r="Q5" s="235">
        <f>'THKP-TC'!E16</f>
        <v>999276356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839815452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999276356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4996381.78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548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547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549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548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12540586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558860046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839815452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-664425.29319107533</v>
      </c>
      <c r="H44" s="234" t="e">
        <f>#REF!+#REF!+#REF!+#REF!</f>
        <v>#REF!</v>
      </c>
      <c r="I44" s="10" t="str">
        <f>IF(ROUND(G44,0)=0,"PT chuẩn","Kiểm tra lại")</f>
        <v>Kiểm tra lại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2026-08-03T14:54:19Z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1|cd09d5433ed74ee2aef295090161f443|8|E03E66CB307F1CE6896FC32AEB142D40804F4423E76F0BD46C34DB2E72BB01C3</vt:lpwstr>
  </property>
  <property fmtid="{D5CDD505-2E9C-101B-9397-08002B2CF9AE}" pid="12" name="TTBMVN.PriceProfile.Part.4fddd3b4fffe45e6b4c638ab6bcb62e8.0000">
    <vt:lpwstr>TTBMVN_PRICE_PROFILE
schema=1
profileId=VEVTVC1EVDEwMy1QUklDRS1CQVNFTElORQ==
dataVersion=MS4wLjA=
displayName=TmhhcCB0dSBEVC00MDYtd29ya2luZy1jb3B5Lnhsc20=
location=SGEgTm9p
valuationDate=2026-08-03
laborAudience=2
createdAtUtc=2026-08-03T12</vt:lpwstr>
  </property>
  <property fmtid="{D5CDD505-2E9C-101B-9397-08002B2CF9AE}" pid="13" name="TTBMVN.PriceProfile.Part.4fddd3b4fffe45e6b4c638ab6bcb62e8.0001">
    <vt:lpwstr>:36:59.1093208Z
entryCount=34
entry.0.code=TEFCLVFOQ04tNQ==
entry.0.kind=2
entry.0.name=TmjDom4gY8O0bmcgdGjhu6MgYuG6rWMgNS8xMA==
entry.0.unit=d29ya2VyLWRheQ==
entry.0.basePrice=450000
entry.0.sourceDate=2026-08-03
entry.0.sourceKind=2
entry</vt:lpwstr>
  </property>
  <property fmtid="{D5CDD505-2E9C-101B-9397-08002B2CF9AE}" pid="14" name="TTBMVN.PriceProfile.Part.4fddd3b4fffe45e6b4c638ab6bcb62e8.0002">
    <vt:lpwstr>.0.sourceReference=V29ya2Jvb2s6U2hlZXQyMCFGNw==
entry.0.legacyLookupName=TmjDom4gY8O0bmcgdGjhu6MgYuG6rWMgNS8xMA==
entry.0.aliasCount=1
entry.0.alias.0=YmFjLTUtMTA=
entry.1.code=TEFCLVFOQ04tNw==
entry.1.kind=2
entry.1.name=TmjDom4gY8O0bmcgdG</vt:lpwstr>
  </property>
  <property fmtid="{D5CDD505-2E9C-101B-9397-08002B2CF9AE}" pid="15" name="TTBMVN.PriceProfile.Part.4fddd3b4fffe45e6b4c638ab6bcb62e8.0003">
    <vt:lpwstr>jhu6MgYuG6rWMgNy8xMA==
entry.1.unit=d29ya2VyLWRheQ==
entry.1.basePrice=495000
entry.1.sourceDate=2026-08-03
entry.1.sourceKind=2
entry.1.sourceReference=V29ya2Jvb2s6U2hlZXQyMCFGMTE=
entry.1.legacyLookupName=TmjDom4gY8O0bmcgdGjhu6MgYuG6rWMgN</vt:lpwstr>
  </property>
  <property fmtid="{D5CDD505-2E9C-101B-9397-08002B2CF9AE}" pid="16" name="TTBMVN.PriceProfile.Part.4fddd3b4fffe45e6b4c638ab6bcb62e8.0004">
    <vt:lpwstr>y8xMA==
entry.1.aliasCount=1
entry.1.alias.0=YmFjLTctMTA=
entry.2.code=TEFCLVFOQ04tOA==
entry.2.kind=2
entry.2.name=TmjDom4gY8O0bmcgdGjhu6MgYuG6rWMgOC8xMA==
entry.2.unit=d29ya2VyLWRheQ==
entry.2.basePrice=517500
entry.2.sourceDate=2026-08-0</vt:lpwstr>
  </property>
  <property fmtid="{D5CDD505-2E9C-101B-9397-08002B2CF9AE}" pid="17" name="TTBMVN.PriceProfile.Part.4fddd3b4fffe45e6b4c638ab6bcb62e8.0005">
    <vt:lpwstr>3
entry.2.sourceKind=2
entry.2.sourceReference=V29ya2Jvb2s6U2hlZXQyMCFGMTU=
entry.2.legacyLookupName=TmjDom4gY8O0bmcgdGjhu6MgYuG6rWMgOC8xMA==
entry.2.aliasCount=1
entry.2.alias.0=YmFjLTgtMTA=
entry.3.code=TEVHQUNZLU1BVC1OQUlMLVRXTy1QUk9ORy1</vt:lpwstr>
  </property>
  <property fmtid="{D5CDD505-2E9C-101B-9397-08002B2CF9AE}" pid="18" name="TTBMVN.PriceProfile.Part.4fddd3b4fffe45e6b4c638ab6bcb62e8.0006">
    <vt:lpwstr>FQUNI
entry.3.kind=1
entry.3.name=xJBpbmggMiBt4buP
entry.3.unit=ZWFjaA==
entry.3.basePrice=6000
entry.3.sourceDate=2026-08-03
entry.3.sourceKind=2
entry.3.sourceReference=V29ya2Jvb2s6U2hlZXQyMCFGODk=
entry.3.legacyLookupName=xJBpbmggMiBt4bu</vt:lpwstr>
  </property>
  <property fmtid="{D5CDD505-2E9C-101B-9397-08002B2CF9AE}" pid="19" name="TTBMVN.PriceProfile.Part.4fddd3b4fffe45e6b4c638ab6bcb62e8.0007">
    <vt:lpwstr>P
entry.3.aliasCount=0
entry.4.code=TEVHQUNZLU1BVC1OWUxPTi1ST1BFLTEwTU0=
entry.4.kind=1
entry.4.name=RMOieSBOaWxvbiBwaGkgMTBtbQ==
entry.4.unit=bQ==
entry.4.basePrice=2000
entry.4.sourceDate=2026-08-03
entry.4.sourceKind=2
entry.4.sourceRefe</vt:lpwstr>
  </property>
  <property fmtid="{D5CDD505-2E9C-101B-9397-08002B2CF9AE}" pid="20" name="TTBMVN.PriceProfile.Part.4fddd3b4fffe45e6b4c638ab6bcb62e8.0008">
    <vt:lpwstr>rence=V29ya2Jvb2s6U2hlZXQyMCFGOTg=
entry.4.legacyLookupName=RMOieSBOaWxvbiBwaGkgMTBtbQ==
entry.4.aliasCount=0
entry.5.code=TUFDSElORS1NMDEwLjAwMQ==
entry.5.kind=5
entry.5.name=TcOheSBkw7IgbcOsbg==
entry.5.unit=c2hpZnQ=
entry.5.basePrice=762</vt:lpwstr>
  </property>
  <property fmtid="{D5CDD505-2E9C-101B-9397-08002B2CF9AE}" pid="21" name="TTBMVN.PriceProfile.Part.4fddd3b4fffe45e6b4c638ab6bcb62e8.0009">
    <vt:lpwstr>996
entry.5.sourceDate=2026-08-03
entry.5.sourceKind=2
entry.5.sourceReference=V29ya2Jvb2s6U2hlZXQyMCFGMjM=
entry.5.legacyLookupName=TcOheSBkw7IgbcOsbg==
entry.5.aliasCount=2
entry.5.alias.0=TTAxMC4wMDE=
entry.5.alias.1=TTAxMS4wMDE=
entry.6</vt:lpwstr>
  </property>
  <property fmtid="{D5CDD505-2E9C-101B-9397-08002B2CF9AE}" pid="22" name="TTBMVN.PriceProfile.Part.4fddd3b4fffe45e6b4c638ab6bcb62e8.0010">
    <vt:lpwstr>.code=TUFDSElORS1NMDEwLjAwMg==
entry.6.kind=5
entry.6.name=TcOheSBkw7IgYm9tIHRyw6puIGPhuqFu
entry.6.unit=c2hpZnQ=
entry.6.basePrice=1070324
entry.6.sourceDate=2026-08-03
entry.6.sourceKind=2
entry.6.sourceReference=V29ya2Jvb2s6U2hlZXQyMCFGM</vt:lpwstr>
  </property>
  <property fmtid="{D5CDD505-2E9C-101B-9397-08002B2CF9AE}" pid="23" name="TTBMVN.PriceProfile.Part.4fddd3b4fffe45e6b4c638ab6bcb62e8.0011">
    <vt:lpwstr>jk=
entry.6.legacyLookupName=TcOheSBkw7IgYm9tIHRyw6puIGPhuqFu
entry.6.aliasCount=2
entry.6.alias.0=TTAxMC4wMDI=
entry.6.alias.1=TTAxMS4wMDI=
entry.7.code=TUFDSElORS1NMDEwLjAwOA==
entry.7.kind=5
entry.7.name=TcOheSBkw7IgYm9tIGTGsOG7m2kgbsaw4</vt:lpwstr>
  </property>
  <property fmtid="{D5CDD505-2E9C-101B-9397-08002B2CF9AE}" pid="24" name="TTBMVN.PriceProfile.Part.4fddd3b4fffe45e6b4c638ab6bcb62e8.0012">
    <vt:lpwstr>bubYw==
entry.7.unit=c2hpZnQ=
entry.7.basePrice=1587824
entry.7.sourceDate=2026-08-03
entry.7.sourceKind=2
entry.7.sourceReference=V29ya2Jvb2s6U2hlZXQyMCFGMzU=
entry.7.legacyLookupName=TcOheSBkw7IgYm9tIGTGsOG7m2kgbsaw4bubYw==
entry.7.aliasC</vt:lpwstr>
  </property>
  <property fmtid="{D5CDD505-2E9C-101B-9397-08002B2CF9AE}" pid="25" name="TTBMVN.PriceProfile.Part.4fddd3b4fffe45e6b4c638ab6bcb62e8.0013">
    <vt:lpwstr>ount=2
entry.7.alias.0=TTAxMC4wMDg=
entry.7.alias.1=TTAxMS4wMDg=
entry.8.code=TUFDSElORS1NMDEwLjAwOQ==
entry.8.kind=5
entry.8.name=VGh1eeG7gW4gY2FvIHN1IHRp4buDdQ==
entry.8.unit=c2hpZnQ=
entry.8.basePrice=518226
entry.8.sourceDate=2026-08-03</vt:lpwstr>
  </property>
  <property fmtid="{D5CDD505-2E9C-101B-9397-08002B2CF9AE}" pid="26" name="TTBMVN.PriceProfile.Part.4fddd3b4fffe45e6b4c638ab6bcb62e8.0014">
    <vt:lpwstr>
entry.8.sourceKind=2
entry.8.sourceReference=V29ya2Jvb2s6U2hlZXQyMCFGNDE=
entry.8.legacyLookupName=VGh1eeG7gW4gY2FvIHN1IHRp4buDdQ==
entry.8.aliasCount=2
entry.8.alias.0=TTAxMC4wMDk=
entry.8.alias.1=TTAxMS4wMDk=
entry.9.code=TUFDSElORS1NMDE</vt:lpwstr>
  </property>
  <property fmtid="{D5CDD505-2E9C-101B-9397-08002B2CF9AE}" pid="27" name="TTBMVN.PriceProfile.Part.4fddd3b4fffe45e6b4c638ab6bcb62e8.0015">
    <vt:lpwstr>wLjAxMA==
entry.9.kind=5
entry.9.name=VGh1eeG7gW4gY2FvIHN1IHRydW5n
entry.9.unit=c2hpZnQ=
entry.9.basePrice=554101
entry.9.sourceDate=2026-08-03
entry.9.sourceKind=2
entry.9.sourceReference=V29ya2Jvb2s6U2hlZXQyMCFGNDY=
entry.9.legacyLookupNa</vt:lpwstr>
  </property>
  <property fmtid="{D5CDD505-2E9C-101B-9397-08002B2CF9AE}" pid="28" name="TTBMVN.PriceProfile.Part.4fddd3b4fffe45e6b4c638ab6bcb62e8.0016">
    <vt:lpwstr>me=VGh1eeG7gW4gY2FvIHN1IHRydW5n
entry.9.aliasCount=2
entry.9.alias.0=TTAxMC4wMTA=
entry.9.alias.1=TTAxMS4wMTA=
entry.10.code=TUFDSElORS1NMDEwLjAyMw==
entry.10.kind=5
entry.10.name=VGhp4bq/dCBi4buLIHPDs2kgdsOgIGjDunQgYsO5biBjw6F0
entry.10.un</vt:lpwstr>
  </property>
  <property fmtid="{D5CDD505-2E9C-101B-9397-08002B2CF9AE}" pid="29" name="TTBMVN.PriceProfile.Part.4fddd3b4fffe45e6b4c638ab6bcb62e8.0017">
    <vt:lpwstr>it=c2hpZnQ=
entry.10.basePrice=2946909
entry.10.sourceDate=2026-08-03
entry.10.sourceKind=2
entry.10.sourceReference=V29ya2Jvb2s6U2hlZXQyMCFGNTY=
entry.10.legacyLookupName=VGhp4bq/dCBi4buLIHPDs2kgdsOgIGjDunQgYsO5biBjw6F0
entry.10.aliasCount</vt:lpwstr>
  </property>
  <property fmtid="{D5CDD505-2E9C-101B-9397-08002B2CF9AE}" pid="30" name="TTBMVN.PriceProfile.Part.4fddd3b4fffe45e6b4c638ab6bcb62e8.0018">
    <vt:lpwstr>=2
entry.10.alias.0=TTAxMC4wMjM=
entry.10.alias.1=TTAxMS4wMjM=
entry.11.code=TUFDSElORS1NMDEwLjAyNw==
entry.11.kind=5
entry.11.name=VGh1eeG7gW4gQ29tcG9zaXQ=
entry.11.unit=c2hpZnQ=
entry.11.basePrice=995354
entry.11.sourceDate=2026-08-03
ent</vt:lpwstr>
  </property>
  <property fmtid="{D5CDD505-2E9C-101B-9397-08002B2CF9AE}" pid="31" name="TTBMVN.PriceProfile.Part.4fddd3b4fffe45e6b4c638ab6bcb62e8.0019">
    <vt:lpwstr>ry.11.sourceKind=2
entry.11.sourceReference=V29ya2Jvb2s6U2hlZXQyMCFGNTE=
entry.11.legacyLookupName=VGh1eeG7gW4gQ29tcG9zaXQ=
entry.11.aliasCount=2
entry.11.alias.0=TTAxMC4wMjc=
entry.11.alias.1=TTAxMS4wMjc=
entry.12.code=TUFDSElORS1NMDEwLjAy</vt:lpwstr>
  </property>
  <property fmtid="{D5CDD505-2E9C-101B-9397-08002B2CF9AE}" pid="32" name="TTBMVN.PriceProfile.Part.4fddd3b4fffe45e6b4c638ab6bcb62e8.0020">
    <vt:lpwstr>OQ==
entry.12.kind=5
entry.12.name=VGhp4bq/dCBi4buLIGzhurduIHPDonUgMCw1bSAtIDNt
entry.12.unit=c2hpZnQ=
entry.12.basePrice=1105582
entry.12.sourceDate=2026-08-03
entry.12.sourceKind=2
entry.12.sourceReference=V29ya2Jvb2s6U2hlZXQyMCFGNjI=
ent</vt:lpwstr>
  </property>
  <property fmtid="{D5CDD505-2E9C-101B-9397-08002B2CF9AE}" pid="33" name="TTBMVN.PriceProfile.Part.4fddd3b4fffe45e6b4c638ab6bcb62e8.0021">
    <vt:lpwstr>ry.12.legacyLookupName=VGhp4bq/dCBi4buLIGzhurduIHPDonUgMCw1bSAtIDNt
entry.12.aliasCount=2
entry.12.alias.0=TTAxMC4wMjk=
entry.12.alias.1=TTAxMS4wMjk=
entry.13.code=TUFDSElORS1NMDEwLjAzMA==
entry.13.kind=5
entry.13.name=VGhp4bq/dCBi4buLIGzhu</vt:lpwstr>
  </property>
  <property fmtid="{D5CDD505-2E9C-101B-9397-08002B2CF9AE}" pid="34" name="TTBMVN.PriceProfile.Part.4fddd3b4fffe45e6b4c638ab6bcb62e8.0022">
    <vt:lpwstr>rduIHPDonUgM20gLSA2bQ==
entry.13.unit=c2hpZnQ=
entry.13.basePrice=1108263
entry.13.sourceDate=2026-08-03
entry.13.sourceKind=2
entry.13.sourceReference=V29ya2Jvb2s6U2hlZXQyMCFGNjc=
entry.13.legacyLookupName=VGhp4bq/dCBi4buLIGzhurduIHPDonUgM</vt:lpwstr>
  </property>
  <property fmtid="{D5CDD505-2E9C-101B-9397-08002B2CF9AE}" pid="35" name="TTBMVN.PriceProfile.Part.4fddd3b4fffe45e6b4c638ab6bcb62e8.0023">
    <vt:lpwstr>20gLSA2bQ==
entry.13.aliasCount=2
entry.13.alias.0=TTAxMC4wMzA=
entry.13.alias.1=TTAxMS4wMzA=
entry.14.code=TUFDSElORS1NMDEwLjAzMQ==
entry.14.kind=5
entry.14.name=VGhp4bq/dCBi4buLIGzhurduIHPDonUgNm0gLSAxMm0=
entry.14.unit=c2hpZnQ=
entry.14.</vt:lpwstr>
  </property>
  <property fmtid="{D5CDD505-2E9C-101B-9397-08002B2CF9AE}" pid="36" name="TTBMVN.PriceProfile.Part.4fddd3b4fffe45e6b4c638ab6bcb62e8.0024">
    <vt:lpwstr>basePrice=1112914
entry.14.sourceDate=2026-08-03
entry.14.sourceKind=2
entry.14.sourceReference=V29ya2Jvb2s6U2hlZXQyMCFGNzI=
entry.14.legacyLookupName=VGhp4bq/dCBi4buLIGzhurduIHPDonUgNm0gLSAxMm0=
entry.14.aliasCount=2
entry.14.alias.0=TTAxM</vt:lpwstr>
  </property>
  <property fmtid="{D5CDD505-2E9C-101B-9397-08002B2CF9AE}" pid="37" name="TTBMVN.PriceProfile.Part.4fddd3b4fffe45e6b4c638ab6bcb62e8.0025">
    <vt:lpwstr>C4wMzE=
entry.14.alias.1=TTAxMS4wMzE=
entry.15.code=TUFULUFOQ0hPUi0yMEtH
entry.15.kind=1
entry.15.name=TeG7jyBuZW8gbG/huqFpIDIwIGtn
entry.15.unit=ZWFjaA==
entry.15.basePrice=200000
entry.15.sourceDate=2026-08-03
entry.15.sourceKind=2
entry.</vt:lpwstr>
  </property>
  <property fmtid="{D5CDD505-2E9C-101B-9397-08002B2CF9AE}" pid="38" name="TTBMVN.PriceProfile.Part.4fddd3b4fffe45e6b4c638ab6bcb62e8.0026">
    <vt:lpwstr>15.sourceReference=V29ya2Jvb2s6U2hlZXQyMCFGOTM=
entry.15.legacyLookupName=TeG7jyBuZW8gbG/huqFpIDIwIGtn
entry.15.aliasCount=0
entry.16.code=TUFULUFOQ0hPUi01MEtH
entry.16.kind=1
entry.16.name=TeG7jyBuZW8gbG/huqFpIDUwIGtn
entry.16.unit=ZWFjaA=</vt:lpwstr>
  </property>
  <property fmtid="{D5CDD505-2E9C-101B-9397-08002B2CF9AE}" pid="39" name="TTBMVN.PriceProfile.Part.4fddd3b4fffe45e6b4c638ab6bcb62e8.0027">
    <vt:lpwstr>=
entry.16.basePrice=500000
entry.16.sourceDate=2026-08-03
entry.16.sourceKind=2
entry.16.sourceReference=V29ya2Jvb2s6U2hlZXQyMCFGOTI=
entry.16.legacyLookupName=TeG7jyBuZW8gbG/huqFpIDUwIGtn
entry.16.aliasCount=0
entry.17.code=TUFULUJBTUJPTy</vt:lpwstr>
  </property>
  <property fmtid="{D5CDD505-2E9C-101B-9397-08002B2CF9AE}" pid="40" name="TTBMVN.PriceProfile.Part.4fddd3b4fffe45e6b4c638ab6bcb62e8.0028">
    <vt:lpwstr>1QT0xF
entry.17.kind=1
entry.17.name=U8OgbyB0cmUgZD03LCBMPTUwMCBDbQ==
entry.17.unit=ZWFjaA==
entry.17.basePrice=10000
entry.17.sourceDate=2026-08-03
entry.17.sourceKind=2
entry.17.sourceReference=V29ya2Jvb2s6U2hlZXQyMCFGOTE=
entry.17.legacy</vt:lpwstr>
  </property>
  <property fmtid="{D5CDD505-2E9C-101B-9397-08002B2CF9AE}" pid="41" name="TTBMVN.PriceProfile.Part.4fddd3b4fffe45e6b4c638ab6bcb62e8.0029">
    <vt:lpwstr>LookupName=U8OgbyB0cmUgZD03LCBMPTUwMCBDbQ==
entry.17.aliasCount=0
entry.18.code=TUFULUJBTUJPTy1TVEFLRQ==
entry.18.kind=1
entry.18.name=Q+G7jWMgdHJlIGQ9OCwgTD0yMDAgQ20=
entry.18.unit=ZWFjaA==
entry.18.basePrice=10000
entry.18.sourceDate=2026</vt:lpwstr>
  </property>
  <property fmtid="{D5CDD505-2E9C-101B-9397-08002B2CF9AE}" pid="42" name="TTBMVN.PriceProfile.Part.4fddd3b4fffe45e6b4c638ab6bcb62e8.0030">
    <vt:lpwstr>-08-03
entry.18.sourceKind=2
entry.18.sourceReference=V29ya2Jvb2s6U2hlZXQyMCFGODY=
entry.18.legacyLookupName=Q+G7jWMgdHJlIGQ9OCwgTD0yMDAgQ20=
entry.18.aliasCount=0
entry.19.code=TUFULUNPTkNSRVRFLVNUQUtF
entry.19.kind=1
entry.19.name=Q+G7jWM</vt:lpwstr>
  </property>
  <property fmtid="{D5CDD505-2E9C-101B-9397-08002B2CF9AE}" pid="43" name="TTBMVN.PriceProfile.Part.4fddd3b4fffe45e6b4c638ab6bcb62e8.0031">
    <vt:lpwstr>gYsOqIHTDtG5nIGPhu5F0IHRow6lwICgxMngxMngxMjApY20=
entry.19.unit=ZWFjaA==
entry.19.basePrice=100000
entry.19.sourceDate=2026-08-03
entry.19.sourceKind=2
entry.19.sourceReference=V29ya2Jvb2s6U2hlZXQyMCFGODE=
entry.19.legacyLookupName=Q+G7jWMg</vt:lpwstr>
  </property>
  <property fmtid="{D5CDD505-2E9C-101B-9397-08002B2CF9AE}" pid="44" name="TTBMVN.PriceProfile.Part.4fddd3b4fffe45e6b4c638ab6bcb62e8.0032">
    <vt:lpwstr>YsOqIHTDtG5nIGPhu5F0IHRow6lwICgxMngxMngxMjApY20=
entry.19.aliasCount=0
entry.20.code=TUFULUxBUkdFLUZMT0FU
entry.20.kind=1
entry.20.name=UGhhbyBs4bubbiAxbTM=
entry.20.unit=ZWFjaA==
entry.20.basePrice=100000
entry.20.sourceDate=2026-08-03
ent</vt:lpwstr>
  </property>
  <property fmtid="{D5CDD505-2E9C-101B-9397-08002B2CF9AE}" pid="45" name="TTBMVN.PriceProfile.Part.4fddd3b4fffe45e6b4c638ab6bcb62e8.0033">
    <vt:lpwstr>ry.20.sourceKind=2
entry.20.sourceReference=V29ya2Jvb2s6U2hlZXQyMCFGOTU=
entry.20.legacyLookupName=UGhhbyBs4bubbiAxbTM=
entry.20.aliasCount=0
entry.21.code=TUFULU5BSUwtMTBDTQ==
entry.21.kind=1
entry.21.name=xJBpbmggMTAgY20=
entry.21.unit=a2</vt:lpwstr>
  </property>
  <property fmtid="{D5CDD505-2E9C-101B-9397-08002B2CF9AE}" pid="46" name="TTBMVN.PriceProfile.Part.4fddd3b4fffe45e6b4c638ab6bcb62e8.0034">
    <vt:lpwstr>c=
entry.21.basePrice=23100
entry.21.sourceDate=2026-08-03
entry.21.sourceKind=2
entry.21.sourceReference=V29ya2Jvb2s6U2hlZXQyMCFGODg=
entry.21.legacyLookupName=xJBpbmggMTAgY20=
entry.21.aliasCount=0
entry.22.code=TUFULVBMQVNUSUMtRkxPQVQ=
e</vt:lpwstr>
  </property>
  <property fmtid="{D5CDD505-2E9C-101B-9397-08002B2CF9AE}" pid="47" name="TTBMVN.PriceProfile.Part.4fddd3b4fffe45e6b4c638ab6bcb62e8.0035">
    <vt:lpwstr>ntry.22.kind=1
entry.22.name=UGhhbyBuaOG7sWEgdHLDsm4gcGhpIDMwIGNt
entry.22.unit=ZWFjaA==
entry.22.basePrice=50000
entry.22.sourceDate=2026-08-03
entry.22.sourceKind=2
entry.22.sourceReference=V29ya2Jvb2s6U2hlZXQyMCFGOTY=
entry.22.legacyLook</vt:lpwstr>
  </property>
  <property fmtid="{D5CDD505-2E9C-101B-9397-08002B2CF9AE}" pid="48" name="TTBMVN.PriceProfile.Part.4fddd3b4fffe45e6b4c638ab6bcb62e8.0036">
    <vt:lpwstr>upName=UGhhbyBuaOG7sWEgdHLDsm4gcGhpIDMwIGNt
entry.22.aliasCount=0
entry.23.code=TUFULVJFRC1GTEFH
entry.23.kind=1
entry.23.name=Q+G7nSDEkeG7jyDEkXXDtGkgbmhlbw==
entry.23.unit=ZWFjaA==
entry.23.basePrice=2500
entry.23.sourceDate=2026-08-03
en</vt:lpwstr>
  </property>
  <property fmtid="{D5CDD505-2E9C-101B-9397-08002B2CF9AE}" pid="49" name="TTBMVN.PriceProfile.Part.4fddd3b4fffe45e6b4c638ab6bcb62e8.0037">
    <vt:lpwstr>try.23.sourceKind=2
entry.23.sourceReference=V29ya2Jvb2s6U2hlZXQyMCFGODM=
entry.23.legacyLookupName=Q+G7nSDEkeG7jyDEkXXDtGkgbmhlbw==
entry.23.aliasCount=0
entry.24.code=TUFULVJFRC1GTEFHLUxBUkdF
entry.24.kind=1
entry.24.name=Q+G7nSDEkeG7jyB0</vt:lpwstr>
  </property>
  <property fmtid="{D5CDD505-2E9C-101B-9397-08002B2CF9AE}" pid="50" name="TTBMVN.PriceProfile.Part.4fddd3b4fffe45e6b4c638ab6bcb62e8.0038">
    <vt:lpwstr>byAoIDQwIHggNjAgKSBjbQ==
entry.24.unit=ZWFjaA==
entry.24.basePrice=10000
entry.24.sourceDate=2026-08-03
entry.24.sourceKind=2
entry.24.sourceReference=V29ya2Jvb2s6U2hlZXQyMCFGODQ=
entry.24.legacyLookupName=Q+G7nSDEkeG7jyB0byAoIDQwIHggNjAgKS</vt:lpwstr>
  </property>
  <property fmtid="{D5CDD505-2E9C-101B-9397-08002B2CF9AE}" pid="51" name="TTBMVN.PriceProfile.Part.4fddd3b4fffe45e6b4c638ab6bcb62e8.0039">
    <vt:lpwstr>BjbQ==
entry.24.aliasCount=0
entry.25.code=TUFULVJPUEUtMTBNTQ==
entry.25.kind=1
entry.25.name=RMOieSB0aOG7q25nIDEwIG1t
entry.25.unit=bQ==
entry.25.basePrice=2000
entry.25.sourceDate=2026-08-03
entry.25.sourceKind=2
entry.25.sourceReference=</vt:lpwstr>
  </property>
  <property fmtid="{D5CDD505-2E9C-101B-9397-08002B2CF9AE}" pid="52" name="TTBMVN.PriceProfile.Part.4fddd3b4fffe45e6b4c638ab6bcb62e8.0040">
    <vt:lpwstr>V29ya2Jvb2s6U2hlZXQyMCFGODU=
entry.25.legacyLookupName=RMOieSB0aOG7q25nIDEwIG1t
entry.25.aliasCount=0
entry.26.code=TUFULVJPUEUtMTJNTQ==
entry.26.kind=1
entry.26.name=RMOieSBOaWxvbiBwaGkgMTJtbQ==
entry.26.unit=bQ==
entry.26.basePrice=2500
e</vt:lpwstr>
  </property>
  <property fmtid="{D5CDD505-2E9C-101B-9397-08002B2CF9AE}" pid="53" name="TTBMVN.PriceProfile.Part.4fddd3b4fffe45e6b4c638ab6bcb62e8.0041">
    <vt:lpwstr>ntry.26.sourceDate=2026-08-03
entry.26.sourceKind=2
entry.26.sourceReference=V29ya2Jvb2s6U2hlZXQyMCFGOTk=
entry.26.legacyLookupName=RMOieSBOaWxvbiBwaGkgMTJtbQ==
entry.26.aliasCount=0
entry.27.code=TUFULVJPUEUtMThNTQ==
entry.27.kind=1
entry.</vt:lpwstr>
  </property>
  <property fmtid="{D5CDD505-2E9C-101B-9397-08002B2CF9AE}" pid="54" name="TTBMVN.PriceProfile.Part.4fddd3b4fffe45e6b4c638ab6bcb62e8.0042">
    <vt:lpwstr>27.name=RMOieSBOaWxvbiBwaGkgMThtbQ==
entry.27.unit=bQ==
entry.27.basePrice=3000
entry.27.sourceDate=2026-08-03
entry.27.sourceKind=2
entry.27.sourceReference=V29ya2Jvb2s6U2hlZXQyMCFGMTAw
entry.27.legacyLookupName=RMOieSBOaWxvbiBwaGkgMThtbQ=</vt:lpwstr>
  </property>
  <property fmtid="{D5CDD505-2E9C-101B-9397-08002B2CF9AE}" pid="55" name="TTBMVN.PriceProfile.Part.4fddd3b4fffe45e6b4c638ab6bcb62e8.0043">
    <vt:lpwstr>=
entry.27.aliasCount=0
entry.28.code=TUFULVNNQUxMLUZMT0FU
entry.28.kind=1
entry.28.name=UGhhbyBuaOG7jyBwaGkgMTIgY20=
entry.28.unit=ZWFjaA==
entry.28.basePrice=10000
entry.28.sourceDate=2026-08-03
entry.28.sourceKind=2
entry.28.sourceRefere</vt:lpwstr>
  </property>
  <property fmtid="{D5CDD505-2E9C-101B-9397-08002B2CF9AE}" pid="56" name="TTBMVN.PriceProfile.Part.4fddd3b4fffe45e6b4c638ab6bcb62e8.0044">
    <vt:lpwstr>nce=V29ya2Jvb2s6U2hlZXQyMCFGOTc=
entry.28.legacyLookupName=UGhhbyBuaOG7jyBwaGkgMTIgY20=
entry.28.aliasCount=0
entry.29.code=TUFULVNQRUNJQUwtQU5DSE9S
entry.29.kind=1
entry.29.name=TeG7jyBuZW8gxJHhurdjIGJp4buHdCBsb+G6oWkgMjBrZw==
entry.29.uni</vt:lpwstr>
  </property>
  <property fmtid="{D5CDD505-2E9C-101B-9397-08002B2CF9AE}" pid="57" name="TTBMVN.PriceProfile.Part.4fddd3b4fffe45e6b4c638ab6bcb62e8.0045">
    <vt:lpwstr>t=ZWFjaA==
entry.29.basePrice=300000
entry.29.sourceDate=2026-08-03
entry.29.sourceKind=2
entry.29.sourceReference=V29ya2Jvb2s6U2hlZXQyMCFGOTQ=
entry.29.legacyLookupName=TeG7jyBuZW8gxJHhurdjIGJp4buHdCBsb+G6oWkgMjBrZw==
entry.29.aliasCount=0</vt:lpwstr>
  </property>
  <property fmtid="{D5CDD505-2E9C-101B-9397-08002B2CF9AE}" pid="58" name="TTBMVN.PriceProfile.Part.4fddd3b4fffe45e6b4c638ab6bcb62e8.0046">
    <vt:lpwstr>
entry.30.code=TUFULVNURUVMLUVYQ0FWQVRJT04tRlJBTUU=
entry.30.kind=1
entry.30.name=S2h1bmcgZ2lhIGPDtG5nIGLhurFuZyB0w7RuIDNtbSB2w6Agc+G6r3QgZ8OzYyAoNDV4NDUpbW0=
entry.30.unit=a2c=
entry.30.basePrice=22000
entry.30.sourceDate=2026-08-03
entry.</vt:lpwstr>
  </property>
  <property fmtid="{D5CDD505-2E9C-101B-9397-08002B2CF9AE}" pid="59" name="TTBMVN.PriceProfile.Part.4fddd3b4fffe45e6b4c638ab6bcb62e8.0047">
    <vt:lpwstr>30.sourceKind=2
entry.30.sourceReference=V29ya2Jvb2s6U2hlZXQyMCFGMTAx
entry.30.legacyLookupName=S2h1bmcgZ2lhIGPDtG5nIGLhurFuZyB0w7RuIDNtbSB2w6Agc+G6r3QgZ8OzYyAoNDV4NDUpbW0=
entry.30.aliasCount=0
entry.31.code=TUFULVdJUkUtMk1N
entry.31.kind=</vt:lpwstr>
  </property>
  <property fmtid="{D5CDD505-2E9C-101B-9397-08002B2CF9AE}" pid="60" name="TTBMVN.PriceProfile.Part.4fddd3b4fffe45e6b4c638ab6bcb62e8.0048">
    <vt:lpwstr>1
entry.31.name=RMOieSB0aMOpcCBideG7mWMgMiBseQ==
entry.31.unit=a2c=
entry.31.basePrice=18500
entry.31.sourceDate=2026-08-03
entry.31.sourceKind=2
entry.31.sourceReference=V29ya2Jvb2s6U2hlZXQyMCFGOTA=
entry.31.legacyLookupName=RMOieSB0aMOpcC</vt:lpwstr>
  </property>
  <property fmtid="{D5CDD505-2E9C-101B-9397-08002B2CF9AE}" pid="61" name="TTBMVN.PriceProfile.Part.4fddd3b4fffe45e6b4c638ab6bcb62e8.0049">
    <vt:lpwstr>BideG7mWMgMiBseQ==
entry.31.aliasCount=0
entry.32.code=TUFULVdPT0QtQk9BUkQ=
entry.32.kind=1
entry.32.name=VsOhbiBn4buXIGTDoHkgMyBDbQ==
entry.32.unit=bTM=
entry.32.basePrice=3363636
entry.32.sourceDate=2026-08-03
entry.32.sourceKind=2
entry.</vt:lpwstr>
  </property>
  <property fmtid="{D5CDD505-2E9C-101B-9397-08002B2CF9AE}" pid="62" name="TTBMVN.PriceProfile.Part.4fddd3b4fffe45e6b4c638ab6bcb62e8.0050">
    <vt:lpwstr>32.sourceReference=V29ya2Jvb2s6U2hlZXQyMCFGODc=
entry.32.legacyLookupName=VsOhbiBn4buXIGTDoHkgMyBDbQ==
entry.32.aliasCount=0
entry.33.code=TUFULVdPT0QtU1RBS0U=
entry.33.kind=1
entry.33.name=Q+G7jWMgZ+G7lyBkID0gM2NtLCBMPSA1MCBjbQ==
entry.33.</vt:lpwstr>
  </property>
  <property fmtid="{D5CDD505-2E9C-101B-9397-08002B2CF9AE}" pid="63" name="TTBMVN.PriceProfile.Part.4fddd3b4fffe45e6b4c638ab6bcb62e8.0051">
    <vt:lpwstr>unit=ZWFjaA==
entry.33.basePrice=8000
entry.33.sourceDate=2026-08-03
entry.33.sourceKind=2
entry.33.sourceReference=V29ya2Jvb2s6U2hlZXQyMCFGODI=
entry.33.legacyLookupName=Q+G7jWMgZ+G7lyBkID0gM2NtLCBMPSA1MCBjbQ==
entry.33.aliasCount=0
overri</vt:lpwstr>
  </property>
  <property fmtid="{D5CDD505-2E9C-101B-9397-08002B2CF9AE}" pid="64" name="TTBMVN.PriceProfile.Part.4fddd3b4fffe45e6b4c638ab6bcb62e8.0052">
    <vt:lpwstr>deCount=0
checksum=8345661796B51CC48A6E4821015ECA03F301FAA2D4E3168C5AD34C0108100C87</vt:lpwstr>
  </property>
  <property fmtid="{D5CDD505-2E9C-101B-9397-08002B2CF9AE}" pid="65" name="TTBMVN.PriceProfile.Manifest">
    <vt:lpwstr>1|4fddd3b4fffe45e6b4c638ab6bcb62e8|53|4F741B8B555B884720CFAA7CFAD37E55149EA91D158E1D2836ED723880F5D6DB</vt:lpwstr>
  </property>
  <property fmtid="{D5CDD505-2E9C-101B-9397-08002B2CF9AE}" pid="66" name="TTBMVN.ResultAudit.Manifest">
    <vt:lpwstr>1|b24958dd8ddf45b1a9686d30672dfaf5|112|FB103C145EC8E41AF777B21B722D61229132557BE0FE91D1C829B9F27C299622</vt:lpwstr>
  </property>
  <property fmtid="{D5CDD505-2E9C-101B-9397-08002B2CF9AE}" pid="67" name="TTBMVN.ResultAudit.Part.b24958dd8ddf45b1a9686d30672dfaf5.0000">
    <vt:lpwstr>TTBMVN_RESULT_AUDIT
schema=1
entries=22
entry|RVNUfFNoZWV0MjR8MTI=|RXN0aW1hdGVBcHBlbmRpeA==|1|U2hlZXQyNA==|RXN0aW1hdGVBcHBlbmRpeA==|12|6|12|14|UGjDoXQgcXVhbmcgbeG6t3QgYuG6sW5nIHTGsMahbmcgxJHGsMahbmcgcuG7q25nIGxv4bqhaSAxLCBjaGnhur9tIDUwJSBka</vt:lpwstr>
  </property>
  <property fmtid="{D5CDD505-2E9C-101B-9397-08002B2CF9AE}" pid="68" name="TTBMVN.ResultAudit.Part.b24958dd8ddf45b1a9686d30672dfaf5.0001">
    <vt:lpwstr>eG7h24gdMOtY2ggY+G6oW4sIGtow7RuZyBwaOG6o2kgYsOjaSBtw6xu|QlFQLVJQQk0tMjAyNQ==|Mi4wLjE=|E2537C08E7156414585BEFC446E74DD51E79AB8D67A3774B1F5250E7EECCDA90|VEVTVC1EVDEwMy1QUklDRS1CQVNFTElORQ==|MS4wLjA=|8345661796B51CC48A6E4821015ECA03F301FAA2D4E</vt:lpwstr>
  </property>
  <property fmtid="{D5CDD505-2E9C-101B-9397-08002B2CF9AE}" pid="69" name="TTBMVN.ResultAudit.Part.b24958dd8ddf45b1a9686d30672dfaf5.0002">
    <vt:lpwstr>3168C5AD34C0108100C87|Tk9STS0wMTAuMDIwMA==|Zm9yZXN0LTE=
source|RVNUfFNoZWV0MjR8MTI=|1|VkJITjk3LTIwMjUtQlFQ|21|21|UGjhu6UgbOG7pWMgSSwgUGjhuqduIElJLCBDaMawxqFuZyBJSSwgbeG7pWMgMg==|
source|RVNUfFNoZWV0MjR8MTI=|2||0|0||V29ya2Jvb2s6U2hlZXQyMCFGM</vt:lpwstr>
  </property>
  <property fmtid="{D5CDD505-2E9C-101B-9397-08002B2CF9AE}" pid="70" name="TTBMVN.ResultAudit.Part.b24958dd8ddf45b1a9686d30672dfaf5.0003">
    <vt:lpwstr>TE=
source|RVNUfFNoZWV0MjR8MTI=|3||0|0||Uk9VTkQoRDEzKlAxMiUsMyk=
source|RVNUfFNoZWV0MjR8MTI=|4||0|0||U2hlZXQyNCFGMTI6TjEy
source|RVNUfFNoZWV0MjR8MTI=|6||0|0||VFRCTVZOX1BMQU58VEVGT1JIeE9UMUpOTFRBeE1DNHdNakF3ZkdadmNtVnpkQzB4ZkRFPXxURUZPUkE9PX</vt:lpwstr>
  </property>
  <property fmtid="{D5CDD505-2E9C-101B-9397-08002B2CF9AE}" pid="71" name="TTBMVN.ResultAudit.Part.b24958dd8ddf45b1a9686d30672dfaf5.0004">
    <vt:lpwstr>xVbml0UmF0ZUxhbmR8MTF8fA==
entry|RVNUfFNoZWV0MjR8MTM=|RXN0aW1hdGVBcHBlbmRpeA==|1|U2hlZXQyNA==|RXN0aW1hdGVBcHBlbmRpeA==|13|6|13|14|RMOyIHTDrG0gdHLDqm4gY+G6oW4gxJHhur9uIMSR4buZIHPDonUgMCwzbS4gTeG6rXQgxJHhu5kgMQ==|QlFQLVJQQk0tMjAyNQ==|Mi4wLjE=</vt:lpwstr>
  </property>
  <property fmtid="{D5CDD505-2E9C-101B-9397-08002B2CF9AE}" pid="72" name="TTBMVN.ResultAudit.Part.b24958dd8ddf45b1a9686d30672dfaf5.0005">
    <vt:lpwstr>|E2537C08E7156414585BEFC446E74DD51E79AB8D67A3774B1F5250E7EECCDA90|VEVTVC1EVDEwMy1QUklDRS1CQVNFTElORQ==|MS4wLjA=|8345661796B51CC48A6E4821015ECA03F301FAA2D4E3168C5AD34C0108100C87|Tk9STS0wMjAuMDIwMA==|ZGVuc2l0eS0x
source|RVNUfFNoZWV0MjR8MTM=|1</vt:lpwstr>
  </property>
  <property fmtid="{D5CDD505-2E9C-101B-9397-08002B2CF9AE}" pid="73" name="TTBMVN.ResultAudit.Part.b24958dd8ddf45b1a9686d30672dfaf5.0006">
    <vt:lpwstr>|VkJITjk3LTIwMjUtQlFQ|23|23|UGjhu6UgbOG7pWMgSSwgUGjhuqduIElJLCBDaMawxqFuZyBJSUksIG3hu6VjIDI=|
source|RVNUfFNoZWV0MjR8MTM=|2||0|0||V29ya2Jvb2s6U2hlZXQyMCFGMTE=
source|RVNUfFNoZWV0MjR8MTM=|2||0|0||V29ya2Jvb2s6U2hlZXQyMCFGMjM=
source|RVNUfFNoZ</vt:lpwstr>
  </property>
  <property fmtid="{D5CDD505-2E9C-101B-9397-08002B2CF9AE}" pid="74" name="TTBMVN.ResultAudit.Part.b24958dd8ddf45b1a9686d30672dfaf5.0007">
    <vt:lpwstr>WV0MjR8MTM=|2||0|0||V29ya2Jvb2s6U2hlZXQyMCFGODE=
source|RVNUfFNoZWV0MjR8MTM=|2||0|0||V29ya2Jvb2s6U2hlZXQyMCFGODI=
source|RVNUfFNoZWV0MjR8MTM=|2||0|0||V29ya2Jvb2s6U2hlZXQyMCFGODM=
source|RVNUfFNoZWV0MjR8MTM=|2||0|0||V29ya2Jvb2s6U2hlZXQyMCFGO</vt:lpwstr>
  </property>
  <property fmtid="{D5CDD505-2E9C-101B-9397-08002B2CF9AE}" pid="75" name="TTBMVN.ResultAudit.Part.b24958dd8ddf45b1a9686d30672dfaf5.0008">
    <vt:lpwstr>DU=
source|RVNUfFNoZWV0MjR8MTM=|3||0|0||VEhLTCFGMTg=
source|RVNUfFNoZWV0MjR8MTM=|4||0|0||U2hlZXQyNCFGMTM6TjEz
source|RVNUfFNoZWV0MjR8MTM=|6||0|0||VFRCTVZOX1BMQU58VEVGT1JIeE9UMUpOTFRBeU1DNHdNakF3ZkdSbGJuTnBkSGt0TVh3eHxURUZPUkE9PXxVbml0UmF0ZU</vt:lpwstr>
  </property>
  <property fmtid="{D5CDD505-2E9C-101B-9397-08002B2CF9AE}" pid="76" name="TTBMVN.ResultAudit.Part.b24958dd8ddf45b1a9686d30672dfaf5.0009">
    <vt:lpwstr>xhbmR8Mjl8fA==
entry|RVNUfFNoZWV0MjR8MTQ=|RXN0aW1hdGVBcHBlbmRpeA==|1|U2hlZXQyNA==|RXN0aW1hdGVBcHBlbmRpeA==|14|6|14|14|xJDDoG8sIHjhu60gbMO9IMSR4bq/biDEkeG7mSBzw6J1IDAsM20gKDcwIFRIL2hhKS4gxJDhuqV0IEMx|QlFQLVJQQk0tMjAyNQ==|Mi4wLjE=|E2537C08E71</vt:lpwstr>
  </property>
  <property fmtid="{D5CDD505-2E9C-101B-9397-08002B2CF9AE}" pid="77" name="TTBMVN.ResultAudit.Part.b24958dd8ddf45b1a9686d30672dfaf5.0010">
    <vt:lpwstr>56414585BEFC446E74DD51E79AB8D67A3774B1F5250E7EECCDA90|VEVTVC1EVDEwMy1QUklDRS1CQVNFTElORQ==|MS4wLjA=|8345661796B51CC48A6E4821015ECA03F301FAA2D4E3168C5AD34C0108100C87|Tk9STS0wMjAuMDMwMA==|c29pbC0x
source|RVNUfFNoZWV0MjR8MTQ=|1|VkJITjk3LTIwMjU</vt:lpwstr>
  </property>
  <property fmtid="{D5CDD505-2E9C-101B-9397-08002B2CF9AE}" pid="78" name="TTBMVN.ResultAudit.Part.b24958dd8ddf45b1a9686d30672dfaf5.0011">
    <vt:lpwstr>tQlFQ|23|24|UGjhu6UgbOG7pWMgSSwgUGjhuqduIElJLCBDaMawxqFuZyBJSUksIG3hu6VjIDM=|
source|RVNUfFNoZWV0MjR8MTQ=|2||0|0||V29ya2Jvb2s6U2hlZXQyMCFGMTU=
source|RVNUfFNoZWV0MjR8MTQ=|2||0|0||V29ya2Jvb2s6U2hlZXQyMCFGMjM=
source|RVNUfFNoZWV0MjR8MTQ=|3||0</vt:lpwstr>
  </property>
  <property fmtid="{D5CDD505-2E9C-101B-9397-08002B2CF9AE}" pid="79" name="TTBMVN.ResultAudit.Part.b24958dd8ddf45b1a9686d30672dfaf5.0012">
    <vt:lpwstr>|0||Uk9VTkQoRDEzKlAxNCwwKQ==
source|RVNUfFNoZWV0MjR8MTQ=|4||0|0||U2hlZXQyNCFGMTQ6TjE0
source|RVNUfFNoZWV0MjR8MTQ=|6||0|0||VFRCTVZOX1BMQU58VEVGT1JIeE9UMUpOTFRBeU1DNHdNekF3ZkhOdmFXd3RNWHd4fFRFRk9SQT09fFVuaXRSYXRlTGFuZHw3NXx8
entry|RVNUfFNoZWV</vt:lpwstr>
  </property>
  <property fmtid="{D5CDD505-2E9C-101B-9397-08002B2CF9AE}" pid="80" name="TTBMVN.ResultAudit.Part.b24958dd8ddf45b1a9686d30672dfaf5.0013">
    <vt:lpwstr>0MjR8MTU=|RXN0aW1hdGVBcHBlbmRpeA==|1|U2hlZXQyNA==|RXN0aW1hdGVBcHBlbmRpeA==|15|6|15|14|RMOyIHTDrG0gdHLDqm4gY+G6oW4gdOG7qyDEkeG7mSBzw6J1IDAsM20tM20u|QlFQLVJQQk0tMjAyNQ==|Mi4wLjE=|E2537C08E7156414585BEFC446E74DD51E79AB8D67A3774B1F5250E7EECCDA9</vt:lpwstr>
  </property>
  <property fmtid="{D5CDD505-2E9C-101B-9397-08002B2CF9AE}" pid="81" name="TTBMVN.ResultAudit.Part.b24958dd8ddf45b1a9686d30672dfaf5.0014">
    <vt:lpwstr>0|VEVTVC1EVDEwMy1QUklDRS1CQVNFTElORQ==|MS4wLjA=|8345661796B51CC48A6E4821015ECA03F301FAA2D4E3168C5AD34C0108100C87|Tk9STS0wMjAuMDUwMA==|ZGVwdGgtMw==
source|RVNUfFNoZWV0MjR8MTU=|1|VkJITjk3LTIwMjUtQlFQ|24|25|UGjhu6UgbOG7pWMgSSwgUGjhuqduIElJLCBD</vt:lpwstr>
  </property>
  <property fmtid="{D5CDD505-2E9C-101B-9397-08002B2CF9AE}" pid="82" name="TTBMVN.ResultAudit.Part.b24958dd8ddf45b1a9686d30672dfaf5.0015">
    <vt:lpwstr>aMawxqFuZyBJSUksIG3hu6VjIDU=|
source|RVNUfFNoZWV0MjR8MTU=|2||0|0||V29ya2Jvb2s6U2hlZXQyMCFGMTE=
source|RVNUfFNoZWV0MjR8MTU=|2||0|0||V29ya2Jvb2s6U2hlZXQyMCFGMjk=
source|RVNUfFNoZWV0MjR8MTU=|2||0|0||V29ya2Jvb2s6U2hlZXQyMCFGODI=
source|RVNUfFNo</vt:lpwstr>
  </property>
  <property fmtid="{D5CDD505-2E9C-101B-9397-08002B2CF9AE}" pid="83" name="TTBMVN.ResultAudit.Part.b24958dd8ddf45b1a9686d30672dfaf5.0016">
    <vt:lpwstr>ZWV0MjR8MTU=|2||0|0||V29ya2Jvb2s6U2hlZXQyMCFGODQ=
source|RVNUfFNoZWV0MjR8MTU=|2||0|0||V29ya2Jvb2s6U2hlZXQyMCFGODU=
source|RVNUfFNoZWV0MjR8MTU=|3||0|0||VEhLTCFGMTk=
source|RVNUfFNoZWV0MjR8MTU=|4||0|0||U2hlZXQyNCFGMTU6TjE1
source|RVNUfFNoZWV0</vt:lpwstr>
  </property>
  <property fmtid="{D5CDD505-2E9C-101B-9397-08002B2CF9AE}" pid="84" name="TTBMVN.ResultAudit.Part.b24958dd8ddf45b1a9686d30672dfaf5.0017">
    <vt:lpwstr>MjR8MTU=|6||0|0||VFRCTVZOX1BMQU58VEVGT1JIeE9UMUpOTFRBeU1DNHdOVEF3ZkdSbGNIUm9MVE44TVE9PXxURUZPUkE9PXxVbml0UmF0ZUxhbmR8OTN8fA==
entry|RVNUfFNoZWV0MjR8MTY=|RXN0aW1hdGVBcHBlbmRpeA==|1|U2hlZXQyNA==|RXN0aW1hdGVBcHBlbmRpeA==|16|6|16|14|RMOyIHTDrG0</vt:lpwstr>
  </property>
  <property fmtid="{D5CDD505-2E9C-101B-9397-08002B2CF9AE}" pid="85" name="TTBMVN.ResultAudit.Part.b24958dd8ddf45b1a9686d30672dfaf5.0018">
    <vt:lpwstr>gdHLDqm4gY+G6oW4gdOG7qyDEkeG7mSBzw6J1IDAsM20tNW0u|QlFQLVJQQk0tMjAyNQ==|Mi4wLjE=|E2537C08E7156414585BEFC446E74DD51E79AB8D67A3774B1F5250E7EECCDA90|VEVTVC1EVDEwMy1QUklDRS1CQVNFTElORQ==|MS4wLjA=|8345661796B51CC48A6E4821015ECA03F301FAA2D4E3168C5</vt:lpwstr>
  </property>
  <property fmtid="{D5CDD505-2E9C-101B-9397-08002B2CF9AE}" pid="86" name="TTBMVN.ResultAudit.Part.b24958dd8ddf45b1a9686d30672dfaf5.0019">
    <vt:lpwstr>AD34C0108100C87|Tk9STS0wMjAuMDUwMA==|ZGVwdGgtNQ==
source|RVNUfFNoZWV0MjR8MTY=|1|VkJITjk3LTIwMjUtQlFQ|24|25|UGjhu6UgbOG7pWMgSSwgUGjhuqduIElJLCBDaMawxqFuZyBJSUksIG3hu6VjIDU=|
source|RVNUfFNoZWV0MjR8MTY=|2||0|0||V29ya2Jvb2s6U2hlZXQyMCFGMTE=
so</vt:lpwstr>
  </property>
  <property fmtid="{D5CDD505-2E9C-101B-9397-08002B2CF9AE}" pid="87" name="TTBMVN.ResultAudit.Part.b24958dd8ddf45b1a9686d30672dfaf5.0020">
    <vt:lpwstr>urce|RVNUfFNoZWV0MjR8MTY=|2||0|0||V29ya2Jvb2s6U2hlZXQyMCFGMjk=
source|RVNUfFNoZWV0MjR8MTY=|2||0|0||V29ya2Jvb2s6U2hlZXQyMCFGODI=
source|RVNUfFNoZWV0MjR8MTY=|2||0|0||V29ya2Jvb2s6U2hlZXQyMCFGODQ=
source|RVNUfFNoZWV0MjR8MTY=|2||0|0||V29ya2Jvb2s</vt:lpwstr>
  </property>
  <property fmtid="{D5CDD505-2E9C-101B-9397-08002B2CF9AE}" pid="88" name="TTBMVN.ResultAudit.Part.b24958dd8ddf45b1a9686d30672dfaf5.0021">
    <vt:lpwstr>6U2hlZXQyMCFGODU=
source|RVNUfFNoZWV0MjR8MTY=|3||0|0||U2hlZXQyNCFEMTY=
source|RVNUfFNoZWV0MjR8MTY=|4||0|0||U2hlZXQyNCFGMTY6TjE2
source|RVNUfFNoZWV0MjR8MTY=|6||0|0||VFRCTVZOX1BMQU58VEVGT1JIeE9UMUpOTFRBeU1DNHdOVEF3ZkdSbGNIUm9MVFY4TVE9PXxURUZP</vt:lpwstr>
  </property>
  <property fmtid="{D5CDD505-2E9C-101B-9397-08002B2CF9AE}" pid="89" name="TTBMVN.ResultAudit.Part.b24958dd8ddf45b1a9686d30672dfaf5.0022">
    <vt:lpwstr>UkE9PXxVbml0UmF0ZUxhbmR8MTExfHw=
entry|RVNUfFNoZWV0MjR8MTc=|RXN0aW1hdGVBcHBlbmRpeA==|1|U2hlZXQyNA==|RXN0aW1hdGVBcHBlbmRpeA==|17|6|17|14|xJDDoG8gxJHhuqV0IHjhu60gbMO9IHTDrW4gaGnhu4d1IHThu6sgxJHhu5kgc8OidSAwLDNtIC0gM20gKDAzIFRIL2hhKS4gxJDhuqV0</vt:lpwstr>
  </property>
  <property fmtid="{D5CDD505-2E9C-101B-9397-08002B2CF9AE}" pid="90" name="TTBMVN.ResultAudit.Part.b24958dd8ddf45b1a9686d30672dfaf5.0023">
    <vt:lpwstr>IEMy|QlFQLVJQQk0tMjAyNQ==|Mi4wLjE=|E2537C08E7156414585BEFC446E74DD51E79AB8D67A3774B1F5250E7EECCDA90|VEVTVC1EVDEwMy1QUklDRS1CQVNFTElORQ==|MS4wLjA=|8345661796B51CC48A6E4821015ECA03F301FAA2D4E3168C5AD34C0108100C87|Tk9STS0wMjAuMDcwMA==|c29pbC0y</vt:lpwstr>
  </property>
  <property fmtid="{D5CDD505-2E9C-101B-9397-08002B2CF9AE}" pid="91" name="TTBMVN.ResultAudit.Part.b24958dd8ddf45b1a9686d30672dfaf5.0024">
    <vt:lpwstr>
source|RVNUfFNoZWV0MjR8MTc=|1|VkJITjk3LTIwMjUtQlFQ|26|26|UGjhu6UgbOG7pWMgSSwgUGjhuqduIElJLCBDaMawxqFuZyBJSUksIG3hu6VjIDc=|
source|RVNUfFNoZWV0MjR8MTc=|2||0|0||V29ya2Jvb2s6U2hlZXQyMCFGMTU=
source|RVNUfFNoZWV0MjR8MTc=|2||0|0||V29ya2Jvb2s6U2h</vt:lpwstr>
  </property>
  <property fmtid="{D5CDD505-2E9C-101B-9397-08002B2CF9AE}" pid="92" name="TTBMVN.ResultAudit.Part.b24958dd8ddf45b1a9686d30672dfaf5.0025">
    <vt:lpwstr>lZXQyMCFGMjk=
source|RVNUfFNoZWV0MjR8MTc=|2||0|0||V29ya2Jvb2s6U2hlZXQyMCFGODY=
source|RVNUfFNoZWV0MjR8MTc=|2||0|0||V29ya2Jvb2s6U2hlZXQyMCFGODc=
source|RVNUfFNoZWV0MjR8MTc=|2||0|0||V29ya2Jvb2s6U2hlZXQyMCFGODg=
source|RVNUfFNoZWV0MjR8MTc=|3||</vt:lpwstr>
  </property>
  <property fmtid="{D5CDD505-2E9C-101B-9397-08002B2CF9AE}" pid="93" name="TTBMVN.ResultAudit.Part.b24958dd8ddf45b1a9686d30672dfaf5.0026">
    <vt:lpwstr>0|0||Uk9VTkQoKEQxNStEMTYpKlAxNywwKSoyLjg2
source|RVNUfFNoZWV0MjR8MTc=|4||0|0||U2hlZXQyNCFGMTc6TjE3
source|RVNUfFNoZWV0MjR8MTc=|6||0|0||VFRCTVZOX1BMQU58VEVGT1JIeE9UMUpOTFRBeU1DNHdOekF3ZkhOdmFXd3RNbnd4fFRFRk9SQT09fFVuaXRSYXRlTGFuZHwxMjd8fA==
</vt:lpwstr>
  </property>
  <property fmtid="{D5CDD505-2E9C-101B-9397-08002B2CF9AE}" pid="94" name="TTBMVN.ResultAudit.Part.b24958dd8ddf45b1a9686d30672dfaf5.0027">
    <vt:lpwstr>entry|RVNUfFNoZWV0MjR8MTg=|RXN0aW1hdGVBcHBlbmRpeA==|1|U2hlZXQyNA==|RXN0aW1hdGVBcHBlbmRpeA==|18|6|18|14|xJDDoG8gxJHhuqV0IHjhu60gbMO9IHTDrW4gaGnhu4d1IHThu6sgxJHhu5kgc8OidSAzbSAtIDVtICgwLDMgVEgvaGEpLiDEkOG6pXQgQzI=|QlFQLVJQQk0tMjAyNQ==|Mi4wLjE</vt:lpwstr>
  </property>
  <property fmtid="{D5CDD505-2E9C-101B-9397-08002B2CF9AE}" pid="95" name="TTBMVN.ResultAudit.Part.b24958dd8ddf45b1a9686d30672dfaf5.0028">
    <vt:lpwstr>=|E2537C08E7156414585BEFC446E74DD51E79AB8D67A3774B1F5250E7EECCDA90|VEVTVC1EVDEwMy1QUklDRS1CQVNFTElORQ==|MS4wLjA=|8345661796B51CC48A6E4821015ECA03F301FAA2D4E3168C5AD34C0108100C87|Tk9STS0wMjAuMDgwMA==|
source|RVNUfFNoZWV0MjR8MTg=|3||0|0||Uk9V</vt:lpwstr>
  </property>
  <property fmtid="{D5CDD505-2E9C-101B-9397-08002B2CF9AE}" pid="96" name="TTBMVN.ResultAudit.Part.b24958dd8ddf45b1a9686d30672dfaf5.0029">
    <vt:lpwstr>TkQoRDE2KlAxOCwwKSoxNC42Nw==
source|RVNUfFNoZWV0MjR8MTg=|4||0|0||U2hlZXQyNCFGMTg6TjE4
source|RVNUfFNoZWV0MjR8MTg=|6||0|0||VFRCTVZOX1BMQU58VEVGT1JIeE9UMUpOTFRBeU1DNHdPREF3Zkh3eHxURUZPUkE9PXxVbml0UmF0ZUxhbmR8MTQ1fFFtbGxiaUIwYUdVZ2JHVm5ZV041SU</vt:lpwstr>
  </property>
  <property fmtid="{D5CDD505-2E9C-101B-9397-08002B2CF9AE}" pid="97" name="TTBMVN.ResultAudit.Part.b24958dd8ddf45b1a9686d30672dfaf5.0030">
    <vt:lpwstr>c1aGJTQnVaMjloYVNCallYUmhiRzluSUhCb1lYQWdiSGs2SUZQaHU1RWdhR25odTRkMUlNU1I0YnVMYm1nZ2JlRzdxV002SURBeU1DNHdPREF3TGpVdUlGQm9ZV2tnWTJodmJpQnNZV2tnWW1sbGJpQjBhR1VnYTJocElHUnZibWNnWTI4Z2EyaHZhU0JzZFc5dVp5ND18
entry|RVNUfFNoZWV0MjR8MjA=|RXN0aW1hdG</vt:lpwstr>
  </property>
  <property fmtid="{D5CDD505-2E9C-101B-9397-08002B2CF9AE}" pid="98" name="TTBMVN.ResultAudit.Part.b24958dd8ddf45b1a9686d30672dfaf5.0031">
    <vt:lpwstr>VBcHBlbmRpeA==|1|U2hlZXQyNA==|RXN0aW1hdGVBcHBlbmRpeA==|20|6|20|14|RMOyIHTDrG0gZMaw4bubaSBuxrDhu5tjIMSR4bq/biDEkeG7mSBzw6J1IDAsNW0uIE7GsOG7m2Mgc8OidSAwLDVtIC0gMTJt|QlFQLVJQQk0tMjAyNQ==|Mi4wLjE=|E2537C08E7156414585BEFC446E74DD51E79AB8D67A3774</vt:lpwstr>
  </property>
  <property fmtid="{D5CDD505-2E9C-101B-9397-08002B2CF9AE}" pid="99" name="TTBMVN.ResultAudit.Part.b24958dd8ddf45b1a9686d30672dfaf5.0032">
    <vt:lpwstr>B1F5250E7EECCDA90|VEVTVC1EVDEwMy1QUklDRS1CQVNFTElORQ==|MS4wLjA=|8345661796B51CC48A6E4821015ECA03F301FAA2D4E3168C5AD34C0108100C87|Tk9STS0wMzAuMDEwMA==|d2F0ZXItMC41LTEy
source|RVNUfFNoZWV0MjR8MjA=|1|VkJITjk3LTIwMjUtQlFQ|30|31|UGjhu6UgbOG7pWMg</vt:lpwstr>
  </property>
  <property fmtid="{D5CDD505-2E9C-101B-9397-08002B2CF9AE}" pid="100" name="TTBMVN.ResultAudit.Part.b24958dd8ddf45b1a9686d30672dfaf5.0033">
    <vt:lpwstr>SSwgUGjhuqduIElJLCBDaMawxqFuZyBJViwgbeG7pWMgMQ==|
source|RVNUfFNoZWV0MjR8MjA=|2||0|0||V29ya2Jvb2s6U2hlZXQyMCFGMTAw
source|RVNUfFNoZWV0MjR8MjA=|2||0|0||V29ya2Jvb2s6U2hlZXQyMCFGMTE=
source|RVNUfFNoZWV0MjR8MjA=|2||0|0||V29ya2Jvb2s6U2hlZXQyMCFG</vt:lpwstr>
  </property>
  <property fmtid="{D5CDD505-2E9C-101B-9397-08002B2CF9AE}" pid="101" name="TTBMVN.ResultAudit.Part.b24958dd8ddf45b1a9686d30672dfaf5.0034">
    <vt:lpwstr>MzU=
source|RVNUfFNoZWV0MjR8MjA=|2||0|0||V29ya2Jvb2s6U2hlZXQyMCFGNDE=
source|RVNUfFNoZWV0MjR8MjA=|2||0|0||V29ya2Jvb2s6U2hlZXQyMCFGNDY=
source|RVNUfFNoZWV0MjR8MjA=|2||0|0||V29ya2Jvb2s6U2hlZXQyMCFGNTE=
source|RVNUfFNoZWV0MjR8MjA=|2||0|0||V29y</vt:lpwstr>
  </property>
  <property fmtid="{D5CDD505-2E9C-101B-9397-08002B2CF9AE}" pid="102" name="TTBMVN.ResultAudit.Part.b24958dd8ddf45b1a9686d30672dfaf5.0035">
    <vt:lpwstr>a2Jvb2s6U2hlZXQyMCFGODU=
source|RVNUfFNoZWV0MjR8MjA=|2||0|0||V29ya2Jvb2s6U2hlZXQyMCFGOTI=
source|RVNUfFNoZWV0MjR8MjA=|2||0|0||V29ya2Jvb2s6U2hlZXQyMCFGOTM=
source|RVNUfFNoZWV0MjR8MjA=|2||0|0||V29ya2Jvb2s6U2hlZXQyMCFGOTU=
source|RVNUfFNoZWV0M</vt:lpwstr>
  </property>
  <property fmtid="{D5CDD505-2E9C-101B-9397-08002B2CF9AE}" pid="103" name="TTBMVN.ResultAudit.Part.b24958dd8ddf45b1a9686d30672dfaf5.0036">
    <vt:lpwstr>jR8MjA=|2||0|0||V29ya2Jvb2s6U2hlZXQyMCFGOTc=
source|RVNUfFNoZWV0MjR8MjA=|2||0|0||V29ya2Jvb2s6U2hlZXQyMCFGOTk=
source|RVNUfFNoZWV0MjR8MjA=|3||0|0||VEhLTCFGMjE=
source|RVNUfFNoZWV0MjR8MjA=|4||0|0||U2hlZXQyNCFGMjA6TjIw
source|RVNUfFNoZWV0MjR8M</vt:lpwstr>
  </property>
  <property fmtid="{D5CDD505-2E9C-101B-9397-08002B2CF9AE}" pid="104" name="TTBMVN.ResultAudit.Part.b24958dd8ddf45b1a9686d30672dfaf5.0037">
    <vt:lpwstr>jA=|6||0|0||VFRCTVZOX1BMQU58VjBGVVJWSjhUazlTVFMwd016QXVNREV3TUh4M1lYUmxjaTB3TGpVdE1USjhNUT09fFYwRlVSVkk9fFVuaXRSYXRlV2F0ZXJ8MzR8fA==
entry|RVNUfFNoZWV0MjR8MjE=|RXN0aW1hdGVBcHBlbmRpeA==|1|U2hlZXQyNA==|RXN0aW1hdGVBcHBlbmRpeA==|21|6|21|14|RMOy</vt:lpwstr>
  </property>
  <property fmtid="{D5CDD505-2E9C-101B-9397-08002B2CF9AE}" pid="105" name="TTBMVN.ResultAudit.Part.b24958dd8ddf45b1a9686d30672dfaf5.0038">
    <vt:lpwstr>IHTDrG0gZMaw4bubaSBuxrDhu5tjIHThu6sgxJHhu5kgc8OidSAwLDVtIC0gM20uIE7GsOG7m2Mgc8OidSAwLDVtIC0gMTJt|QlFQLVJQQk0tMjAyNQ==|Mi4wLjE=|E2537C08E7156414585BEFC446E74DD51E79AB8D67A3774B1F5250E7EECCDA90|VEVTVC1EVDEwMy1QUklDRS1CQVNFTElORQ==|MS4wLjA=|83</vt:lpwstr>
  </property>
  <property fmtid="{D5CDD505-2E9C-101B-9397-08002B2CF9AE}" pid="106" name="TTBMVN.ResultAudit.Part.b24958dd8ddf45b1a9686d30672dfaf5.0039">
    <vt:lpwstr>45661796B51CC48A6E4821015ECA03F301FAA2D4E3168C5AD34C0108100C87|Tk9STS0wMzAuMDIwMA==|d2F0ZXItMC41LTEy
source|RVNUfFNoZWV0MjR8MjE=|1|VkJITjk3LTIwMjUtQlFQ|31|32|UGjhu6UgbOG7pWMgSSwgUGjhuqduIElJLCBDaMawxqFuZyBJViwgbeG7pWMgMg==|
source|RVNUfFNoZ</vt:lpwstr>
  </property>
  <property fmtid="{D5CDD505-2E9C-101B-9397-08002B2CF9AE}" pid="107" name="TTBMVN.ResultAudit.Part.b24958dd8ddf45b1a9686d30672dfaf5.0040">
    <vt:lpwstr>WV0MjR8MjE=|2||0|0||V29ya2Jvb2s6U2hlZXQyMCFGMTAw
source|RVNUfFNoZWV0MjR8MjE=|2||0|0||V29ya2Jvb2s6U2hlZXQyMCFGMTE=
source|RVNUfFNoZWV0MjR8MjE=|2||0|0||V29ya2Jvb2s6U2hlZXQyMCFGMzU=
source|RVNUfFNoZWV0MjR8MjE=|2||0|0||V29ya2Jvb2s6U2hlZXQyMCFGN</vt:lpwstr>
  </property>
  <property fmtid="{D5CDD505-2E9C-101B-9397-08002B2CF9AE}" pid="108" name="TTBMVN.ResultAudit.Part.b24958dd8ddf45b1a9686d30672dfaf5.0041">
    <vt:lpwstr>DE=
source|RVNUfFNoZWV0MjR8MjE=|2||0|0||V29ya2Jvb2s6U2hlZXQyMCFGNDY=
source|RVNUfFNoZWV0MjR8MjE=|2||0|0||V29ya2Jvb2s6U2hlZXQyMCFGNTE=
source|RVNUfFNoZWV0MjR8MjE=|2||0|0||V29ya2Jvb2s6U2hlZXQyMCFGODU=
source|RVNUfFNoZWV0MjR8MjE=|2||0|0||V29ya</vt:lpwstr>
  </property>
  <property fmtid="{D5CDD505-2E9C-101B-9397-08002B2CF9AE}" pid="109" name="TTBMVN.ResultAudit.Part.b24958dd8ddf45b1a9686d30672dfaf5.0042">
    <vt:lpwstr>2Jvb2s6U2hlZXQyMCFGOTI=
source|RVNUfFNoZWV0MjR8MjE=|2||0|0||V29ya2Jvb2s6U2hlZXQyMCFGOTM=
source|RVNUfFNoZWV0MjR8MjE=|2||0|0||V29ya2Jvb2s6U2hlZXQyMCFGOTU=
source|RVNUfFNoZWV0MjR8MjE=|2||0|0||V29ya2Jvb2s6U2hlZXQyMCFGOTc=
source|RVNUfFNoZWV0Mj</vt:lpwstr>
  </property>
  <property fmtid="{D5CDD505-2E9C-101B-9397-08002B2CF9AE}" pid="110" name="TTBMVN.ResultAudit.Part.b24958dd8ddf45b1a9686d30672dfaf5.0043">
    <vt:lpwstr>R8MjE=|2||0|0||V29ya2Jvb2s6U2hlZXQyMCFGOTk=
source|RVNUfFNoZWV0MjR8MjE=|3||0|0||VEhLTCFGMjI=
source|RVNUfFNoZWV0MjR8MjE=|4||0|0||U2hlZXQyNCFGMjE6TjIx
source|RVNUfFNoZWV0MjR8MjE=|6||0|0||VFRCTVZOX1BMQU58VjBGVVJWSjhUazlTVFMwd016QXVNREl3TUh4M1</vt:lpwstr>
  </property>
  <property fmtid="{D5CDD505-2E9C-101B-9397-08002B2CF9AE}" pid="111" name="TTBMVN.ResultAudit.Part.b24958dd8ddf45b1a9686d30672dfaf5.0044">
    <vt:lpwstr>lYUmxjaTB3TGpVdE1USjhNUT09fFYwRlVSVkk9fFVuaXRSYXRlV2F0ZXJ8NTd8fA==
entry|RVNUfFNoZWV0MjR8MjI=|RXN0aW1hdGVBcHBlbmRpeA==|1|U2hlZXQyNA==|RXN0aW1hdGVBcHBlbmRpeA==|22|6|22|14|xJDDoW5oIGThuqV1IHTDrW4gaGnhu4d1IGNobyBjw6FjIGxv4bqhaSDEkeG7mSBzw6J1Li</vt:lpwstr>
  </property>
  <property fmtid="{D5CDD505-2E9C-101B-9397-08002B2CF9AE}" pid="112" name="TTBMVN.ResultAudit.Part.b24958dd8ddf45b1a9686d30672dfaf5.0045">
    <vt:lpwstr>BOxrDhu5tjIHPDonUgM20gLSAxMm0=|QlFQLVJQQk0tMjAyNQ==|Mi4wLjE=|E2537C08E7156414585BEFC446E74DD51E79AB8D67A3774B1F5250E7EECCDA90|VEVTVC1EVDEwMy1QUklDRS1CQVNFTElORQ==|MS4wLjA=|8345661796B51CC48A6E4821015ECA03F301FAA2D4E3168C5AD34C0108100C87|Tk9</vt:lpwstr>
  </property>
  <property fmtid="{D5CDD505-2E9C-101B-9397-08002B2CF9AE}" pid="113" name="TTBMVN.ResultAudit.Part.b24958dd8ddf45b1a9686d30672dfaf5.0046">
    <vt:lpwstr>STS0wMzAuMDMwMA==|d2F0ZXItMy0xMg==
source|RVNUfFNoZWV0MjR8MjI=|1|VkJITjk3LTIwMjUtQlFQ|32|33|UGjhu6UgbOG7pWMgSSwgUGjhuqduIElJLCBDaMawxqFuZyBJViwgbeG7pWMgMw==|
source|RVNUfFNoZWV0MjR8MjI=|2||0|0||V29ya2Jvb2s6U2hlZXQyMCFGMTE=
source|RVNUfFNoZW</vt:lpwstr>
  </property>
  <property fmtid="{D5CDD505-2E9C-101B-9397-08002B2CF9AE}" pid="114" name="TTBMVN.ResultAudit.Part.b24958dd8ddf45b1a9686d30672dfaf5.0047">
    <vt:lpwstr>V0MjR8MjI=|2||0|0||V29ya2Jvb2s6U2hlZXQyMCFGMzU=
source|RVNUfFNoZWV0MjR8MjI=|2||0|0||V29ya2Jvb2s6U2hlZXQyMCFGNDY=
source|RVNUfFNoZWV0MjR8MjI=|2||0|0||V29ya2Jvb2s6U2hlZXQyMCFGOTQ=
source|RVNUfFNoZWV0MjR8MjI=|2||0|0||V29ya2Jvb2s6U2hlZXQyMCFGOT</vt:lpwstr>
  </property>
  <property fmtid="{D5CDD505-2E9C-101B-9397-08002B2CF9AE}" pid="115" name="TTBMVN.ResultAudit.Part.b24958dd8ddf45b1a9686d30672dfaf5.0048">
    <vt:lpwstr>Y=
source|RVNUfFNoZWV0MjR8MjI=|2||0|0||V29ya2Jvb2s6U2hlZXQyMCFGOTk=
source|RVNUfFNoZWV0MjR8MjI=|3||0|0||U1VNKEQyMzpFMjUp
source|RVNUfFNoZWV0MjR8MjI=|4||0|0||U2hlZXQyNCFGMjI6TjIy
source|RVNUfFNoZWV0MjR8MjI=|6||0|0||VFRCTVZOX1BMQU58VjBGVVJWSj</vt:lpwstr>
  </property>
  <property fmtid="{D5CDD505-2E9C-101B-9397-08002B2CF9AE}" pid="116" name="TTBMVN.ResultAudit.Part.b24958dd8ddf45b1a9686d30672dfaf5.0049">
    <vt:lpwstr>hUazlTVFMwd016QXVNRE13TUh4M1lYUmxjaTB6TFRFeWZERT18VjBGVVJWST18VW5pdFJhdGVXYXRlcnw3NHx8VFc4Z2RHRWdjR2gxSUd4MVl5QjJZU0JvWVc4Z2NHaHBJR3hsWjJGamVTQnNZU0JrYnlCellYVWdiblZ2WXlCMGNtVnVJRE50SUdSbGJpQXhNbTA3SUdSaElHRnVhQ0I0WVNCellXNW5JSGRoZEdWeUxUTX</vt:lpwstr>
  </property>
  <property fmtid="{D5CDD505-2E9C-101B-9397-08002B2CF9AE}" pid="117" name="TTBMVN.ResultAudit.Part.b24958dd8ddf45b1a9686d30672dfaf5.0050">
    <vt:lpwstr>RNVElnZEdoaGVTQmphRzhnYUdGMUlIUnZJR04xTGc9PQ==
entry|RVNUfFNoZWV0MjR8MjM=|RXN0aW1hdGVBcHBlbmRpeA==|1|U2hlZXQyNA==|RXN0aW1hdGVBcHBlbmRpeA==|23|6|23|14|TOG6t24geOG7rSBsw70gdMOtbiBoaeG7h3UgxJHhur9uIMSR4buZIHPDonUgMCw1bSAoMjAgVEgvaGEp|QlFQLVJQQ</vt:lpwstr>
  </property>
  <property fmtid="{D5CDD505-2E9C-101B-9397-08002B2CF9AE}" pid="118" name="TTBMVN.ResultAudit.Part.b24958dd8ddf45b1a9686d30672dfaf5.0051">
    <vt:lpwstr>k0tMjAyNQ==|Mi4wLjE=|E2537C08E7156414585BEFC446E74DD51E79AB8D67A3774B1F5250E7EECCDA90|VEVTVC1EVDEwMy1QUklDRS1CQVNFTElORQ==|MS4wLjA=|8345661796B51CC48A6E4821015ECA03F301FAA2D4E3168C5AD34C0108100C87|Tk9STS0wMzAuMDQwMA==|d2F0ZXItMC41LTEy
sourc</vt:lpwstr>
  </property>
  <property fmtid="{D5CDD505-2E9C-101B-9397-08002B2CF9AE}" pid="119" name="TTBMVN.ResultAudit.Part.b24958dd8ddf45b1a9686d30672dfaf5.0052">
    <vt:lpwstr>e|RVNUfFNoZWV0MjR8MjM=|1|VkJITjk3LTIwMjUtQlFQ|33|33|UGjhu6UgbOG7pWMgSSwgUGjhuqduIElJLCBDaMawxqFuZyBJViwgbeG7pWMgNA==|
source|RVNUfFNoZWV0MjR8MjM=|2||0|0||V29ya2Jvb2s6U2hlZXQyMCFGMTE=
source|RVNUfFNoZWV0MjR8MjM=|2||0|0||V29ya2Jvb2s6U2hlZXQyM</vt:lpwstr>
  </property>
  <property fmtid="{D5CDD505-2E9C-101B-9397-08002B2CF9AE}" pid="120" name="TTBMVN.ResultAudit.Part.b24958dd8ddf45b1a9686d30672dfaf5.0053">
    <vt:lpwstr>CFGMzU=
source|RVNUfFNoZWV0MjR8MjM=|2||0|0||V29ya2Jvb2s6U2hlZXQyMCFGNTE=
source|RVNUfFNoZWV0MjR8MjM=|2||0|0||V29ya2Jvb2s6U2hlZXQyMCFGNjI=
source|RVNUfFNoZWV0MjR8MjM=|3||0|0||Uk9VTkQoRDIwKlAyMywwKQ==
source|RVNUfFNoZWV0MjR8MjM=|4||0|0||U2hlZ</vt:lpwstr>
  </property>
  <property fmtid="{D5CDD505-2E9C-101B-9397-08002B2CF9AE}" pid="121" name="TTBMVN.ResultAudit.Part.b24958dd8ddf45b1a9686d30672dfaf5.0054">
    <vt:lpwstr>XQyNCFGMjM6TjIz
source|RVNUfFNoZWV0MjR8MjM=|6||0|0||VFRCTVZOX0JJTkRJTkd8VFRBeE1DNUVTVlpKVGtjPXxUVUZEU0VsT1JTMU5NREV3TGpBeU9RPT18VG1oaGNDQjBkU0JpWVc1bklHUnZiaUJuYVdFZ2JHVm5ZV041SUZOb1pXVjBNVEFoUWpnMg==
source|RVNUfFNoZWV0MjR8MjM=|6||0|0||VFR</vt:lpwstr>
  </property>
  <property fmtid="{D5CDD505-2E9C-101B-9397-08002B2CF9AE}" pid="122" name="TTBMVN.ResultAudit.Part.b24958dd8ddf45b1a9686d30672dfaf5.0055">
    <vt:lpwstr>CTVZOX1BMQU58VjBGVVJWSjhUazlTVFMwd016QXVNRFF3TUh4M1lYUmxjaTB3TGpVdE1USjhNUT09fFYwRlVSVkk9fFVuaXRSYXRlV2F0ZXJ8ODh8fA==
entry|RVNUfFNoZWV0MjR8MjQ=|RXN0aW1hdGVBcHBlbmRpeA==|1|U2hlZXQyNA==|RXN0aW1hdGVBcHBlbmRpeA==|24|6|24|14|TOG6t24geOG7rSBsw70</vt:lpwstr>
  </property>
  <property fmtid="{D5CDD505-2E9C-101B-9397-08002B2CF9AE}" pid="123" name="TTBMVN.ResultAudit.Part.b24958dd8ddf45b1a9686d30672dfaf5.0056">
    <vt:lpwstr>gdMOtbiBoaeG7h3UgdOG7qyDEkeG7mSBzw6J1IDAsNW0gLSAxbSAoMDFUSC9oYSk=|QlFQLVJQQk0tMjAyNQ==|Mi4wLjE=|E2537C08E7156414585BEFC446E74DD51E79AB8D67A3774B1F5250E7EECCDA90|VEVTVC1EVDEwMy1QUklDRS1CQVNFTElORQ==|MS4wLjA=|8345661796B51CC48A6E4821015ECA03F</vt:lpwstr>
  </property>
  <property fmtid="{D5CDD505-2E9C-101B-9397-08002B2CF9AE}" pid="124" name="TTBMVN.ResultAudit.Part.b24958dd8ddf45b1a9686d30672dfaf5.0057">
    <vt:lpwstr>301FAA2D4E3168C5AD34C0108100C87|Tk9STS0wMzAuMDUwMA==|d2F0ZXItMC41LTEy
source|RVNUfFNoZWV0MjR8MjQ=|1|VkJITjk3LTIwMjUtQlFQ|33|34|UGjhu6UgbOG7pWMgSSwgUGjhuqduIElJLCBDaMawxqFuZyBJViwgbeG7pWMgNQ==|
source|RVNUfFNoZWV0MjR8MjQ=|2||0|0||V29ya2Jvb2s</vt:lpwstr>
  </property>
  <property fmtid="{D5CDD505-2E9C-101B-9397-08002B2CF9AE}" pid="125" name="TTBMVN.ResultAudit.Part.b24958dd8ddf45b1a9686d30672dfaf5.0058">
    <vt:lpwstr>6U2hlZXQyMCFGMTE=
source|RVNUfFNoZWV0MjR8MjQ=|2||0|0||V29ya2Jvb2s6U2hlZXQyMCFGMzU=
source|RVNUfFNoZWV0MjR8MjQ=|2||0|0||V29ya2Jvb2s6U2hlZXQyMCFGNDY=
source|RVNUfFNoZWV0MjR8MjQ=|2||0|0||V29ya2Jvb2s6U2hlZXQyMCFGNTE=
source|RVNUfFNoZWV0MjR8MjQ=</vt:lpwstr>
  </property>
  <property fmtid="{D5CDD505-2E9C-101B-9397-08002B2CF9AE}" pid="126" name="TTBMVN.ResultAudit.Part.b24958dd8ddf45b1a9686d30672dfaf5.0059">
    <vt:lpwstr>|2||0|0||V29ya2Jvb2s6U2hlZXQyMCFGNTY=
source|RVNUfFNoZWV0MjR8MjQ=|2||0|0||V29ya2Jvb2s6U2hlZXQyMCFGNjI=
source|RVNUfFNoZWV0MjR8MjQ=|3||0|0||SUYoUk9VTkQoJEQyMSpQMjQsMCk9MCwxLFJPVU5EKCskRDIxKlAyNCwwKSk=
source|RVNUfFNoZWV0MjR8MjQ=|4||0|0||U2hl</vt:lpwstr>
  </property>
  <property fmtid="{D5CDD505-2E9C-101B-9397-08002B2CF9AE}" pid="127" name="TTBMVN.ResultAudit.Part.b24958dd8ddf45b1a9686d30672dfaf5.0060">
    <vt:lpwstr>ZXQyNCFGMjQ6TjI0
source|RVNUfFNoZWV0MjR8MjQ=|6||0|0||VFRCTVZOX0JJTkRJTkd8VFRBeE1DNUVTVlpKVGtjPXxUVUZEU0VsT1JTMU5NREV3TGpBeU9RPT18VG1oaGNDQjBkU0JpWVc1bklHUnZiaUJuYVdFZ2JHVm5ZV041SUZOb1pXVjBNVEFoUWpFd01BPT0=
source|RVNUfFNoZWV0MjR8MjQ=|6||0|0</vt:lpwstr>
  </property>
  <property fmtid="{D5CDD505-2E9C-101B-9397-08002B2CF9AE}" pid="128" name="TTBMVN.ResultAudit.Part.b24958dd8ddf45b1a9686d30672dfaf5.0061">
    <vt:lpwstr>||VFRCTVZOX1BMQU58VjBGVVJWSjhUazlTVFMwd016QXVNRFV3TUh4M1lYUmxjaTB3TGpVdE1USjhNUT09fFYwRlVSVkk9fFVuaXRSYXRlV2F0ZXJ8MTAzfHw=
entry|RVNUfFNoZWV0MjR8MjU=|RXN0aW1hdGVBcHBlbmRpeA==|1|U2hlZXQyNA==|RXN0aW1hdGVBcHBlbmRpeA==|25|6|25|14|TOG6t24geOG7rS</vt:lpwstr>
  </property>
  <property fmtid="{D5CDD505-2E9C-101B-9397-08002B2CF9AE}" pid="129" name="TTBMVN.ResultAudit.Part.b24958dd8ddf45b1a9686d30672dfaf5.0062">
    <vt:lpwstr>Bsw70gdMOtbiBoaeG7h3UgdOG7qyDEkeG7mSBzw6J1IDFtIC0gM20gKCAwLDEgVEgvaGEp|QlFQLVJQQk0tMjAyNQ==|Mi4wLjE=|E2537C08E7156414585BEFC446E74DD51E79AB8D67A3774B1F5250E7EECCDA90|VEVTVC1EVDEwMy1QUklDRS1CQVNFTElORQ==|MS4wLjA=|8345661796B51CC48A6E4821015E</vt:lpwstr>
  </property>
  <property fmtid="{D5CDD505-2E9C-101B-9397-08002B2CF9AE}" pid="130" name="TTBMVN.ResultAudit.Part.b24958dd8ddf45b1a9686d30672dfaf5.0063">
    <vt:lpwstr>CA03F301FAA2D4E3168C5AD34C0108100C87|Tk9STS0wMzAuMDYwMA==|d2F0ZXItMC41LTEy
source|RVNUfFNoZWV0MjR8MjU=|1|VkJITjk3LTIwMjUtQlFQ|34|35|UGjhu6UgbOG7pWMgSSwgUGjhuqduIElJLCBDaMawxqFuZyBJViwgbeG7pWMgNg==|
source|RVNUfFNoZWV0MjR8MjU=|2||0|0||V29ya2</vt:lpwstr>
  </property>
  <property fmtid="{D5CDD505-2E9C-101B-9397-08002B2CF9AE}" pid="131" name="TTBMVN.ResultAudit.Part.b24958dd8ddf45b1a9686d30672dfaf5.0064">
    <vt:lpwstr>Jvb2s6U2hlZXQyMCFGMTAx
source|RVNUfFNoZWV0MjR8MjU=|2||0|0||V29ya2Jvb2s6U2hlZXQyMCFGMTE=
source|RVNUfFNoZWV0MjR8MjU=|2||0|0||V29ya2Jvb2s6U2hlZXQyMCFGMzU=
source|RVNUfFNoZWV0MjR8MjU=|2||0|0||V29ya2Jvb2s6U2hlZXQyMCFGNDY=
source|RVNUfFNoZWV0MjR</vt:lpwstr>
  </property>
  <property fmtid="{D5CDD505-2E9C-101B-9397-08002B2CF9AE}" pid="132" name="TTBMVN.ResultAudit.Part.b24958dd8ddf45b1a9686d30672dfaf5.0065">
    <vt:lpwstr>8MjU=|2||0|0||V29ya2Jvb2s6U2hlZXQyMCFGNTE=
source|RVNUfFNoZWV0MjR8MjU=|2||0|0||V29ya2Jvb2s6U2hlZXQyMCFGNTY=
source|RVNUfFNoZWV0MjR8MjU=|2||0|0||V29ya2Jvb2s6U2hlZXQyMCFGNjc=
source|RVNUfFNoZWV0MjR8MjU=|3||0|0||SUYoUk9VTkQoJEQyMSpQMjUsMCk9MCw</vt:lpwstr>
  </property>
  <property fmtid="{D5CDD505-2E9C-101B-9397-08002B2CF9AE}" pid="133" name="TTBMVN.ResultAudit.Part.b24958dd8ddf45b1a9686d30672dfaf5.0066">
    <vt:lpwstr>xLFJPVU5EKCREMjEqUDI1LDApKQ==
source|RVNUfFNoZWV0MjR8MjU=|4||0|0||U2hlZXQyNCFGMjU6TjI1
source|RVNUfFNoZWV0MjR8MjU=|6||0|0||VFRCTVZOX0JJTkRJTkd8VFRBeE1DNUVTVlpKVGtjPXxUVUZEU0VsT1JTMU5NREV3TGpBek1BPT18VG1oaGNDQjBkU0JpWVc1bklHUnZiaUJuYVdFZ2JHV</vt:lpwstr>
  </property>
  <property fmtid="{D5CDD505-2E9C-101B-9397-08002B2CF9AE}" pid="134" name="TTBMVN.ResultAudit.Part.b24958dd8ddf45b1a9686d30672dfaf5.0067">
    <vt:lpwstr>m5ZV041SUZOb1pXVjBNVEFoUWpFeE9BPT0=
source|RVNUfFNoZWV0MjR8MjU=|6||0|0||VFRCTVZOX1BMQU58VjBGVVJWSjhUazlTVFMwd016QXVNRFl3TUh4M1lYUmxjaTB3TGpVdE1USjhNUT09fFYwRlVSVkk9fFVuaXRSYXRlV2F0ZXJ8MTIxfHw=
entry|RVNUfFNoZWV0MjR8QkxPQ0s=|RXN0aW1hdGVBcHBl</vt:lpwstr>
  </property>
  <property fmtid="{D5CDD505-2E9C-101B-9397-08002B2CF9AE}" pid="135" name="TTBMVN.ResultAudit.Part.b24958dd8ddf45b1a9686d30672dfaf5.0068">
    <vt:lpwstr>bmRpeA==|2|U2hlZXQyNA==|RXN0aW1hdGVBcHBlbmRpeA==|11|6|27|14|UGh1IGx1YyBkdSB0b2FuIHRoaSBjb25n|QlFQLVJQQk0tMjAyNQ==|Mi4wLjE=|E2537C08E7156414585BEFC446E74DD51E79AB8D67A3774B1F5250E7EECCDA90|VEVTVC1EVDEwMy1QUklDRS1CQVNFTElORQ==|MS4wLjA=|834566</vt:lpwstr>
  </property>
  <property fmtid="{D5CDD505-2E9C-101B-9397-08002B2CF9AE}" pid="136" name="TTBMVN.ResultAudit.Part.b24958dd8ddf45b1a9686d30672dfaf5.0069">
    <vt:lpwstr>1796B51CC48A6E4821015ECA03F301FAA2D4E3168C5AD34C0108100C87||
source|RVNUfFNoZWV0MjR8QkxPQ0s=|1|VkJITjk3LTIwMjUtQlFQ|21|21|UGjhu6UgbOG7pWMgSSwgUGjhuqduIElJLCBDaMawxqFuZyBJSSwgbeG7pWMgMg==|
source|RVNUfFNoZWV0MjR8QkxPQ0s=|1|VkJITjk3LTIwMjUtQl</vt:lpwstr>
  </property>
  <property fmtid="{D5CDD505-2E9C-101B-9397-08002B2CF9AE}" pid="137" name="TTBMVN.ResultAudit.Part.b24958dd8ddf45b1a9686d30672dfaf5.0070">
    <vt:lpwstr>FQ|23|23|UGjhu6UgbOG7pWMgSSwgUGjhuqduIElJLCBDaMawxqFuZyBJSUksIG3hu6VjIDI=|
source|RVNUfFNoZWV0MjR8QkxPQ0s=|1|VkJITjk3LTIwMjUtQlFQ|23|24|UGjhu6UgbOG7pWMgSSwgUGjhuqduIElJLCBDaMawxqFuZyBJSUksIG3hu6VjIDM=|
source|RVNUfFNoZWV0MjR8QkxPQ0s=|1|VkJI</vt:lpwstr>
  </property>
  <property fmtid="{D5CDD505-2E9C-101B-9397-08002B2CF9AE}" pid="138" name="TTBMVN.ResultAudit.Part.b24958dd8ddf45b1a9686d30672dfaf5.0071">
    <vt:lpwstr>Tjk3LTIwMjUtQlFQ|24|25|UGjhu6UgbOG7pWMgSSwgUGjhuqduIElJLCBDaMawxqFuZyBJSUksIG3hu6VjIDU=|
source|RVNUfFNoZWV0MjR8QkxPQ0s=|1|VkJITjk3LTIwMjUtQlFQ|26|26|UGjhu6UgbOG7pWMgSSwgUGjhuqduIElJLCBDaMawxqFuZyBJSUksIG3hu6VjIDc=|
source|RVNUfFNoZWV0MjR8Q</vt:lpwstr>
  </property>
  <property fmtid="{D5CDD505-2E9C-101B-9397-08002B2CF9AE}" pid="139" name="TTBMVN.ResultAudit.Part.b24958dd8ddf45b1a9686d30672dfaf5.0072">
    <vt:lpwstr>kxPQ0s=|1|VkJITjk3LTIwMjUtQlFQ|30|31|UGjhu6UgbOG7pWMgSSwgUGjhuqduIElJLCBDaMawxqFuZyBJViwgbeG7pWMgMQ==|
source|RVNUfFNoZWV0MjR8QkxPQ0s=|1|VkJITjk3LTIwMjUtQlFQ|31|32|UGjhu6UgbOG7pWMgSSwgUGjhuqduIElJLCBDaMawxqFuZyBJViwgbeG7pWMgMg==|
source|RVN</vt:lpwstr>
  </property>
  <property fmtid="{D5CDD505-2E9C-101B-9397-08002B2CF9AE}" pid="140" name="TTBMVN.ResultAudit.Part.b24958dd8ddf45b1a9686d30672dfaf5.0073">
    <vt:lpwstr>UfFNoZWV0MjR8QkxPQ0s=|1|VkJITjk3LTIwMjUtQlFQ|32|33|UGjhu6UgbOG7pWMgSSwgUGjhuqduIElJLCBDaMawxqFuZyBJViwgbeG7pWMgMw==|
source|RVNUfFNoZWV0MjR8QkxPQ0s=|1|VkJITjk3LTIwMjUtQlFQ|33|33|UGjhu6UgbOG7pWMgSSwgUGjhuqduIElJLCBDaMawxqFuZyBJViwgbeG7pWMgNA</vt:lpwstr>
  </property>
  <property fmtid="{D5CDD505-2E9C-101B-9397-08002B2CF9AE}" pid="141" name="TTBMVN.ResultAudit.Part.b24958dd8ddf45b1a9686d30672dfaf5.0074">
    <vt:lpwstr>==|
source|RVNUfFNoZWV0MjR8QkxPQ0s=|1|VkJITjk3LTIwMjUtQlFQ|33|34|UGjhu6UgbOG7pWMgSSwgUGjhuqduIElJLCBDaMawxqFuZyBJViwgbeG7pWMgNQ==|
source|RVNUfFNoZWV0MjR8QkxPQ0s=|1|VkJITjk3LTIwMjUtQlFQ|34|35|UGjhu6UgbOG7pWMgSSwgUGjhuqduIElJLCBDaMawxqFuZyBJ</vt:lpwstr>
  </property>
  <property fmtid="{D5CDD505-2E9C-101B-9397-08002B2CF9AE}" pid="142" name="TTBMVN.ResultAudit.Part.b24958dd8ddf45b1a9686d30672dfaf5.0075">
    <vt:lpwstr>ViwgbeG7pWMgNg==|
source|RVNUfFNoZWV0MjR8QkxPQ0s=|2||0|0||V29ya2Jvb2s6U2hlZXQyMCFGMTAw
source|RVNUfFNoZWV0MjR8QkxPQ0s=|2||0|0||V29ya2Jvb2s6U2hlZXQyMCFGMTAx
source|RVNUfFNoZWV0MjR8QkxPQ0s=|2||0|0||V29ya2Jvb2s6U2hlZXQyMCFGMTE=
source|RVNUfFNo</vt:lpwstr>
  </property>
  <property fmtid="{D5CDD505-2E9C-101B-9397-08002B2CF9AE}" pid="143" name="TTBMVN.ResultAudit.Part.b24958dd8ddf45b1a9686d30672dfaf5.0076">
    <vt:lpwstr>ZWV0MjR8QkxPQ0s=|2||0|0||V29ya2Jvb2s6U2hlZXQyMCFGMTU=
source|RVNUfFNoZWV0MjR8QkxPQ0s=|2||0|0||V29ya2Jvb2s6U2hlZXQyMCFGMjM=
source|RVNUfFNoZWV0MjR8QkxPQ0s=|2||0|0||V29ya2Jvb2s6U2hlZXQyMCFGMjk=
source|RVNUfFNoZWV0MjR8QkxPQ0s=|2||0|0||V29ya2Jv</vt:lpwstr>
  </property>
  <property fmtid="{D5CDD505-2E9C-101B-9397-08002B2CF9AE}" pid="144" name="TTBMVN.ResultAudit.Part.b24958dd8ddf45b1a9686d30672dfaf5.0077">
    <vt:lpwstr>b2s6U2hlZXQyMCFGMzU=
source|RVNUfFNoZWV0MjR8QkxPQ0s=|2||0|0||V29ya2Jvb2s6U2hlZXQyMCFGNDE=
source|RVNUfFNoZWV0MjR8QkxPQ0s=|2||0|0||V29ya2Jvb2s6U2hlZXQyMCFGNDY=
source|RVNUfFNoZWV0MjR8QkxPQ0s=|2||0|0||V29ya2Jvb2s6U2hlZXQyMCFGNTE=
source|RVNUf</vt:lpwstr>
  </property>
  <property fmtid="{D5CDD505-2E9C-101B-9397-08002B2CF9AE}" pid="145" name="TTBMVN.ResultAudit.Part.b24958dd8ddf45b1a9686d30672dfaf5.0078">
    <vt:lpwstr>FNoZWV0MjR8QkxPQ0s=|2||0|0||V29ya2Jvb2s6U2hlZXQyMCFGNTY=
source|RVNUfFNoZWV0MjR8QkxPQ0s=|2||0|0||V29ya2Jvb2s6U2hlZXQyMCFGNjI=
source|RVNUfFNoZWV0MjR8QkxPQ0s=|2||0|0||V29ya2Jvb2s6U2hlZXQyMCFGNjc=
source|RVNUfFNoZWV0MjR8QkxPQ0s=|2||0|0||V29ya</vt:lpwstr>
  </property>
  <property fmtid="{D5CDD505-2E9C-101B-9397-08002B2CF9AE}" pid="146" name="TTBMVN.ResultAudit.Part.b24958dd8ddf45b1a9686d30672dfaf5.0079">
    <vt:lpwstr>2Jvb2s6U2hlZXQyMCFGODE=
source|RVNUfFNoZWV0MjR8QkxPQ0s=|2||0|0||V29ya2Jvb2s6U2hlZXQyMCFGODI=
source|RVNUfFNoZWV0MjR8QkxPQ0s=|2||0|0||V29ya2Jvb2s6U2hlZXQyMCFGODM=
source|RVNUfFNoZWV0MjR8QkxPQ0s=|2||0|0||V29ya2Jvb2s6U2hlZXQyMCFGODQ=
source|RV</vt:lpwstr>
  </property>
  <property fmtid="{D5CDD505-2E9C-101B-9397-08002B2CF9AE}" pid="147" name="TTBMVN.ResultAudit.Part.b24958dd8ddf45b1a9686d30672dfaf5.0080">
    <vt:lpwstr>NUfFNoZWV0MjR8QkxPQ0s=|2||0|0||V29ya2Jvb2s6U2hlZXQyMCFGODU=
source|RVNUfFNoZWV0MjR8QkxPQ0s=|2||0|0||V29ya2Jvb2s6U2hlZXQyMCFGODY=
source|RVNUfFNoZWV0MjR8QkxPQ0s=|2||0|0||V29ya2Jvb2s6U2hlZXQyMCFGODc=
source|RVNUfFNoZWV0MjR8QkxPQ0s=|2||0|0||V2</vt:lpwstr>
  </property>
  <property fmtid="{D5CDD505-2E9C-101B-9397-08002B2CF9AE}" pid="148" name="TTBMVN.ResultAudit.Part.b24958dd8ddf45b1a9686d30672dfaf5.0081">
    <vt:lpwstr>9ya2Jvb2s6U2hlZXQyMCFGODg=
source|RVNUfFNoZWV0MjR8QkxPQ0s=|2||0|0||V29ya2Jvb2s6U2hlZXQyMCFGOTI=
source|RVNUfFNoZWV0MjR8QkxPQ0s=|2||0|0||V29ya2Jvb2s6U2hlZXQyMCFGOTM=
source|RVNUfFNoZWV0MjR8QkxPQ0s=|2||0|0||V29ya2Jvb2s6U2hlZXQyMCFGOTQ=
source</vt:lpwstr>
  </property>
  <property fmtid="{D5CDD505-2E9C-101B-9397-08002B2CF9AE}" pid="149" name="TTBMVN.ResultAudit.Part.b24958dd8ddf45b1a9686d30672dfaf5.0082">
    <vt:lpwstr>|RVNUfFNoZWV0MjR8QkxPQ0s=|2||0|0||V29ya2Jvb2s6U2hlZXQyMCFGOTU=
source|RVNUfFNoZWV0MjR8QkxPQ0s=|2||0|0||V29ya2Jvb2s6U2hlZXQyMCFGOTY=
source|RVNUfFNoZWV0MjR8QkxPQ0s=|2||0|0||V29ya2Jvb2s6U2hlZXQyMCFGOTc=
source|RVNUfFNoZWV0MjR8QkxPQ0s=|2||0|0|</vt:lpwstr>
  </property>
  <property fmtid="{D5CDD505-2E9C-101B-9397-08002B2CF9AE}" pid="150" name="TTBMVN.ResultAudit.Part.b24958dd8ddf45b1a9686d30672dfaf5.0083">
    <vt:lpwstr>|V29ya2Jvb2s6U2hlZXQyMCFGOTk=
source|RVNUfFNoZWV0MjR8QkxPQ0s=|3||0|0||SUYoUk9VTkQoJEQyMSpQMjQsMCk9MCwxLFJPVU5EKCskRDIxKlAyNCwwKSk=
source|RVNUfFNoZWV0MjR8QkxPQ0s=|3||0|0||SUYoUk9VTkQoJEQyMSpQMjUsMCk9MCwxLFJPVU5EKCREMjEqUDI1LDApKQ==
source|R</vt:lpwstr>
  </property>
  <property fmtid="{D5CDD505-2E9C-101B-9397-08002B2CF9AE}" pid="151" name="TTBMVN.ResultAudit.Part.b24958dd8ddf45b1a9686d30672dfaf5.0084">
    <vt:lpwstr>VNUfFNoZWV0MjR8QkxPQ0s=|3||0|0||Uk9VTkQoKEQxNStEMTYpKlAxNywwKSoyLjg2
source|RVNUfFNoZWV0MjR8QkxPQ0s=|3||0|0||Uk9VTkQoRDEzKlAxMiUsMyk=
source|RVNUfFNoZWV0MjR8QkxPQ0s=|3||0|0||Uk9VTkQoRDEzKlAxNCwwKQ==
source|RVNUfFNoZWV0MjR8QkxPQ0s=|3||0|0||U</vt:lpwstr>
  </property>
  <property fmtid="{D5CDD505-2E9C-101B-9397-08002B2CF9AE}" pid="152" name="TTBMVN.ResultAudit.Part.b24958dd8ddf45b1a9686d30672dfaf5.0085">
    <vt:lpwstr>k9VTkQoRDE2KlAxOCwwKSoxNC42Nw==
source|RVNUfFNoZWV0MjR8QkxPQ0s=|3||0|0||Uk9VTkQoRDIwKlAyMywwKQ==
source|RVNUfFNoZWV0MjR8QkxPQ0s=|3||0|0||U1VNKEQyMzpFMjUp
source|RVNUfFNoZWV0MjR8QkxPQ0s=|3||0|0||U2hlZXQyNCFEMTY=
source|RVNUfFNoZWV0MjR8QkxPQ0</vt:lpwstr>
  </property>
  <property fmtid="{D5CDD505-2E9C-101B-9397-08002B2CF9AE}" pid="153" name="TTBMVN.ResultAudit.Part.b24958dd8ddf45b1a9686d30672dfaf5.0086">
    <vt:lpwstr>s=|3||0|0||VEhLTCFGMTg=
source|RVNUfFNoZWV0MjR8QkxPQ0s=|3||0|0||VEhLTCFGMTk=
source|RVNUfFNoZWV0MjR8QkxPQ0s=|3||0|0||VEhLTCFGMjE=
source|RVNUfFNoZWV0MjR8QkxPQ0s=|3||0|0||VEhLTCFGMjI=
source|RVNUfFNoZWV0MjR8QkxPQ0s=|4||0|0||U2hlZXQyNCFGMTI6T</vt:lpwstr>
  </property>
  <property fmtid="{D5CDD505-2E9C-101B-9397-08002B2CF9AE}" pid="154" name="TTBMVN.ResultAudit.Part.b24958dd8ddf45b1a9686d30672dfaf5.0087">
    <vt:lpwstr>jEy
source|RVNUfFNoZWV0MjR8QkxPQ0s=|4||0|0||U2hlZXQyNCFGMTM6TjEz
source|RVNUfFNoZWV0MjR8QkxPQ0s=|4||0|0||U2hlZXQyNCFGMTQ6TjE0
source|RVNUfFNoZWV0MjR8QkxPQ0s=|4||0|0||U2hlZXQyNCFGMTU6TjE1
source|RVNUfFNoZWV0MjR8QkxPQ0s=|4||0|0||U2hlZXQyNCFGM</vt:lpwstr>
  </property>
  <property fmtid="{D5CDD505-2E9C-101B-9397-08002B2CF9AE}" pid="155" name="TTBMVN.ResultAudit.Part.b24958dd8ddf45b1a9686d30672dfaf5.0088">
    <vt:lpwstr>TY6TjE2
source|RVNUfFNoZWV0MjR8QkxPQ0s=|4||0|0||U2hlZXQyNCFGMTc6TjE3
source|RVNUfFNoZWV0MjR8QkxPQ0s=|4||0|0||U2hlZXQyNCFGMTg6TjE4
source|RVNUfFNoZWV0MjR8QkxPQ0s=|4||0|0||U2hlZXQyNCFGMjA6TjIw
source|RVNUfFNoZWV0MjR8QkxPQ0s=|4||0|0||U2hlZXQyN</vt:lpwstr>
  </property>
  <property fmtid="{D5CDD505-2E9C-101B-9397-08002B2CF9AE}" pid="156" name="TTBMVN.ResultAudit.Part.b24958dd8ddf45b1a9686d30672dfaf5.0089">
    <vt:lpwstr>CFGMjE6TjIx
source|RVNUfFNoZWV0MjR8QkxPQ0s=|4||0|0||U2hlZXQyNCFGMjI6TjIy
source|RVNUfFNoZWV0MjR8QkxPQ0s=|4||0|0||U2hlZXQyNCFGMjM6TjIz
source|RVNUfFNoZWV0MjR8QkxPQ0s=|4||0|0||U2hlZXQyNCFGMjQ6TjI0
source|RVNUfFNoZWV0MjR8QkxPQ0s=|4||0|0||U2hlZ</vt:lpwstr>
  </property>
  <property fmtid="{D5CDD505-2E9C-101B-9397-08002B2CF9AE}" pid="157" name="TTBMVN.ResultAudit.Part.b24958dd8ddf45b1a9686d30672dfaf5.0090">
    <vt:lpwstr>XQyNCFGMjU6TjI1
source|RVNUfFNoZWV0MjR8QkxPQ0s=|6||0|0||VFRCTVZOX0JMT0NLfDI2fDI3fFkzVnljbVZ1ZEMxbmRDMHdMV3hsTFRBdU5RPT0=
entry|VEhLUHxTaGVldDE2fEJMT0NL|Q29zdFN1bW1hcnk=|4|U2hlZXQxNg==|Q29zdFN1bW1hcnk=|10|4|27|5|VG9uZyBob3Aga2luaCBwaGk=|QlFQ</vt:lpwstr>
  </property>
  <property fmtid="{D5CDD505-2E9C-101B-9397-08002B2CF9AE}" pid="158" name="TTBMVN.ResultAudit.Part.b24958dd8ddf45b1a9686d30672dfaf5.0091">
    <vt:lpwstr>LVJQQk0tMjAyNQ==|Mi4wLjE=|E2537C08E7156414585BEFC446E74DD51E79AB8D67A3774B1F5250E7EECCDA90|VEVTVC1EVDEwMy1QUklDRS1CQVNFTElORQ==|MS4wLjA=|8345661796B51CC48A6E4821015ECA03F301FAA2D4E3168C5AD34C0108100C87||
source|VEhLUHxTaGVldDE2fEJMT0NL|1|Vk</vt:lpwstr>
  </property>
  <property fmtid="{D5CDD505-2E9C-101B-9397-08002B2CF9AE}" pid="159" name="TTBMVN.ResultAudit.Part.b24958dd8ddf45b1a9686d30672dfaf5.0092">
    <vt:lpwstr>JITjk3LTIwMjUtQlFQ|44|44|UGjhu6UgbOG7pWMgSUksIFBo4bqnbiBJLCBt4bulYyBJSUkuMSwgZMOybmcgMg==|
source|VEhLUHxTaGVldDE2fEJMT0NL|1|VkJITjk3LTIwMjUtQlFQ|45|45|UGjhu6UgbOG7pWMgSUksIFBo4bqnbiBJLCBt4bulYyBJSUkuMiwgZMOybmcgMQ==|
source|VEhLUHxTaGVldDE</vt:lpwstr>
  </property>
  <property fmtid="{D5CDD505-2E9C-101B-9397-08002B2CF9AE}" pid="160" name="TTBMVN.ResultAudit.Part.b24958dd8ddf45b1a9686d30672dfaf5.0093">
    <vt:lpwstr>2fEJMT0NL|1|VkJITjk3LTIwMjUtQlFQ|45|45|UGjhu6UgbOG7pWMgSUksIFBo4bqnbiBJLCBt4bulYyBJSUkuMywgbeG7qWMgMQ==|
source|VEhLUHxTaGVldDE2fEJMT0NL|1|VkJITjk3LTIwMjUtQlFQ|45|45|UGjhu6UgbOG7pWMgSUksIFBo4bqnbiBJLCBt4bulYyBJSUkuNCwgZMOybmcgNA==|
source|V</vt:lpwstr>
  </property>
  <property fmtid="{D5CDD505-2E9C-101B-9397-08002B2CF9AE}" pid="161" name="TTBMVN.ResultAudit.Part.b24958dd8ddf45b1a9686d30672dfaf5.0094">
    <vt:lpwstr>EhLUHxTaGVldDE2fEJMT0NL|1|VkJITjk3LTIwMjUtQlFQ|46|46|UGjhu6UgbOG7pWMgSUksIFBo4bqnbiBJLCBt4bulYyBJSUkuNSwgbeG7qWMgMQ==|
source|VEhLUHxTaGVldDE2fEJMT0NL|4||0|0||U2hlZXQyNCFJMjc6SzI3
source|VEhLUHxTaGVldDE2fEJMT0NL|5||0|0||VFQzNi0yMDI2LUJYRC1Q</vt:lpwstr>
  </property>
  <property fmtid="{D5CDD505-2E9C-101B-9397-08002B2CF9AE}" pid="162" name="TTBMVN.ResultAudit.Part.b24958dd8ddf45b1a9686d30672dfaf5.0095">
    <vt:lpwstr>TDMtdGFibGUtMy43
source|VEhLUHxTaGVldDE2fEJMT0NL|5||0|0||VFQzOC0yMDI2LUJYRC1QTDgtdGFibGUtMi4yNA==
entry|VEhLUHxTaGVldDE2fEsx|Q29zdFN1bW1hcnk=|3|U2hlZXQxNg==|Q29zdFN1bW1hcnk=|18|4|18|5|SzE=|QlFQLVJQQk0tMjAyNQ==|Mi4wLjE=|E2537C08E7156414585BE</vt:lpwstr>
  </property>
  <property fmtid="{D5CDD505-2E9C-101B-9397-08002B2CF9AE}" pid="163" name="TTBMVN.ResultAudit.Part.b24958dd8ddf45b1a9686d30672dfaf5.0096">
    <vt:lpwstr>FC446E74DD51E79AB8D67A3774B1F5250E7EECCDA90|VEVTVC1EVDEwMy1QUklDRS1CQVNFTElORQ==|MS4wLjA=|8345661796B51CC48A6E4821015ECA03F301FAA2D4E3168C5AD34C0108100C87||
source|VEhLUHxTaGVldDE2fEsx|1|VkJITjk3LTIwMjUtQlFQ|44|44|UGjhu6UgbOG7pWMgSUksIFBo4b</vt:lpwstr>
  </property>
  <property fmtid="{D5CDD505-2E9C-101B-9397-08002B2CF9AE}" pid="164" name="TTBMVN.ResultAudit.Part.b24958dd8ddf45b1a9686d30672dfaf5.0097">
    <vt:lpwstr>qnbiBJLCBt4bulYyBJSUkuMSwgZMOybmcgMg==|
entry|VEhLUHxTaGVldDE2fEsy|Q29zdFN1bW1hcnk=|3|U2hlZXQxNg==|Q29zdFN1bW1hcnk=|19|4|19|5|SzI=|QlFQLVJQQk0tMjAyNQ==|Mi4wLjE=|E2537C08E7156414585BEFC446E74DD51E79AB8D67A3774B1F5250E7EECCDA90|VEVTVC1EVDEwMy</vt:lpwstr>
  </property>
  <property fmtid="{D5CDD505-2E9C-101B-9397-08002B2CF9AE}" pid="165" name="TTBMVN.ResultAudit.Part.b24958dd8ddf45b1a9686d30672dfaf5.0098">
    <vt:lpwstr>1QUklDRS1CQVNFTElORQ==|MS4wLjA=|8345661796B51CC48A6E4821015ECA03F301FAA2D4E3168C5AD34C0108100C87||
source|VEhLUHxTaGVldDE2fEsy|1|VkJITjk3LTIwMjUtQlFQ|45|45|UGjhu6UgbOG7pWMgSUksIFBo4bqnbiBJLCBt4bulYyBJSUkuMiwgZMOybmcgMQ==|
source|VEhLUHxTaGV</vt:lpwstr>
  </property>
  <property fmtid="{D5CDD505-2E9C-101B-9397-08002B2CF9AE}" pid="166" name="TTBMVN.ResultAudit.Part.b24958dd8ddf45b1a9686d30672dfaf5.0099">
    <vt:lpwstr>ldDE2fEsy|5||0|0||VFQzNi0yMDI2LUJYRC1QTDMtdGFibGUtMy43
entry|VEhLUHxTaGVldDE2fEsz|Q29zdFN1bW1hcnk=|3|U2hlZXQxNg==|Q29zdFN1bW1hcnk=|20|4|20|5|SzM=|QlFQLVJQQk0tMjAyNQ==|Mi4wLjE=|E2537C08E7156414585BEFC446E74DD51E79AB8D67A3774B1F5250E7EECCDA90</vt:lpwstr>
  </property>
  <property fmtid="{D5CDD505-2E9C-101B-9397-08002B2CF9AE}" pid="167" name="TTBMVN.ResultAudit.Part.b24958dd8ddf45b1a9686d30672dfaf5.0100">
    <vt:lpwstr>|VEVTVC1EVDEwMy1QUklDRS1CQVNFTElORQ==|MS4wLjA=|8345661796B51CC48A6E4821015ECA03F301FAA2D4E3168C5AD34C0108100C87||
source|VEhLUHxTaGVldDE2fEsz|1|VkJITjk3LTIwMjUtQlFQ|45|45|UGjhu6UgbOG7pWMgSUksIFBo4bqnbiBJLCBt4bulYyBJSUkuMywgbeG7qWMgMQ==|
ent</vt:lpwstr>
  </property>
  <property fmtid="{D5CDD505-2E9C-101B-9397-08002B2CF9AE}" pid="168" name="TTBMVN.ResultAudit.Part.b24958dd8ddf45b1a9686d30672dfaf5.0101">
    <vt:lpwstr>ry|VEhLUHxTaGVldDE2fEs0|Q29zdFN1bW1hcnk=|3|U2hlZXQxNg==|Q29zdFN1bW1hcnk=|21|4|21|5|SzQ=|QlFQLVJQQk0tMjAyNQ==|Mi4wLjE=|E2537C08E7156414585BEFC446E74DD51E79AB8D67A3774B1F5250E7EECCDA90|VEVTVC1EVDEwMy1QUklDRS1CQVNFTElORQ==|MS4wLjA=|8345661796B</vt:lpwstr>
  </property>
  <property fmtid="{D5CDD505-2E9C-101B-9397-08002B2CF9AE}" pid="169" name="TTBMVN.ResultAudit.Part.b24958dd8ddf45b1a9686d30672dfaf5.0102">
    <vt:lpwstr>51CC48A6E4821015ECA03F301FAA2D4E3168C5AD34C0108100C87||
source|VEhLUHxTaGVldDE2fEs0|1|VkJITjk3LTIwMjUtQlFQ|44|44|UGjhu6UgbOG7pWMgSUksIFBo4bqnbiBJLCBt4bulYyBJSUkuMSwgZMOybmcgMg==|
entry|VEhLUHxTaGVldDE2fEs1|Q29zdFN1bW1hcnk=|3|U2hlZXQxNg==|Q2</vt:lpwstr>
  </property>
  <property fmtid="{D5CDD505-2E9C-101B-9397-08002B2CF9AE}" pid="170" name="TTBMVN.ResultAudit.Part.b24958dd8ddf45b1a9686d30672dfaf5.0103">
    <vt:lpwstr>9zdFN1bW1hcnk=|22|4|22|5|SzU=|QlFQLVJQQk0tMjAyNQ==|Mi4wLjE=|E2537C08E7156414585BEFC446E74DD51E79AB8D67A3774B1F5250E7EECCDA90|VEVTVC1EVDEwMy1QUklDRS1CQVNFTElORQ==|MS4wLjA=|8345661796B51CC48A6E4821015ECA03F301FAA2D4E3168C5AD34C0108100C87||
so</vt:lpwstr>
  </property>
  <property fmtid="{D5CDD505-2E9C-101B-9397-08002B2CF9AE}" pid="171" name="TTBMVN.ResultAudit.Part.b24958dd8ddf45b1a9686d30672dfaf5.0104">
    <vt:lpwstr>urce|VEhLUHxTaGVldDE2fEs1|1|VkJITjk3LTIwMjUtQlFQ|45|45|UGjhu6UgbOG7pWMgSUksIFBo4bqnbiBJLCBt4bulYyBJSUkuNCwgZMOybmcgNA==|
source|VEhLUHxTaGVldDE2fEs1|5||0|0||VFQzOC0yMDI2LUJYRC1QTDgtdGFibGUtMi4yNA==
entry|VEhLUHxTaGVldDE2fEs2|Q29zdFN1bW1hcnk</vt:lpwstr>
  </property>
  <property fmtid="{D5CDD505-2E9C-101B-9397-08002B2CF9AE}" pid="172" name="TTBMVN.ResultAudit.Part.b24958dd8ddf45b1a9686d30672dfaf5.0105">
    <vt:lpwstr>=|3|U2hlZXQxNg==|Q29zdFN1bW1hcnk=|23|4|23|5|SzY=|QlFQLVJQQk0tMjAyNQ==|Mi4wLjE=|E2537C08E7156414585BEFC446E74DD51E79AB8D67A3774B1F5250E7EECCDA90|VEVTVC1EVDEwMy1QUklDRS1CQVNFTElORQ==|MS4wLjA=|8345661796B51CC48A6E4821015ECA03F301FAA2D4E3168C5A</vt:lpwstr>
  </property>
  <property fmtid="{D5CDD505-2E9C-101B-9397-08002B2CF9AE}" pid="173" name="TTBMVN.ResultAudit.Part.b24958dd8ddf45b1a9686d30672dfaf5.0106">
    <vt:lpwstr>D34C0108100C87||
source|VEhLUHxTaGVldDE2fEs2|1|VkJITjk3LTIwMjUtQlFQ|46|46|UGjhu6UgbOG7pWMgSUksIFBo4bqnbiBJLCBt4bulYyBJSUkuNSwgbeG7qWMgMQ==|
entry|VEhLUHxTaGVldDE2fFdPUkRT|Q29zdFN1bW1hcnk=|4|U2hlZXQxNg==|Q29zdFN1bW1hcnk=|28|1|28|1|VG9uZyBraW</vt:lpwstr>
  </property>
  <property fmtid="{D5CDD505-2E9C-101B-9397-08002B2CF9AE}" pid="174" name="TTBMVN.ResultAudit.Part.b24958dd8ddf45b1a9686d30672dfaf5.0107">
    <vt:lpwstr>5oIHBoaSBiYW5nIGNodQ==|QlFQLVJQQk0tMjAyNQ==|Mi4wLjE=|E2537C08E7156414585BEFC446E74DD51E79AB8D67A3774B1F5250E7EECCDA90|VEVTVC1EVDEwMy1QUklDRS1CQVNFTElORQ==|MS4wLjA=|8345661796B51CC48A6E4821015ECA03F301FAA2D4E3168C5AD34C0108100C87||
source|VE</vt:lpwstr>
  </property>
  <property fmtid="{D5CDD505-2E9C-101B-9397-08002B2CF9AE}" pid="175" name="TTBMVN.ResultAudit.Part.b24958dd8ddf45b1a9686d30672dfaf5.0108">
    <vt:lpwstr>hLUHxTaGVldDE2fFdPUkRT|1|VkJITjk3LTIwMjUtQlFQ|44|44|UGjhu6UgbOG7pWMgSUksIFBo4bqnbiBJLCBt4bulYyBJSUkuMSwgZMOybmcgMg==|
source|VEhLUHxTaGVldDE2fFdPUkRT|1|VkJITjk3LTIwMjUtQlFQ|45|45|UGjhu6UgbOG7pWMgSUksIFBo4bqnbiBJLCBt4bulYyBJSUkuMiwgZMOybmcgM</vt:lpwstr>
  </property>
  <property fmtid="{D5CDD505-2E9C-101B-9397-08002B2CF9AE}" pid="176" name="TTBMVN.ResultAudit.Part.b24958dd8ddf45b1a9686d30672dfaf5.0109">
    <vt:lpwstr>Q==|
source|VEhLUHxTaGVldDE2fFdPUkRT|1|VkJITjk3LTIwMjUtQlFQ|45|45|UGjhu6UgbOG7pWMgSUksIFBo4bqnbiBJLCBt4bulYyBJSUkuMywgbeG7qWMgMQ==|
source|VEhLUHxTaGVldDE2fFdPUkRT|1|VkJITjk3LTIwMjUtQlFQ|45|45|UGjhu6UgbOG7pWMgSUksIFBo4bqnbiBJLCBt4bulYyBJSUk</vt:lpwstr>
  </property>
  <property fmtid="{D5CDD505-2E9C-101B-9397-08002B2CF9AE}" pid="177" name="TTBMVN.ResultAudit.Part.b24958dd8ddf45b1a9686d30672dfaf5.0110">
    <vt:lpwstr>uNCwgZMOybmcgNA==|
source|VEhLUHxTaGVldDE2fFdPUkRT|1|VkJITjk3LTIwMjUtQlFQ|46|46|UGjhu6UgbOG7pWMgSUksIFBo4bqnbiBJLCBt4bulYyBJSUkuNSwgbeG7qWMgMQ==|
source|VEhLUHxTaGVldDE2fFdPUkRT|4||0|0||U2hlZXQyNCFJMjc6SzI3
source|VEhLUHxTaGVldDE2fFdPUkRT|5</vt:lpwstr>
  </property>
  <property fmtid="{D5CDD505-2E9C-101B-9397-08002B2CF9AE}" pid="178" name="TTBMVN.ResultAudit.Part.b24958dd8ddf45b1a9686d30672dfaf5.0111">
    <vt:lpwstr>||0|0||VFQzNi0yMDI2LUJYRC1QTDMtdGFibGUtMy43
source|VEhLUHxTaGVldDE2fFdPUkRT|5||0|0||VFQzOC0yMDI2LUJYRC1QTDgtdGFibGUtMi4yNA==</vt:lpwstr>
  </property>
  <property fmtid="{D5CDD505-2E9C-101B-9397-08002B2CF9AE}" pid="179" name="TTBMVN.ProjectProfile.Part.cd09d5433ed74ee2aef295090161f443.0000">
    <vt:lpwstr>TTBMVN_PROJECT_PROFILE
schema=2
projectId=VEVTVC1EVC0xMDMtMDAtRFUtVE9BTi1UUDM=
preparedDate=2026-08-03
approvalDate=
priceDate=2026-08-03
regulationPackageId=QlFQLVJQQk0tMjAyMQ==
regulationPackageVersion=MS4wLjA=
regulationPackageChecksum=B</vt:lpwstr>
  </property>
  <property fmtid="{D5CDD505-2E9C-101B-9397-08002B2CF9AE}" pid="180" name="TTBMVN.ProjectProfile.Part.cd09d5433ed74ee2aef295090161f443.0001">
    <vt:lpwstr>BE95EFDF3B2DA0780CAFEEF828C9418644452655C733C1BF2417F234C3E8008
priceProfileId=VEVTVC1EVDEwMy1QUklDRS1CQVNFTElORQ==
overrideSummary=RFQtMTAzIHBlcnNpc3RlbmNlIHByb2ZpbGUgb25seTsgbm8gYnVzaW5lc3Mgb3ZlcnJpZGUuIERULTEwMyBwZXJzaXN0ZW5jZSBwcm9maWxl</vt:lpwstr>
  </property>
  <property fmtid="{D5CDD505-2E9C-101B-9397-08002B2CF9AE}" pid="181" name="TTBMVN.ProjectProfile.Part.cd09d5433ed74ee2aef295090161f443.0002">
    <vt:lpwstr>IG9ubHk7IG5vIGJ1c2luZXNzIG92ZXJyaWRlLiBEVC0xMDMgcGVyc2lzdGVuY2UgcHJvZmlsZSBvbmx5OyBubyBidXNpbmVzcyBvdmVycmlkZS4gRFQtMTAzIHBlcnNpc3RlbmNlIHByb2ZpbGUgb25seTsgbm8gYnVzaW5lc3Mgb3ZlcnJpZGUuIERULTEwMyBwZXJzaXN0ZW5jZSBwcm9maWxlIG9ubHk7IG5vIGJ1c2lu</vt:lpwstr>
  </property>
  <property fmtid="{D5CDD505-2E9C-101B-9397-08002B2CF9AE}" pid="182" name="TTBMVN.ProjectProfile.Part.cd09d5433ed74ee2aef295090161f443.0003">
    <vt:lpwstr>ZXNzIG92ZXJyaWRlLiBEVC0xMDMgcGVyc2lzdGVuY2UgcHJvZmlsZSBvbmx5OyBubyBidXNpbmVzcyBvdmVycmlkZS4gRFQtMTAzIHBlcnNpc3RlbmNlIHByb2ZpbGUgb25seTsgbm8gYnVzaW5lc3Mgb3ZlcnJpZGUuIERULTEwMyBwZXJzaXN0ZW5jZSBwcm9maWxlIG9ubHk7IG5vIGJ1c2luZXNzIG92ZXJyaWRlLiBE</vt:lpwstr>
  </property>
  <property fmtid="{D5CDD505-2E9C-101B-9397-08002B2CF9AE}" pid="183" name="TTBMVN.ProjectProfile.Part.cd09d5433ed74ee2aef295090161f443.0004">
    <vt:lpwstr>VC0xMDMgcGVyc2lzdGVuY2UgcHJvZmlsZSBvbmx5OyBubyBidXNpbmVzcyBvdmVycmlkZS4gRFQtMTAzIHBlcnNpc3RlbmNlIHByb2ZpbGUgb25seTsgbm8gYnVzaW5lc3Mgb3ZlcnJpZGUuIERULTEwMyBwZXJzaXN0ZW5jZSBwcm9maWxlIG9ubHk7IG5vIGJ1c2luZXNzIG92ZXJyaWRlLiBEVC0xMDMgcGVyc2lzdGVu</vt:lpwstr>
  </property>
  <property fmtid="{D5CDD505-2E9C-101B-9397-08002B2CF9AE}" pid="184" name="TTBMVN.ProjectProfile.Part.cd09d5433ed74ee2aef295090161f443.0005">
    <vt:lpwstr>Y2UgcHJvZmlsZSBvbmx5OyBubyBidXNpbmVzcyBvdmVycmlkZS4gRFQtMTAzIHBlcnNpc3RlbmNlIHByb2ZpbGUgb25seTsgbm8gYnVzaW5lc3Mgb3ZlcnJpZGUuIERULTEwMyBwZXJzaXN0ZW5jZSBwcm9maWxlIG9ubHk7IG5vIGJ1c2luZXNzIG92ZXJyaWRlLiBEVC0xMDMgcGVyc2lzdGVuY2UgcHJvZmlsZSBvbmx5</vt:lpwstr>
  </property>
  <property fmtid="{D5CDD505-2E9C-101B-9397-08002B2CF9AE}" pid="185" name="TTBMVN.ProjectProfile.Part.cd09d5433ed74ee2aef295090161f443.0006">
    <vt:lpwstr>OyBubyBidXNpbmVzcyBvdmVycmlkZS4gRFQtMTAzIHBlcnNpc3RlbmNlIHByb2ZpbGUgb25seTsgbm8gYnVzaW5lc3Mgb3ZlcnJpZGUuIERULTEwMyBwZXJzaXN0ZW5jZSBwcm9maWxlIG9ubHk7IG5vIGJ1c2luZXNzIG92ZXJyaWRlLiBEVC0xMDMgcGVyc2lzdGVuY2UgcHJvZmlsZSBvbmx5OyBubyBidXNpbmVzcyBv</vt:lpwstr>
  </property>
  <property fmtid="{D5CDD505-2E9C-101B-9397-08002B2CF9AE}" pid="186" name="TTBMVN.ProjectProfile.Part.cd09d5433ed74ee2aef295090161f443.0007">
    <vt:lpwstr>dmVycmlkZS4gRFQtMTAzIHBlcnNpc3RlbmNlIHByb2ZpbGUgb25seTsgbm8gYnVzaW5lc3Mgb3ZlcnJpZGUuIERULTEwMyBwZXJzaXN0ZW5jZSBwcm9maWxlIG9ubHk7IG5vIGJ1c2luZXNzIG92ZXJyaWRlLg==</vt:lpwstr>
  </property>
</Properties>
</file>