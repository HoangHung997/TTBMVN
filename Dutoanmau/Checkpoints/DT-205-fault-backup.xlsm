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8_{9C95B9BF-0B62-4228-8C65-E7ED4F5F6201}" xr6:coauthVersionLast="47" xr6:coauthVersionMax="47" xr10:uidLastSave="{00000000-0000-0000-0000-000000000000}"/>
  <bookViews>
    <workbookView xWindow="1920" yWindow="1920" windowWidth="17280" windowHeight="8880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<sst xmlns="http://schemas.openxmlformats.org/spreadsheetml/2006/main" count="1631" uniqueCount="554">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</sst>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6" fillId="0" borderId="0" xfId="2093" applyFont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5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center" vertical="center" wrapText="1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182" fontId="30" fillId="0" borderId="0" xfId="1822" applyNumberFormat="1" applyFont="1" applyAlignment="1">
      <alignment horizontal="center"/>
    </xf>
    <xf numFmtId="0" fontId="42" fillId="0" borderId="1" xfId="2088" applyFont="1" applyBorder="1" applyAlignment="1">
      <alignment horizontal="center" vertical="center" wrapText="1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7" t="s">
        <v>436</v>
      </c>
      <c r="D1" s="817"/>
      <c r="E1" s="817"/>
      <c r="F1" s="817"/>
      <c r="G1" s="817"/>
      <c r="H1" s="817"/>
      <c r="I1" s="817"/>
      <c r="J1" s="817"/>
      <c r="K1" s="817"/>
      <c r="L1" s="817"/>
      <c r="M1" s="817"/>
      <c r="N1" s="817"/>
      <c r="O1" s="817"/>
      <c r="P1" s="817"/>
      <c r="Q1" s="817"/>
      <c r="R1" s="710"/>
      <c r="S1" s="710"/>
    </row>
    <row r="2" spans="1:31" ht="20.25" customHeight="1">
      <c r="C2" s="826" t="s">
        <v>541</v>
      </c>
      <c r="D2" s="826"/>
      <c r="E2" s="826"/>
      <c r="F2" s="826"/>
      <c r="G2" s="826"/>
      <c r="H2" s="826"/>
      <c r="I2" s="826"/>
      <c r="J2" s="826"/>
      <c r="K2" s="826"/>
      <c r="L2" s="826"/>
      <c r="M2" s="826"/>
      <c r="N2" s="826"/>
      <c r="O2" s="826"/>
      <c r="P2" s="826"/>
      <c r="Q2" s="826"/>
      <c r="R2" s="711"/>
      <c r="S2" s="711"/>
    </row>
    <row r="3" spans="1:31" ht="20.25" customHeight="1">
      <c r="C3" s="827" t="s">
        <v>195</v>
      </c>
      <c r="D3" s="827"/>
      <c r="E3" s="827"/>
      <c r="F3" s="827"/>
      <c r="G3" s="827"/>
      <c r="H3" s="827"/>
      <c r="I3" s="827"/>
      <c r="J3" s="827"/>
      <c r="K3" s="827"/>
      <c r="L3" s="827"/>
      <c r="M3" s="827"/>
      <c r="N3" s="827"/>
      <c r="O3" s="827"/>
      <c r="P3" s="827"/>
      <c r="Q3" s="827"/>
      <c r="R3" s="711"/>
      <c r="S3" s="711"/>
    </row>
    <row r="4" spans="1:31" ht="20.25" customHeight="1">
      <c r="C4" s="826" t="s">
        <v>542</v>
      </c>
      <c r="D4" s="826"/>
      <c r="E4" s="826"/>
      <c r="F4" s="826"/>
      <c r="G4" s="826"/>
      <c r="H4" s="826"/>
      <c r="I4" s="826"/>
      <c r="J4" s="826"/>
      <c r="K4" s="826"/>
      <c r="L4" s="826"/>
      <c r="M4" s="826"/>
      <c r="N4" s="826"/>
      <c r="O4" s="826"/>
      <c r="P4" s="826"/>
      <c r="Q4" s="826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14" t="s">
        <v>452</v>
      </c>
      <c r="B6" s="713"/>
      <c r="C6" s="815" t="s">
        <v>18</v>
      </c>
      <c r="D6" s="815" t="s">
        <v>453</v>
      </c>
      <c r="E6" s="816" t="s">
        <v>454</v>
      </c>
      <c r="F6" s="816" t="s">
        <v>455</v>
      </c>
      <c r="G6" s="823" t="s">
        <v>456</v>
      </c>
      <c r="H6" s="825"/>
      <c r="I6" s="824"/>
      <c r="J6" s="818" t="s">
        <v>510</v>
      </c>
      <c r="K6" s="819"/>
      <c r="L6" s="820"/>
      <c r="M6" s="823" t="s">
        <v>508</v>
      </c>
      <c r="N6" s="824"/>
      <c r="O6" s="823" t="s">
        <v>509</v>
      </c>
      <c r="P6" s="824"/>
      <c r="Q6" s="821" t="s">
        <v>19</v>
      </c>
      <c r="R6" s="711"/>
      <c r="S6" s="711"/>
      <c r="U6" s="709">
        <v>3</v>
      </c>
    </row>
    <row r="7" spans="1:31" ht="57.6" customHeight="1">
      <c r="A7" s="814"/>
      <c r="B7" s="713"/>
      <c r="C7" s="815"/>
      <c r="D7" s="815"/>
      <c r="E7" s="816"/>
      <c r="F7" s="816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22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546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C1:Q1"/>
    <mergeCell ref="J6:L6"/>
    <mergeCell ref="Q6:Q7"/>
    <mergeCell ref="M6:N6"/>
    <mergeCell ref="O6:P6"/>
    <mergeCell ref="G6:I6"/>
    <mergeCell ref="C2:Q2"/>
    <mergeCell ref="C3:Q3"/>
    <mergeCell ref="C4:Q4"/>
    <mergeCell ref="A6:A7"/>
    <mergeCell ref="C6:C7"/>
    <mergeCell ref="D6:D7"/>
    <mergeCell ref="E6:E7"/>
    <mergeCell ref="F6:F7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29" t="s">
        <v>443</v>
      </c>
      <c r="B10" s="829"/>
      <c r="C10" s="829"/>
      <c r="D10" s="829"/>
      <c r="E10" s="829"/>
      <c r="F10" s="829"/>
      <c r="G10" s="829"/>
    </row>
    <row r="11" spans="1:13" ht="30" customHeight="1">
      <c r="A11" s="830" t="str">
        <f>'PL01'!C2</f>
        <v>Dự án: Cải tạo, nâng cấp  trạm bơm Trà Phương 3 tiêu thoát nước cho vùng các khu công nghiệp huyện Kim Động, Ân Thi, Yên Mỹ tỉnh Hưng Yên</v>
      </c>
      <c r="B11" s="831"/>
      <c r="C11" s="831"/>
      <c r="D11" s="831"/>
      <c r="E11" s="831"/>
      <c r="F11" s="831"/>
      <c r="G11" s="831"/>
    </row>
    <row r="12" spans="1:13">
      <c r="A12" s="830" t="s">
        <v>195</v>
      </c>
      <c r="B12" s="831"/>
      <c r="C12" s="831"/>
      <c r="D12" s="831"/>
      <c r="E12" s="831"/>
      <c r="F12" s="831"/>
      <c r="G12" s="831"/>
    </row>
    <row r="13" spans="1:13" ht="15.6" customHeight="1">
      <c r="A13" s="830" t="str">
        <f>'PL01'!C4</f>
        <v>Địa điểm: Xã Hồng Quang, tỉnh Hưng Yên</v>
      </c>
      <c r="B13" s="831"/>
      <c r="C13" s="831"/>
      <c r="D13" s="831"/>
      <c r="E13" s="831"/>
      <c r="F13" s="831"/>
      <c r="G13" s="831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2" t="s">
        <v>516</v>
      </c>
      <c r="B26" s="832"/>
      <c r="C26" s="832"/>
      <c r="D26" s="832"/>
      <c r="E26" s="832"/>
      <c r="F26" s="832"/>
      <c r="G26" s="832"/>
      <c r="J26" s="705"/>
    </row>
    <row r="27" spans="1:21" s="424" customFormat="1" ht="9" customHeight="1">
      <c r="A27" s="828"/>
      <c r="B27" s="828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8" t="s">
        <v>140</v>
      </c>
      <c r="F28" s="828"/>
      <c r="G28" s="828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8"/>
      <c r="B31" s="828"/>
      <c r="C31" s="423"/>
      <c r="D31" s="423"/>
      <c r="E31" s="427"/>
      <c r="F31" s="427"/>
      <c r="G31" s="423"/>
      <c r="J31" s="706"/>
    </row>
    <row r="32" spans="1:21" s="424" customFormat="1" ht="9" customHeight="1">
      <c r="A32" s="828"/>
      <c r="B32" s="828"/>
      <c r="C32" s="423"/>
      <c r="D32" s="425"/>
      <c r="E32" s="425"/>
      <c r="F32" s="425"/>
      <c r="G32" s="425"/>
      <c r="J32" s="698"/>
    </row>
    <row r="33" spans="2:7" ht="16.8">
      <c r="B33" s="423"/>
      <c r="E33" s="828" t="s">
        <v>550</v>
      </c>
      <c r="F33" s="828"/>
      <c r="G33" s="828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29" t="s">
        <v>389</v>
      </c>
      <c r="B10" s="829"/>
      <c r="C10" s="829"/>
      <c r="D10" s="829"/>
      <c r="E10" s="829"/>
      <c r="F10" s="829"/>
      <c r="G10" s="829"/>
      <c r="H10" s="829"/>
      <c r="I10" s="829"/>
      <c r="J10" s="829"/>
    </row>
    <row r="11" spans="1:20" ht="27.6" customHeight="1">
      <c r="A11" s="831" t="s">
        <v>374</v>
      </c>
      <c r="B11" s="831"/>
      <c r="C11" s="831"/>
      <c r="D11" s="831"/>
      <c r="E11" s="831"/>
      <c r="F11" s="831"/>
      <c r="G11" s="831"/>
      <c r="H11" s="831"/>
      <c r="I11" s="831"/>
      <c r="J11" s="831"/>
    </row>
    <row r="12" spans="1:20" ht="20.25" customHeight="1">
      <c r="A12" s="829" t="s">
        <v>195</v>
      </c>
      <c r="B12" s="829"/>
      <c r="C12" s="829"/>
      <c r="D12" s="829"/>
      <c r="E12" s="829"/>
      <c r="F12" s="829"/>
      <c r="G12" s="829"/>
      <c r="H12" s="829"/>
      <c r="I12" s="829"/>
      <c r="J12" s="829"/>
    </row>
    <row r="13" spans="1:20" ht="19.5" customHeight="1">
      <c r="A13" s="829" t="s">
        <v>375</v>
      </c>
      <c r="B13" s="829"/>
      <c r="C13" s="829"/>
      <c r="D13" s="829"/>
      <c r="E13" s="829"/>
      <c r="F13" s="829"/>
      <c r="G13" s="829"/>
      <c r="H13" s="829"/>
      <c r="I13" s="829"/>
      <c r="J13" s="829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3" t="s">
        <v>18</v>
      </c>
      <c r="B15" s="833" t="s">
        <v>117</v>
      </c>
      <c r="C15" s="833" t="s">
        <v>53</v>
      </c>
      <c r="D15" s="835" t="s">
        <v>366</v>
      </c>
      <c r="E15" s="836"/>
      <c r="F15" s="837"/>
      <c r="G15" s="835" t="s">
        <v>390</v>
      </c>
      <c r="H15" s="836"/>
      <c r="I15" s="837"/>
      <c r="J15" s="838" t="s">
        <v>19</v>
      </c>
      <c r="T15" s="410">
        <v>1</v>
      </c>
    </row>
    <row r="16" spans="1:20" ht="31.2">
      <c r="A16" s="834"/>
      <c r="B16" s="834"/>
      <c r="C16" s="834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39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8" t="s">
        <v>242</v>
      </c>
      <c r="B43" s="828"/>
      <c r="C43" s="828"/>
      <c r="D43" s="828"/>
      <c r="E43" s="425"/>
      <c r="F43" s="425"/>
      <c r="G43" s="828" t="s">
        <v>140</v>
      </c>
      <c r="H43" s="828"/>
      <c r="I43" s="828"/>
      <c r="J43" s="828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8"/>
      <c r="B48" s="828"/>
      <c r="C48" s="423"/>
      <c r="D48" s="425"/>
      <c r="E48" s="425"/>
      <c r="F48" s="425"/>
      <c r="G48" s="828" t="str">
        <f>THNK_C!L18</f>
        <v>Nguyễn Đình Duy</v>
      </c>
      <c r="H48" s="828"/>
      <c r="I48" s="828"/>
      <c r="J48" s="828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51" t="s">
        <v>0</v>
      </c>
      <c r="B15" s="851" t="s">
        <v>304</v>
      </c>
      <c r="C15" s="854" t="s">
        <v>305</v>
      </c>
      <c r="D15" s="855"/>
      <c r="E15" s="855"/>
      <c r="F15" s="855"/>
      <c r="G15" s="856"/>
    </row>
    <row r="16" spans="1:7" ht="15" customHeight="1">
      <c r="A16" s="852"/>
      <c r="B16" s="852"/>
      <c r="C16" s="851" t="s">
        <v>306</v>
      </c>
      <c r="D16" s="851" t="s">
        <v>307</v>
      </c>
      <c r="E16" s="478" t="s">
        <v>308</v>
      </c>
      <c r="F16" s="851" t="s">
        <v>310</v>
      </c>
      <c r="G16" s="479" t="s">
        <v>311</v>
      </c>
    </row>
    <row r="17" spans="1:7">
      <c r="A17" s="853"/>
      <c r="B17" s="853"/>
      <c r="C17" s="853"/>
      <c r="D17" s="853"/>
      <c r="E17" s="480" t="s">
        <v>309</v>
      </c>
      <c r="F17" s="85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2" t="s">
        <v>0</v>
      </c>
      <c r="B26" s="485" t="s">
        <v>264</v>
      </c>
      <c r="C26" s="844" t="s">
        <v>317</v>
      </c>
      <c r="D26" s="845"/>
      <c r="E26" s="846"/>
    </row>
    <row r="27" spans="1:7" ht="30.6" customHeight="1">
      <c r="A27" s="843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0" t="s">
        <v>0</v>
      </c>
      <c r="B35" s="461" t="s">
        <v>264</v>
      </c>
      <c r="C35" s="848" t="s">
        <v>305</v>
      </c>
      <c r="D35" s="849"/>
      <c r="E35" s="850"/>
    </row>
    <row r="36" spans="1:7" ht="67.2" customHeight="1">
      <c r="A36" s="847"/>
      <c r="B36" s="491" t="s">
        <v>316</v>
      </c>
      <c r="C36" s="491" t="s">
        <v>321</v>
      </c>
      <c r="D36" s="840" t="s">
        <v>323</v>
      </c>
      <c r="E36" s="840" t="s">
        <v>324</v>
      </c>
      <c r="F36" s="840" t="s">
        <v>323</v>
      </c>
      <c r="G36" s="840" t="s">
        <v>324</v>
      </c>
    </row>
    <row r="37" spans="1:7" ht="16.8">
      <c r="A37" s="841"/>
      <c r="B37" s="492"/>
      <c r="C37" s="493" t="s">
        <v>322</v>
      </c>
      <c r="D37" s="841"/>
      <c r="E37" s="841"/>
      <c r="F37" s="841"/>
      <c r="G37" s="841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A15:A17"/>
    <mergeCell ref="B15:B17"/>
    <mergeCell ref="C15:G15"/>
    <mergeCell ref="C16:C17"/>
    <mergeCell ref="D16:D17"/>
    <mergeCell ref="F16:F17"/>
    <mergeCell ref="F36:F37"/>
    <mergeCell ref="G36:G37"/>
    <mergeCell ref="A26:A27"/>
    <mergeCell ref="C26:E26"/>
    <mergeCell ref="A35:A37"/>
    <mergeCell ref="C35:E35"/>
    <mergeCell ref="D36:D37"/>
    <mergeCell ref="E36:E3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tabSelected="1" view="pageBreakPreview" topLeftCell="A16" zoomScale="60" zoomScaleNormal="70" workbookViewId="0">
      <selection activeCell="M17" sqref="M17:M18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11" t="s">
        <v>121</v>
      </c>
      <c r="B2" s="811"/>
      <c r="C2" s="811"/>
      <c r="D2" s="811"/>
      <c r="E2" s="811"/>
      <c r="F2" s="811"/>
    </row>
    <row r="3" spans="1:25" s="630" customFormat="1" ht="48" customHeight="1">
      <c r="A3" s="812" t="str">
        <f>'PL01'!C2</f>
        <v>Dự án: Cải tạo, nâng cấp  trạm bơm Trà Phương 3 tiêu thoát nước cho vùng các khu công nghiệp huyện Kim Động, Ân Thi, Yên Mỹ tỉnh Hưng Yên</v>
      </c>
      <c r="B3" s="813"/>
      <c r="C3" s="813"/>
      <c r="D3" s="813"/>
      <c r="E3" s="813"/>
      <c r="F3" s="813"/>
      <c r="H3" s="631"/>
    </row>
    <row r="4" spans="1:25" s="632" customFormat="1" ht="16.8" customHeight="1">
      <c r="A4" s="812" t="str">
        <f>'PL01'!C3</f>
        <v>Hạng mục: Rà phá bom mìn, vật nổ</v>
      </c>
      <c r="B4" s="813"/>
      <c r="C4" s="813"/>
      <c r="D4" s="813"/>
      <c r="E4" s="813"/>
      <c r="F4" s="813"/>
    </row>
    <row r="5" spans="1:25" s="630" customFormat="1" ht="22.8" customHeight="1">
      <c r="A5" s="812" t="str">
        <f>'PL01'!C4</f>
        <v>Địa điểm: Xã Hồng Quang, tỉnh Hưng Yên</v>
      </c>
      <c r="B5" s="813"/>
      <c r="C5" s="813"/>
      <c r="D5" s="813"/>
      <c r="E5" s="813"/>
      <c r="F5" s="813"/>
    </row>
    <row r="6" spans="1:25" s="632" customFormat="1" ht="21" hidden="1" customHeight="1">
      <c r="A6" s="810" t="s">
        <v>240</v>
      </c>
      <c r="B6" s="810"/>
      <c r="C6" s="810"/>
      <c r="D6" s="810"/>
      <c r="E6" s="810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TRANSPOSE('Gia DT TC'!I27:K27)</f>
        <v>12540585.6195888</v>
      </c>
      <c r="F10" s="648"/>
      <c r="G10" s="643">
        <v>2</v>
      </c>
      <c r="H10" s="643" t="s">
        <v>378</v>
      </c>
      <c r="Y10" s="643" t="s">
        <v>553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$D15%*(E13+E14)</f>
        <v>52058432.511074491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 t="shared" ref="E25" si="0">8%*(E24-E21-E20)</f>
        <v>87685373.211352289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 t="shared" ref="E26" si="1">E24+E25</f>
        <v>1198731169.1621242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07" t="s">
        <v>545</v>
      </c>
      <c r="B28" s="807"/>
      <c r="C28" s="807"/>
      <c r="D28" s="807"/>
      <c r="E28" s="807"/>
      <c r="F28" s="807"/>
      <c r="G28" s="808"/>
      <c r="H28" s="808"/>
      <c r="I28" s="808"/>
      <c r="J28" s="808"/>
      <c r="K28" s="808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09" t="s">
        <v>179</v>
      </c>
      <c r="B30" s="809"/>
      <c r="C30" s="424"/>
      <c r="D30" s="809" t="s">
        <v>123</v>
      </c>
      <c r="E30" s="809"/>
      <c r="F30" s="809"/>
    </row>
    <row r="31" spans="1:12" ht="16.95" customHeight="1">
      <c r="A31" s="809"/>
      <c r="B31" s="809"/>
      <c r="C31" s="424"/>
      <c r="D31" s="809" t="s">
        <v>551</v>
      </c>
      <c r="E31" s="809"/>
      <c r="F31" s="809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09" t="s">
        <v>552</v>
      </c>
      <c r="E35" s="809"/>
      <c r="F35" s="809"/>
    </row>
    <row r="36" spans="1:6" ht="18">
      <c r="A36" s="805"/>
      <c r="B36" s="805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06"/>
      <c r="B39" s="806"/>
      <c r="C39" s="806"/>
      <c r="D39" s="806"/>
      <c r="E39" s="806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6:E6"/>
    <mergeCell ref="A2:F2"/>
    <mergeCell ref="A3:F3"/>
    <mergeCell ref="A4:F4"/>
    <mergeCell ref="A5:F5"/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65" t="s">
        <v>351</v>
      </c>
      <c r="B1" s="865"/>
      <c r="C1" s="865"/>
      <c r="D1" s="865"/>
      <c r="E1" s="865"/>
      <c r="F1" s="865"/>
      <c r="G1" s="865"/>
      <c r="H1" s="865"/>
      <c r="I1" s="865"/>
      <c r="J1" s="865"/>
      <c r="K1" s="865"/>
      <c r="L1" s="23"/>
      <c r="M1" s="23"/>
      <c r="N1" s="23"/>
      <c r="O1" s="23"/>
    </row>
    <row r="2" spans="1:22" ht="24" customHeight="1">
      <c r="A2" s="865" t="s">
        <v>112</v>
      </c>
      <c r="B2" s="865"/>
      <c r="C2" s="865"/>
      <c r="D2" s="865"/>
      <c r="E2" s="865"/>
      <c r="F2" s="865"/>
      <c r="G2" s="865"/>
      <c r="H2" s="865"/>
      <c r="I2" s="865"/>
      <c r="J2" s="865"/>
      <c r="K2" s="865"/>
      <c r="L2" s="23"/>
      <c r="M2" s="23"/>
      <c r="N2" s="23"/>
      <c r="O2" s="23"/>
      <c r="Q2" s="866"/>
      <c r="R2" s="866"/>
      <c r="S2" s="866"/>
      <c r="T2" s="866"/>
    </row>
    <row r="3" spans="1:22" ht="24" hidden="1" customHeight="1">
      <c r="A3" s="861" t="e">
        <f>#REF!</f>
        <v>#REF!</v>
      </c>
      <c r="B3" s="861"/>
      <c r="C3" s="861"/>
      <c r="D3" s="861"/>
      <c r="E3" s="861"/>
      <c r="F3" s="861"/>
      <c r="G3" s="861"/>
      <c r="H3" s="861"/>
      <c r="I3" s="861"/>
      <c r="J3" s="861"/>
      <c r="K3" s="861"/>
      <c r="L3" s="23"/>
      <c r="M3" s="23"/>
      <c r="N3" s="23"/>
      <c r="O3" s="23"/>
    </row>
    <row r="4" spans="1:22" s="2" customFormat="1" ht="27" customHeight="1">
      <c r="A4" s="860">
        <v>0</v>
      </c>
      <c r="B4" s="860"/>
      <c r="C4" s="860"/>
      <c r="D4" s="860"/>
      <c r="E4" s="860"/>
      <c r="F4" s="860"/>
      <c r="G4" s="860"/>
      <c r="H4" s="860"/>
      <c r="I4" s="860"/>
      <c r="J4" s="860"/>
      <c r="K4" s="860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61" t="s">
        <v>195</v>
      </c>
      <c r="B5" s="861"/>
      <c r="C5" s="861"/>
      <c r="D5" s="861"/>
      <c r="E5" s="861"/>
      <c r="F5" s="861"/>
      <c r="G5" s="861"/>
      <c r="H5" s="861"/>
      <c r="I5" s="861"/>
      <c r="J5" s="861"/>
      <c r="K5" s="861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0" t="str">
        <f>'THKP-TC'!A5</f>
        <v>Địa điểm: Xã Hồng Quang, tỉnh Hưng Yên</v>
      </c>
      <c r="B6" s="861"/>
      <c r="C6" s="861"/>
      <c r="D6" s="861"/>
      <c r="E6" s="861"/>
      <c r="F6" s="861"/>
      <c r="G6" s="861"/>
      <c r="H6" s="861"/>
      <c r="I6" s="861"/>
      <c r="J6" s="861"/>
      <c r="K6" s="861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2"/>
      <c r="B7" s="862"/>
      <c r="C7" s="862"/>
      <c r="D7" s="862"/>
      <c r="E7" s="862"/>
      <c r="F7" s="862"/>
      <c r="G7" s="862"/>
      <c r="H7" s="862"/>
      <c r="I7" s="862"/>
      <c r="J7" s="862"/>
      <c r="K7" s="862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3" t="s">
        <v>0</v>
      </c>
      <c r="B9" s="863" t="s">
        <v>49</v>
      </c>
      <c r="C9" s="863" t="s">
        <v>53</v>
      </c>
      <c r="D9" s="863" t="s">
        <v>22</v>
      </c>
      <c r="E9" s="863" t="s">
        <v>164</v>
      </c>
      <c r="F9" s="857" t="s">
        <v>31</v>
      </c>
      <c r="G9" s="857"/>
      <c r="H9" s="857"/>
      <c r="I9" s="857" t="s">
        <v>45</v>
      </c>
      <c r="J9" s="857"/>
      <c r="K9" s="857"/>
      <c r="L9" s="857" t="s">
        <v>167</v>
      </c>
      <c r="M9" s="857"/>
      <c r="N9" s="857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4"/>
      <c r="B10" s="864"/>
      <c r="C10" s="864"/>
      <c r="D10" s="864"/>
      <c r="E10" s="864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+'DG Can'!$F$11</f>
        <v>0</v>
      </c>
      <c r="G12" s="384">
        <f>+'DG Can'!$G$11</f>
        <v>33165000</v>
      </c>
      <c r="H12" s="384">
        <f>+'DG Can'!$H$11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f>'DG Can'!F29</f>
        <v>851550</v>
      </c>
      <c r="G13" s="385">
        <f>'DG Can'!G29</f>
        <v>8593200</v>
      </c>
      <c r="H13" s="385">
        <f>'DG Can'!H29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+'DG Can'!$F$75</f>
        <v>0</v>
      </c>
      <c r="G14" s="385">
        <f>+'DG Can'!$G$75</f>
        <v>31050</v>
      </c>
      <c r="H14" s="385">
        <f>+'DG Can'!$H$75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f>'DG Can'!$F$93</f>
        <v>640500</v>
      </c>
      <c r="G15" s="385">
        <f>'DG Can'!$G$93</f>
        <v>3489750</v>
      </c>
      <c r="H15" s="385">
        <f>'DG Can'!$H$93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'DG Can'!$F$111</f>
        <v>0</v>
      </c>
      <c r="G16" s="385">
        <f>'DG Can'!$G$111</f>
        <v>0</v>
      </c>
      <c r="H16" s="385">
        <f>'DG Can'!$H$111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+'DG Can'!$F$127</f>
        <v>19108.739440000001</v>
      </c>
      <c r="G17" s="385">
        <f>+'DG Can'!$G$127</f>
        <v>589950</v>
      </c>
      <c r="H17" s="385">
        <f>+'DG Can'!$H$127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+'DG Can'!$F$145</f>
        <v>0</v>
      </c>
      <c r="G18" s="385">
        <f>+'DG Can'!$G$145</f>
        <v>0</v>
      </c>
      <c r="H18" s="385">
        <f>+'DG Can'!$H$145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f>'DG Nuoc'!$F$34</f>
        <v>572387.19999999995</v>
      </c>
      <c r="G20" s="385">
        <f>'DG Nuoc'!$G$34</f>
        <v>11790900</v>
      </c>
      <c r="H20" s="385">
        <f>'DG Nuoc'!$H$34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f>'DG Nuoc'!$F$57</f>
        <v>360287.2</v>
      </c>
      <c r="G21" s="385">
        <f>'DG Nuoc'!$G$57</f>
        <v>4855950</v>
      </c>
      <c r="H21" s="385">
        <f>'DG Nuoc'!$H$57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'DG Nuoc'!$F$74</f>
        <v>4393.5</v>
      </c>
      <c r="G22" s="385">
        <f>'DG Nuoc'!$G$74</f>
        <v>27720</v>
      </c>
      <c r="H22" s="385">
        <f>'DG Nuoc'!$H$74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'DG Nuoc'!$F$88</f>
        <v>0</v>
      </c>
      <c r="G23" s="385">
        <f>'DG Nuoc'!$G$88</f>
        <v>113850</v>
      </c>
      <c r="H23" s="385">
        <f>'DG Nuoc'!$H$88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'DG Nuoc'!$F$103</f>
        <v>0</v>
      </c>
      <c r="G24" s="385">
        <f>'DG Nuoc'!$G$103</f>
        <v>113850</v>
      </c>
      <c r="H24" s="385">
        <f>'DG Nuoc'!$H$103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'DG Nuoc'!$F$121</f>
        <v>535040</v>
      </c>
      <c r="G25" s="385">
        <f>'DG Nuoc'!$G$121</f>
        <v>495000</v>
      </c>
      <c r="H25" s="385">
        <f>'DG Nuoc'!$H$121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58"/>
      <c r="D30" s="859"/>
      <c r="I30" s="206"/>
      <c r="J30" s="206"/>
      <c r="K30" s="206"/>
      <c r="P30" s="207"/>
    </row>
    <row r="31" spans="1:22">
      <c r="C31" s="858"/>
      <c r="D31" s="859"/>
    </row>
    <row r="32" spans="1:22">
      <c r="D32" s="19"/>
      <c r="E32" s="19"/>
    </row>
  </sheetData>
  <mergeCells count="18">
    <mergeCell ref="A5:K5"/>
    <mergeCell ref="A1:K1"/>
    <mergeCell ref="A2:K2"/>
    <mergeCell ref="Q2:T2"/>
    <mergeCell ref="A3:K3"/>
    <mergeCell ref="A4:K4"/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13" t="s">
        <v>191</v>
      </c>
      <c r="B1" s="828"/>
      <c r="C1" s="828"/>
      <c r="D1" s="828"/>
      <c r="E1" s="828"/>
      <c r="F1" s="828"/>
      <c r="G1" s="828"/>
      <c r="H1" s="828"/>
    </row>
    <row r="2" spans="1:21">
      <c r="A2" s="829" t="str">
        <f>"Dọn mặt bằng thủ công cho một ha rừng "&amp;M11&amp;",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>
      <c r="A3" s="829" t="str" cm="1">
        <f t="array" aca="1" ref="A3" ca="1">"Số hiệu định mức: 010.0200."&amp;INDIRECT(ADDRESS(ROW(M6),COLUMN(M6)+M6,1,1))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M5" s="520" t="s">
        <v>254</v>
      </c>
      <c r="N5" s="835" t="s">
        <v>255</v>
      </c>
      <c r="O5" s="836"/>
      <c r="P5" s="836"/>
      <c r="Q5" s="836"/>
      <c r="R5" s="837"/>
    </row>
    <row r="6" spans="1:21" s="519" customFormat="1" ht="16.2">
      <c r="A6" s="833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1" t="str">
        <f>"Dò bằng máy đến độ sâu 0,3 m cho 1 ha - Mật độ tín hiệu "&amp;M29</f>
        <v>Dò bằng máy đến độ sâu 0,3 m cho 1 ha - Mật độ tín hiệu loại 1</v>
      </c>
      <c r="B14" s="829"/>
      <c r="C14" s="829"/>
      <c r="D14" s="829"/>
      <c r="E14" s="829"/>
      <c r="F14" s="829"/>
      <c r="G14" s="829"/>
      <c r="H14" s="829"/>
    </row>
    <row r="15" spans="1:21" ht="20.100000000000001" customHeight="1">
      <c r="A15" s="829" t="str" cm="1">
        <f t="array" aca="1" ref="A15" ca="1">"Số hiệu định mức: 020.0200."&amp;INDIRECT(ADDRESS(ROW(M18),COLUMN(M18)+M18,1,1))</f>
        <v>Số hiệu định mức: 020.0200.1</v>
      </c>
      <c r="B15" s="829"/>
      <c r="C15" s="829"/>
      <c r="D15" s="829"/>
      <c r="E15" s="829"/>
      <c r="F15" s="829"/>
      <c r="G15" s="829"/>
      <c r="H15" s="829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68" t="s">
        <v>42</v>
      </c>
      <c r="D17" s="868" t="s">
        <v>20</v>
      </c>
      <c r="E17" s="868" t="s">
        <v>80</v>
      </c>
      <c r="F17" s="868" t="s">
        <v>17</v>
      </c>
      <c r="G17" s="868"/>
      <c r="H17" s="868"/>
      <c r="M17" s="520" t="s">
        <v>254</v>
      </c>
      <c r="N17" s="835" t="s">
        <v>255</v>
      </c>
      <c r="O17" s="836"/>
      <c r="P17" s="836"/>
      <c r="Q17" s="836"/>
      <c r="R17" s="837"/>
    </row>
    <row r="18" spans="1:18" s="519" customFormat="1" ht="16.2">
      <c r="A18" s="867"/>
      <c r="B18" s="867"/>
      <c r="C18" s="868"/>
      <c r="D18" s="868"/>
      <c r="E18" s="868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1" t="str">
        <f>"Dò bằng máy đến độ sâu 0,3 m cho 1 ha - Mật độ tín hiệu "&amp;M46</f>
        <v>Dò bằng máy đến độ sâu 0,3 m cho 1 ha - Mật độ tín hiệu Không có</v>
      </c>
      <c r="B31" s="829"/>
      <c r="C31" s="829"/>
      <c r="D31" s="829"/>
      <c r="E31" s="829"/>
      <c r="F31" s="829"/>
      <c r="G31" s="829"/>
      <c r="H31" s="829"/>
    </row>
    <row r="32" spans="1:18" ht="20.100000000000001" hidden="1" customHeight="1" outlineLevel="1">
      <c r="A32" s="829" t="str" cm="1">
        <f t="array" aca="1" ref="A32" ca="1">"Số hiệu định mức: 020.0200."&amp;INDIRECT(ADDRESS(ROW(M35),COLUMN(M35)+M35,1,1))</f>
        <v>Số hiệu định mức: 020.0200.5</v>
      </c>
      <c r="B32" s="829"/>
      <c r="C32" s="829"/>
      <c r="D32" s="829"/>
      <c r="E32" s="829"/>
      <c r="F32" s="829"/>
      <c r="G32" s="829"/>
      <c r="H32" s="829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68" t="s">
        <v>42</v>
      </c>
      <c r="D34" s="868" t="s">
        <v>20</v>
      </c>
      <c r="E34" s="868" t="s">
        <v>80</v>
      </c>
      <c r="F34" s="868" t="s">
        <v>17</v>
      </c>
      <c r="G34" s="868"/>
      <c r="H34" s="868"/>
      <c r="M34" s="520" t="s">
        <v>254</v>
      </c>
      <c r="N34" s="835" t="s">
        <v>255</v>
      </c>
      <c r="O34" s="836"/>
      <c r="P34" s="836"/>
      <c r="Q34" s="836"/>
      <c r="R34" s="837"/>
    </row>
    <row r="35" spans="1:18" s="519" customFormat="1" ht="16.2" hidden="1" outlineLevel="1">
      <c r="A35" s="867"/>
      <c r="B35" s="867"/>
      <c r="C35" s="868"/>
      <c r="D35" s="868"/>
      <c r="E35" s="868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1" t="str">
        <f>"Dò bằng máy đến độ sâu 0,3 m cho 1 ha - Mật độ tín hiệu "&amp;M63</f>
        <v>Dò bằng máy đến độ sâu 0,3 m cho 1 ha - Mật độ tín hiệu Không có</v>
      </c>
      <c r="B48" s="829"/>
      <c r="C48" s="829"/>
      <c r="D48" s="829"/>
      <c r="E48" s="829"/>
      <c r="F48" s="829"/>
      <c r="G48" s="829"/>
      <c r="H48" s="829"/>
    </row>
    <row r="49" spans="1:18" ht="20.100000000000001" hidden="1" customHeight="1" outlineLevel="1">
      <c r="A49" s="829" t="str" cm="1">
        <f t="array" aca="1" ref="A49" ca="1">"Số hiệu định mức: 020.0200."&amp;INDIRECT(ADDRESS(ROW(M52),COLUMN(M52)+M52,1,1))</f>
        <v>Số hiệu định mức: 020.0200.5</v>
      </c>
      <c r="B49" s="829"/>
      <c r="C49" s="829"/>
      <c r="D49" s="829"/>
      <c r="E49" s="829"/>
      <c r="F49" s="829"/>
      <c r="G49" s="829"/>
      <c r="H49" s="829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68" t="s">
        <v>42</v>
      </c>
      <c r="D51" s="868" t="s">
        <v>20</v>
      </c>
      <c r="E51" s="868" t="s">
        <v>80</v>
      </c>
      <c r="F51" s="868" t="s">
        <v>17</v>
      </c>
      <c r="G51" s="868"/>
      <c r="H51" s="868"/>
      <c r="M51" s="520" t="s">
        <v>254</v>
      </c>
      <c r="N51" s="835" t="s">
        <v>255</v>
      </c>
      <c r="O51" s="836"/>
      <c r="P51" s="836"/>
      <c r="Q51" s="836"/>
      <c r="R51" s="837"/>
    </row>
    <row r="52" spans="1:18" s="519" customFormat="1" ht="16.2" hidden="1" outlineLevel="1">
      <c r="A52" s="867"/>
      <c r="B52" s="867"/>
      <c r="C52" s="868"/>
      <c r="D52" s="868"/>
      <c r="E52" s="868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29" t="str">
        <f>"Xử lý tín hiệu cho 1 ha trên cạn ở độ sâu 0,3 m - "&amp;M75</f>
        <v>Xử lý tín hiệu cho 1 ha trên cạn ở độ sâu 0,3 m - Đất cấp 1</v>
      </c>
      <c r="B65" s="829"/>
      <c r="C65" s="829"/>
      <c r="D65" s="829"/>
      <c r="E65" s="829"/>
      <c r="F65" s="829"/>
      <c r="G65" s="829"/>
      <c r="H65" s="829"/>
    </row>
    <row r="66" spans="1:21" ht="15.6" customHeight="1">
      <c r="A66" s="829" t="str" cm="1">
        <f t="array" aca="1" ref="A66" ca="1">"Số hiệu định mức: 020.0300."&amp;INDIRECT(ADDRESS(ROW(M69),COLUMN(M69)+M69,1,1))</f>
        <v>Số hiệu định mức: 020.0300.1</v>
      </c>
      <c r="B66" s="829"/>
      <c r="C66" s="829"/>
      <c r="D66" s="829"/>
      <c r="E66" s="829"/>
      <c r="F66" s="829"/>
      <c r="G66" s="829"/>
      <c r="H66" s="829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68" t="s">
        <v>42</v>
      </c>
      <c r="D68" s="868" t="s">
        <v>20</v>
      </c>
      <c r="E68" s="868" t="s">
        <v>80</v>
      </c>
      <c r="F68" s="868" t="s">
        <v>17</v>
      </c>
      <c r="G68" s="868"/>
      <c r="H68" s="868"/>
      <c r="M68" s="520" t="s">
        <v>254</v>
      </c>
      <c r="N68" s="835" t="s">
        <v>255</v>
      </c>
      <c r="O68" s="836"/>
      <c r="P68" s="836"/>
      <c r="Q68" s="836"/>
      <c r="R68" s="837"/>
    </row>
    <row r="69" spans="1:21" s="519" customFormat="1" ht="16.2">
      <c r="A69" s="867"/>
      <c r="B69" s="867"/>
      <c r="C69" s="868"/>
      <c r="D69" s="868"/>
      <c r="E69" s="868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1" t="s">
        <v>128</v>
      </c>
      <c r="B79" s="829"/>
      <c r="C79" s="829"/>
      <c r="D79" s="829"/>
      <c r="E79" s="829"/>
      <c r="F79" s="829"/>
      <c r="G79" s="829"/>
      <c r="H79" s="829"/>
    </row>
    <row r="80" spans="1:21">
      <c r="A80" s="829" t="str" cm="1">
        <f t="array" aca="1" ref="A80" ca="1">"Số hiệu định mức: 020.0500."&amp;INDIRECT(ADDRESS(ROW(M83),COLUMN(M83)+M83,1,1))</f>
        <v>Số hiệu định mức: 020.0500.2</v>
      </c>
      <c r="B80" s="829"/>
      <c r="C80" s="829"/>
      <c r="D80" s="829"/>
      <c r="E80" s="829"/>
      <c r="F80" s="829"/>
      <c r="G80" s="829"/>
      <c r="H80" s="829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68" t="s">
        <v>42</v>
      </c>
      <c r="D82" s="868" t="s">
        <v>20</v>
      </c>
      <c r="E82" s="868" t="s">
        <v>80</v>
      </c>
      <c r="F82" s="868" t="s">
        <v>17</v>
      </c>
      <c r="G82" s="868"/>
      <c r="H82" s="868"/>
      <c r="M82" s="520" t="s">
        <v>254</v>
      </c>
      <c r="N82" s="835" t="s">
        <v>255</v>
      </c>
      <c r="O82" s="836"/>
      <c r="P82" s="836"/>
      <c r="Q82" s="836"/>
      <c r="R82" s="837"/>
    </row>
    <row r="83" spans="1:18">
      <c r="A83" s="867"/>
      <c r="B83" s="867"/>
      <c r="C83" s="868"/>
      <c r="D83" s="868"/>
      <c r="E83" s="868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1" t="s">
        <v>168</v>
      </c>
      <c r="B97" s="829"/>
      <c r="C97" s="829"/>
      <c r="D97" s="829"/>
      <c r="E97" s="829"/>
      <c r="F97" s="829"/>
      <c r="G97" s="829"/>
      <c r="H97" s="829"/>
    </row>
    <row r="98" spans="1:18" hidden="1" outlineLevel="1">
      <c r="A98" s="829" t="str" cm="1">
        <f t="array" aca="1" ref="A98" ca="1">"Số hiệu định mức: 020.0500."&amp;INDIRECT(ADDRESS(ROW(M101),COLUMN(M101)+M101,1,1))</f>
        <v>Số hiệu định mức: 020.0500.4</v>
      </c>
      <c r="B98" s="829"/>
      <c r="C98" s="829"/>
      <c r="D98" s="829"/>
      <c r="E98" s="829"/>
      <c r="F98" s="829"/>
      <c r="G98" s="829"/>
      <c r="H98" s="829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68" t="s">
        <v>42</v>
      </c>
      <c r="D100" s="868" t="s">
        <v>20</v>
      </c>
      <c r="E100" s="868" t="s">
        <v>80</v>
      </c>
      <c r="F100" s="868" t="s">
        <v>17</v>
      </c>
      <c r="G100" s="868"/>
      <c r="H100" s="868"/>
      <c r="M100" s="520" t="s">
        <v>254</v>
      </c>
      <c r="N100" s="835" t="s">
        <v>255</v>
      </c>
      <c r="O100" s="836"/>
      <c r="P100" s="836"/>
      <c r="Q100" s="836"/>
      <c r="R100" s="837"/>
    </row>
    <row r="101" spans="1:18" hidden="1" outlineLevel="1">
      <c r="A101" s="867"/>
      <c r="B101" s="867"/>
      <c r="C101" s="868"/>
      <c r="D101" s="868"/>
      <c r="E101" s="868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1" t="str">
        <f>"Đào xử lý tín hiệu trên cạn đến độ sâu 3m.
"&amp;M127&amp;" cho 1 m3"</f>
        <v>Đào xử lý tín hiệu trên cạn đến độ sâu 3m.
Đất cấp 2 cho 1 m3</v>
      </c>
      <c r="B113" s="829"/>
      <c r="C113" s="829"/>
      <c r="D113" s="829"/>
      <c r="E113" s="829"/>
      <c r="F113" s="829"/>
      <c r="G113" s="829"/>
      <c r="H113" s="829"/>
    </row>
    <row r="114" spans="1:21" ht="20.100000000000001" customHeight="1">
      <c r="A114" s="829" t="str" cm="1">
        <f t="array" aca="1" ref="A114" ca="1">"Số hiệu định mức: 020.0700."&amp;INDIRECT(ADDRESS(ROW(M117),COLUMN(M117)+M117,1,1))</f>
        <v>Số hiệu định mức: 020.0700.2</v>
      </c>
      <c r="B114" s="829"/>
      <c r="C114" s="829"/>
      <c r="D114" s="829"/>
      <c r="E114" s="829"/>
      <c r="F114" s="829"/>
      <c r="G114" s="829"/>
      <c r="H114" s="829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68" t="s">
        <v>42</v>
      </c>
      <c r="D116" s="868" t="s">
        <v>20</v>
      </c>
      <c r="E116" s="868" t="s">
        <v>80</v>
      </c>
      <c r="F116" s="868" t="s">
        <v>17</v>
      </c>
      <c r="G116" s="868"/>
      <c r="H116" s="868"/>
      <c r="M116" s="520" t="s">
        <v>254</v>
      </c>
      <c r="N116" s="835" t="s">
        <v>255</v>
      </c>
      <c r="O116" s="836"/>
      <c r="P116" s="836"/>
      <c r="Q116" s="836"/>
      <c r="R116" s="837"/>
    </row>
    <row r="117" spans="1:21" s="519" customFormat="1" ht="16.2">
      <c r="A117" s="867"/>
      <c r="B117" s="867"/>
      <c r="C117" s="868"/>
      <c r="D117" s="868"/>
      <c r="E117" s="868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1" t="str">
        <f>"Đào xử lý tín hiệu trên cạn đến độ sâu 5m.
"&amp;M145&amp;" cho 1 ha"</f>
        <v>Đào xử lý tín hiệu trên cạn đến độ sâu 5m.
Không có cho 1 ha</v>
      </c>
      <c r="B129" s="831"/>
      <c r="C129" s="831"/>
      <c r="D129" s="831"/>
      <c r="E129" s="831"/>
      <c r="F129" s="831"/>
      <c r="G129" s="831"/>
      <c r="H129" s="831"/>
    </row>
    <row r="130" spans="1:18" ht="15.75" customHeight="1">
      <c r="A130" s="829" t="str" cm="1">
        <f t="array" aca="1" ref="A130" ca="1">"Số hiệu định mức: 020.0800."&amp;INDIRECT(ADDRESS(ROW(M133),COLUMN(M133)+M133,1,1))</f>
        <v>Số hiệu định mức: 020.0800.5</v>
      </c>
      <c r="B130" s="829"/>
      <c r="C130" s="829"/>
      <c r="D130" s="829"/>
      <c r="E130" s="829"/>
      <c r="F130" s="829"/>
      <c r="G130" s="829"/>
      <c r="H130" s="829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3" t="s">
        <v>18</v>
      </c>
      <c r="B132" s="833" t="s">
        <v>43</v>
      </c>
      <c r="C132" s="838" t="s">
        <v>42</v>
      </c>
      <c r="D132" s="838" t="s">
        <v>20</v>
      </c>
      <c r="E132" s="838" t="s">
        <v>80</v>
      </c>
      <c r="F132" s="835" t="s">
        <v>17</v>
      </c>
      <c r="G132" s="836"/>
      <c r="H132" s="837"/>
      <c r="M132" s="520" t="s">
        <v>254</v>
      </c>
      <c r="N132" s="835" t="s">
        <v>255</v>
      </c>
      <c r="O132" s="836"/>
      <c r="P132" s="836"/>
      <c r="Q132" s="836"/>
      <c r="R132" s="837"/>
    </row>
    <row r="133" spans="1:18" ht="15.75" customHeight="1">
      <c r="A133" s="834"/>
      <c r="B133" s="834"/>
      <c r="C133" s="839"/>
      <c r="D133" s="839"/>
      <c r="E133" s="839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31:H31"/>
    <mergeCell ref="A32:H32"/>
    <mergeCell ref="A34:A35"/>
    <mergeCell ref="B34:B35"/>
    <mergeCell ref="C34:C35"/>
    <mergeCell ref="D34:D35"/>
    <mergeCell ref="E34:E35"/>
    <mergeCell ref="F34:H34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65:H65"/>
    <mergeCell ref="A66:H66"/>
    <mergeCell ref="A68:A69"/>
    <mergeCell ref="B68:B69"/>
    <mergeCell ref="C68:C69"/>
    <mergeCell ref="D68:D69"/>
    <mergeCell ref="E68:E69"/>
    <mergeCell ref="F68:H68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80" t="s">
        <v>435</v>
      </c>
      <c r="B1" s="881"/>
      <c r="C1" s="881"/>
      <c r="D1" s="881"/>
      <c r="E1" s="881"/>
      <c r="F1" s="881"/>
      <c r="G1" s="881"/>
      <c r="H1" s="881"/>
      <c r="J1" s="101" t="s">
        <v>360</v>
      </c>
      <c r="K1" s="101">
        <v>1.1000000000000001</v>
      </c>
      <c r="R1" s="212"/>
    </row>
    <row r="2" spans="1:21" s="504" customFormat="1" hidden="1">
      <c r="A2" s="829" t="str">
        <f>"Dọn mặt bằng thủ công cho một ha rừng "&amp;L11&amp;",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 s="504" customFormat="1" hidden="1">
      <c r="A3" s="829" t="str" cm="1">
        <f t="array" aca="1" ref="A3" ca="1">"Số hiệu định mức: 010.0200."&amp;INDIRECT(ADDRESS(ROW(L6),COLUMN(L6)+L6,1,1))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3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5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5"/>
      <c r="C13" s="875"/>
      <c r="D13" s="875"/>
      <c r="E13" s="875"/>
      <c r="F13" s="875"/>
      <c r="G13" s="875"/>
      <c r="H13" s="875"/>
    </row>
    <row r="14" spans="1:21" ht="19.5" customHeight="1">
      <c r="A14" s="875" t="str" cm="1">
        <f t="array" aca="1" ref="A14" ca="1">"Số hiệu định mức: 030.0100."&amp;INDIRECT(ADDRESS(ROW(L17),COLUMN(L17)+L17,1,1))</f>
        <v>Số hiệu định mức: 030.0100.1</v>
      </c>
      <c r="B14" s="875"/>
      <c r="C14" s="875"/>
      <c r="D14" s="875"/>
      <c r="E14" s="875"/>
      <c r="F14" s="875"/>
      <c r="G14" s="875"/>
      <c r="H14" s="875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6" t="s">
        <v>18</v>
      </c>
      <c r="B16" s="876" t="s">
        <v>43</v>
      </c>
      <c r="C16" s="877" t="s">
        <v>42</v>
      </c>
      <c r="D16" s="877" t="s">
        <v>22</v>
      </c>
      <c r="E16" s="877" t="s">
        <v>237</v>
      </c>
      <c r="F16" s="878" t="s">
        <v>45</v>
      </c>
      <c r="G16" s="878"/>
      <c r="H16" s="878"/>
      <c r="L16" s="520" t="s">
        <v>254</v>
      </c>
      <c r="M16" s="835" t="s">
        <v>255</v>
      </c>
      <c r="N16" s="836"/>
      <c r="O16" s="836"/>
      <c r="P16" s="836"/>
      <c r="Q16" s="837"/>
    </row>
    <row r="17" spans="1:17" s="104" customFormat="1" ht="19.5" customHeight="1">
      <c r="A17" s="876"/>
      <c r="B17" s="876"/>
      <c r="C17" s="877"/>
      <c r="D17" s="877"/>
      <c r="E17" s="877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5" t="str">
        <f>"Dò tìm bom mìn, vật nổ dưới nước từ 0,5m - 3m cho 1 ha. Nước sâu "&amp;L57</f>
        <v>Dò tìm bom mìn, vật nổ dưới nước từ 0,5m - 3m cho 1 ha. Nước sâu 0,5 ÷ 12m</v>
      </c>
      <c r="B36" s="875"/>
      <c r="C36" s="875"/>
      <c r="D36" s="875"/>
      <c r="E36" s="875"/>
      <c r="F36" s="875"/>
      <c r="G36" s="875"/>
      <c r="H36" s="875"/>
    </row>
    <row r="37" spans="1:17" ht="19.5" customHeight="1">
      <c r="A37" s="875" t="str" cm="1">
        <f t="array" aca="1" ref="A37" ca="1">"Số hiệu định mức: 030.0200."&amp;INDIRECT(ADDRESS(ROW(L40),COLUMN(L40)+L40,1,1))</f>
        <v>Số hiệu định mức: 030.0200.1</v>
      </c>
      <c r="B37" s="875"/>
      <c r="C37" s="875"/>
      <c r="D37" s="875"/>
      <c r="E37" s="875"/>
      <c r="F37" s="875"/>
      <c r="G37" s="875"/>
      <c r="H37" s="875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6" t="s">
        <v>18</v>
      </c>
      <c r="B39" s="876" t="s">
        <v>43</v>
      </c>
      <c r="C39" s="877" t="s">
        <v>42</v>
      </c>
      <c r="D39" s="877" t="s">
        <v>22</v>
      </c>
      <c r="E39" s="877" t="s">
        <v>237</v>
      </c>
      <c r="F39" s="878" t="s">
        <v>45</v>
      </c>
      <c r="G39" s="878"/>
      <c r="H39" s="878"/>
      <c r="L39" s="520" t="s">
        <v>254</v>
      </c>
      <c r="M39" s="835" t="s">
        <v>255</v>
      </c>
      <c r="N39" s="836"/>
      <c r="O39" s="836"/>
      <c r="P39" s="836"/>
      <c r="Q39" s="837"/>
    </row>
    <row r="40" spans="1:17" ht="19.5" customHeight="1">
      <c r="A40" s="876"/>
      <c r="B40" s="876"/>
      <c r="C40" s="877"/>
      <c r="D40" s="877"/>
      <c r="E40" s="877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79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79"/>
      <c r="C58" s="879"/>
      <c r="D58" s="879"/>
      <c r="E58" s="879"/>
      <c r="F58" s="879"/>
      <c r="G58" s="879"/>
      <c r="H58" s="879"/>
      <c r="M58" s="556" t="s">
        <v>267</v>
      </c>
    </row>
    <row r="59" spans="1:17" ht="19.5" customHeight="1">
      <c r="A59" s="875" t="str" cm="1">
        <f t="array" aca="1" ref="A59" ca="1">"Số hiệu định mức: 030.0300."&amp;INDIRECT(ADDRESS(ROW(L62),COLUMN(L62)+L62,1,1))</f>
        <v>Số hiệu định mức: 030.0300.1</v>
      </c>
      <c r="B59" s="875"/>
      <c r="C59" s="875"/>
      <c r="D59" s="875"/>
      <c r="E59" s="875"/>
      <c r="F59" s="875"/>
      <c r="G59" s="875"/>
      <c r="H59" s="875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6" t="s">
        <v>18</v>
      </c>
      <c r="B61" s="876" t="s">
        <v>43</v>
      </c>
      <c r="C61" s="877" t="s">
        <v>42</v>
      </c>
      <c r="D61" s="877" t="s">
        <v>22</v>
      </c>
      <c r="E61" s="877" t="s">
        <v>237</v>
      </c>
      <c r="F61" s="878" t="s">
        <v>45</v>
      </c>
      <c r="G61" s="878"/>
      <c r="H61" s="878"/>
      <c r="L61" s="520" t="s">
        <v>254</v>
      </c>
      <c r="M61" s="835" t="s">
        <v>255</v>
      </c>
      <c r="N61" s="836"/>
      <c r="O61" s="836"/>
      <c r="P61" s="836"/>
      <c r="Q61" s="837"/>
    </row>
    <row r="62" spans="1:17" ht="19.5" customHeight="1">
      <c r="A62" s="876"/>
      <c r="B62" s="876"/>
      <c r="C62" s="877"/>
      <c r="D62" s="877"/>
      <c r="E62" s="877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5" t="str">
        <f>"Lặn xử lý tín hiệu đến độ sâu 0,5m. Nước sâu "&amp;L88</f>
        <v>Lặn xử lý tín hiệu đến độ sâu 0,5m. Nước sâu 0,5 ÷ 12m</v>
      </c>
      <c r="B76" s="875"/>
      <c r="C76" s="875"/>
      <c r="D76" s="875"/>
      <c r="E76" s="875"/>
      <c r="F76" s="875"/>
      <c r="G76" s="875"/>
      <c r="H76" s="875"/>
    </row>
    <row r="77" spans="1:17" ht="19.5" customHeight="1">
      <c r="A77" s="875" t="str" cm="1">
        <f t="array" aca="1" ref="A77" ca="1">"Số hiệu định mức: 030.0400."&amp;INDIRECT(ADDRESS(ROW(L80),COLUMN(L80)+L80,1,1))</f>
        <v>Số hiệu định mức: 030.0400.1</v>
      </c>
      <c r="B77" s="875"/>
      <c r="C77" s="875"/>
      <c r="D77" s="875"/>
      <c r="E77" s="875"/>
      <c r="F77" s="875"/>
      <c r="G77" s="875"/>
      <c r="H77" s="875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6" t="s">
        <v>18</v>
      </c>
      <c r="B79" s="876" t="s">
        <v>43</v>
      </c>
      <c r="C79" s="877" t="s">
        <v>42</v>
      </c>
      <c r="D79" s="877" t="s">
        <v>22</v>
      </c>
      <c r="E79" s="877" t="s">
        <v>237</v>
      </c>
      <c r="F79" s="878" t="s">
        <v>17</v>
      </c>
      <c r="G79" s="878"/>
      <c r="H79" s="878"/>
      <c r="L79" s="520" t="s">
        <v>254</v>
      </c>
      <c r="M79" s="835" t="s">
        <v>255</v>
      </c>
      <c r="N79" s="836"/>
      <c r="O79" s="836"/>
      <c r="P79" s="836"/>
      <c r="Q79" s="837"/>
    </row>
    <row r="80" spans="1:17" ht="19.5" customHeight="1">
      <c r="A80" s="876"/>
      <c r="B80" s="876"/>
      <c r="C80" s="877"/>
      <c r="D80" s="877"/>
      <c r="E80" s="877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5" t="str">
        <f>"Lặn xử lý tín hiệu nằm từ độ sâu 0,5m-1m. Nước sâu "&amp;L103</f>
        <v>Lặn xử lý tín hiệu nằm từ độ sâu 0,5m-1m. Nước sâu 0,5 ÷ 12m</v>
      </c>
      <c r="B89" s="875"/>
      <c r="C89" s="875"/>
      <c r="D89" s="875"/>
      <c r="E89" s="875"/>
      <c r="F89" s="875"/>
      <c r="G89" s="875"/>
      <c r="H89" s="875"/>
    </row>
    <row r="90" spans="1:17" ht="19.5" customHeight="1">
      <c r="A90" s="875" t="str" cm="1">
        <f t="array" aca="1" ref="A90" ca="1">"Số hiệu định mức: 030.0500."&amp;INDIRECT(ADDRESS(ROW(L93),COLUMN(L93)+L93,1,1))</f>
        <v>Số hiệu định mức: 030.0500.1</v>
      </c>
      <c r="B90" s="875"/>
      <c r="C90" s="875"/>
      <c r="D90" s="875"/>
      <c r="E90" s="875"/>
      <c r="F90" s="875"/>
      <c r="G90" s="875"/>
      <c r="H90" s="875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6" t="s">
        <v>18</v>
      </c>
      <c r="B92" s="876" t="s">
        <v>43</v>
      </c>
      <c r="C92" s="877" t="s">
        <v>42</v>
      </c>
      <c r="D92" s="877" t="s">
        <v>22</v>
      </c>
      <c r="E92" s="877" t="s">
        <v>237</v>
      </c>
      <c r="F92" s="878" t="s">
        <v>45</v>
      </c>
      <c r="G92" s="878"/>
      <c r="H92" s="878"/>
      <c r="L92" s="520" t="s">
        <v>254</v>
      </c>
      <c r="M92" s="835" t="s">
        <v>255</v>
      </c>
      <c r="N92" s="836"/>
      <c r="O92" s="836"/>
      <c r="P92" s="836"/>
      <c r="Q92" s="837"/>
    </row>
    <row r="93" spans="1:17" ht="19.5" customHeight="1">
      <c r="A93" s="876"/>
      <c r="B93" s="876"/>
      <c r="C93" s="877"/>
      <c r="D93" s="877"/>
      <c r="E93" s="877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5" t="str">
        <f>"Lặn xử lý tín hiệu nằm từ độ sâu 1m-3m. Nước sâu "&amp;L121</f>
        <v>Lặn xử lý tín hiệu nằm từ độ sâu 1m-3m. Nước sâu 0,5 ÷ 12m</v>
      </c>
      <c r="B106" s="875"/>
      <c r="C106" s="875"/>
      <c r="D106" s="875"/>
      <c r="E106" s="875"/>
      <c r="F106" s="875"/>
      <c r="G106" s="875"/>
      <c r="H106" s="875"/>
    </row>
    <row r="107" spans="1:17" ht="19.5" customHeight="1">
      <c r="A107" s="875" t="str" cm="1">
        <f t="array" aca="1" ref="A107" ca="1">"Số hiệu định mức: 030.0600."&amp;INDIRECT(ADDRESS(ROW(L110),COLUMN(L110)+L110,1,1))</f>
        <v>Số hiệu định mức: 030.0600.1</v>
      </c>
      <c r="B107" s="875"/>
      <c r="C107" s="875"/>
      <c r="D107" s="875"/>
      <c r="E107" s="875"/>
      <c r="F107" s="875"/>
      <c r="G107" s="875"/>
      <c r="H107" s="875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6" t="s">
        <v>18</v>
      </c>
      <c r="B109" s="876" t="s">
        <v>43</v>
      </c>
      <c r="C109" s="877" t="s">
        <v>42</v>
      </c>
      <c r="D109" s="877" t="s">
        <v>22</v>
      </c>
      <c r="E109" s="877" t="s">
        <v>237</v>
      </c>
      <c r="F109" s="878" t="s">
        <v>45</v>
      </c>
      <c r="G109" s="878"/>
      <c r="H109" s="878"/>
      <c r="L109" s="520" t="s">
        <v>254</v>
      </c>
      <c r="M109" s="835" t="s">
        <v>255</v>
      </c>
      <c r="N109" s="836"/>
      <c r="O109" s="836"/>
      <c r="P109" s="836"/>
      <c r="Q109" s="837"/>
    </row>
    <row r="110" spans="1:17" ht="19.5" customHeight="1">
      <c r="A110" s="876"/>
      <c r="B110" s="876"/>
      <c r="C110" s="877"/>
      <c r="D110" s="877"/>
      <c r="E110" s="877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5" t="str">
        <f>"Lặn xử lý tín hiệu nằm từ độ sâu 1m-5m. Nước sâu "&amp;L138</f>
        <v>Lặn xử lý tín hiệu nằm từ độ sâu 1m-5m. Nước sâu Không có</v>
      </c>
      <c r="B123" s="875"/>
      <c r="C123" s="875"/>
      <c r="D123" s="875"/>
      <c r="E123" s="875"/>
      <c r="F123" s="875"/>
      <c r="G123" s="875"/>
      <c r="H123" s="875"/>
    </row>
    <row r="124" spans="1:17" hidden="1" outlineLevel="1">
      <c r="A124" s="875" t="str" cm="1">
        <f t="array" aca="1" ref="A124" ca="1">"Số hiệu định mức: 030.0700."&amp;INDIRECT(ADDRESS(ROW(L127),COLUMN(L127)+L127,1,1))</f>
        <v>Số hiệu định mức: 030.0700.4</v>
      </c>
      <c r="B124" s="875"/>
      <c r="C124" s="875"/>
      <c r="D124" s="875"/>
      <c r="E124" s="875"/>
      <c r="F124" s="875"/>
      <c r="G124" s="875"/>
      <c r="H124" s="875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6" t="s">
        <v>18</v>
      </c>
      <c r="B126" s="876" t="s">
        <v>43</v>
      </c>
      <c r="C126" s="877" t="s">
        <v>42</v>
      </c>
      <c r="D126" s="877" t="s">
        <v>22</v>
      </c>
      <c r="E126" s="877" t="s">
        <v>237</v>
      </c>
      <c r="F126" s="878" t="s">
        <v>45</v>
      </c>
      <c r="G126" s="878"/>
      <c r="H126" s="878"/>
      <c r="L126" s="520" t="s">
        <v>254</v>
      </c>
      <c r="M126" s="835" t="s">
        <v>255</v>
      </c>
      <c r="N126" s="836"/>
      <c r="O126" s="836"/>
      <c r="P126" s="836"/>
      <c r="Q126" s="837"/>
    </row>
    <row r="127" spans="1:17" hidden="1" outlineLevel="1">
      <c r="A127" s="876"/>
      <c r="B127" s="876"/>
      <c r="C127" s="877"/>
      <c r="D127" s="877"/>
      <c r="E127" s="877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A13:H13"/>
    <mergeCell ref="A14:H14"/>
    <mergeCell ref="A16:A17"/>
    <mergeCell ref="B16:B17"/>
    <mergeCell ref="C16:C17"/>
    <mergeCell ref="D16:D17"/>
    <mergeCell ref="E16:E17"/>
    <mergeCell ref="F16:H16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58:H58"/>
    <mergeCell ref="A59:H59"/>
    <mergeCell ref="A61:A62"/>
    <mergeCell ref="B61:B62"/>
    <mergeCell ref="C61:C62"/>
    <mergeCell ref="D61:D62"/>
    <mergeCell ref="E61:E62"/>
    <mergeCell ref="F61:H61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89:H89"/>
    <mergeCell ref="A90:H90"/>
    <mergeCell ref="A92:A93"/>
    <mergeCell ref="B92:B93"/>
    <mergeCell ref="C92:C93"/>
    <mergeCell ref="D92:D93"/>
    <mergeCell ref="E92:E93"/>
    <mergeCell ref="F92:H92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900" t="s">
        <v>286</v>
      </c>
      <c r="B2" s="900"/>
      <c r="C2" s="900"/>
      <c r="D2" s="900"/>
      <c r="E2" s="900"/>
      <c r="F2" s="900"/>
      <c r="G2" s="900"/>
      <c r="H2" s="900"/>
      <c r="I2" s="900"/>
      <c r="J2" s="900"/>
      <c r="K2" s="900"/>
      <c r="L2" s="900"/>
      <c r="M2" s="900"/>
      <c r="N2" s="900"/>
    </row>
    <row r="3" spans="1:18">
      <c r="A3" s="901" t="s">
        <v>358</v>
      </c>
      <c r="B3" s="902"/>
      <c r="C3" s="902"/>
      <c r="D3" s="902"/>
      <c r="E3" s="902"/>
      <c r="F3" s="902"/>
      <c r="G3" s="902"/>
      <c r="H3" s="902"/>
      <c r="I3" s="902"/>
      <c r="J3" s="902"/>
      <c r="K3" s="902"/>
      <c r="L3" s="902"/>
      <c r="M3" s="902"/>
      <c r="N3" s="902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998575387.25788343</v>
      </c>
      <c r="Q5" s="235">
        <f>'THKP-TC'!E16</f>
        <v>998575387.25788343</v>
      </c>
    </row>
    <row r="6" spans="1:18">
      <c r="A6" s="903" t="s">
        <v>0</v>
      </c>
      <c r="B6" s="904" t="s">
        <v>222</v>
      </c>
      <c r="C6" s="95" t="s">
        <v>18</v>
      </c>
      <c r="D6" s="904" t="s">
        <v>230</v>
      </c>
      <c r="E6" s="904"/>
      <c r="F6" s="904"/>
      <c r="G6" s="904"/>
      <c r="H6" s="904"/>
      <c r="I6" s="904"/>
      <c r="J6" s="904"/>
      <c r="K6" s="904"/>
      <c r="L6" s="904"/>
      <c r="M6" s="904"/>
      <c r="N6" s="904"/>
      <c r="O6" s="201"/>
      <c r="P6" s="201"/>
    </row>
    <row r="7" spans="1:18">
      <c r="A7" s="903"/>
      <c r="B7" s="904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99" t="s">
        <v>287</v>
      </c>
      <c r="B15" s="899"/>
      <c r="C15" s="899"/>
      <c r="D15" s="899"/>
      <c r="E15" s="899"/>
      <c r="F15" s="899"/>
      <c r="G15" s="899"/>
      <c r="H15" s="899"/>
    </row>
    <row r="16" spans="1:18">
      <c r="A16" s="896" t="s">
        <v>357</v>
      </c>
      <c r="B16" s="896"/>
      <c r="C16" s="896"/>
      <c r="D16" s="896"/>
      <c r="E16" s="896"/>
      <c r="F16" s="896"/>
      <c r="G16" s="896"/>
      <c r="H16" s="896"/>
    </row>
    <row r="17" spans="1:13">
      <c r="A17" s="897" t="s">
        <v>224</v>
      </c>
      <c r="B17" s="897"/>
      <c r="C17" s="897"/>
      <c r="D17" s="897"/>
      <c r="E17" s="897"/>
      <c r="F17" s="897"/>
      <c r="G17" s="897"/>
      <c r="H17" s="897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8" t="s">
        <v>0</v>
      </c>
      <c r="B19" s="898" t="s">
        <v>222</v>
      </c>
      <c r="C19" s="190"/>
      <c r="D19" s="889" t="s">
        <v>221</v>
      </c>
      <c r="E19" s="889"/>
      <c r="F19" s="889"/>
      <c r="G19" s="889"/>
      <c r="H19" s="889"/>
      <c r="I19" s="175" t="s">
        <v>278</v>
      </c>
      <c r="J19" s="895">
        <f>IF('THKP-TC'!$E$13&lt;15*10^9,15*10^9,'THKP-TC'!$E$13)</f>
        <v>15000000000</v>
      </c>
      <c r="K19" s="895"/>
      <c r="L19" s="888">
        <f>'THKP-TC'!E13</f>
        <v>839151026.70680892</v>
      </c>
      <c r="M19" s="888"/>
    </row>
    <row r="20" spans="1:13" ht="16.8">
      <c r="A20" s="898"/>
      <c r="B20" s="898"/>
      <c r="C20" s="190"/>
      <c r="D20" s="889" t="s">
        <v>220</v>
      </c>
      <c r="E20" s="889"/>
      <c r="F20" s="889"/>
      <c r="G20" s="889"/>
      <c r="H20" s="889"/>
      <c r="I20" s="80" t="s">
        <v>277</v>
      </c>
      <c r="J20" s="890" t="e">
        <f>I22</f>
        <v>#REF!</v>
      </c>
      <c r="K20" s="891"/>
    </row>
    <row r="21" spans="1:13">
      <c r="A21" s="898"/>
      <c r="B21" s="898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892" t="s">
        <v>0</v>
      </c>
      <c r="B28" s="892" t="s">
        <v>216</v>
      </c>
      <c r="C28" s="893" t="s">
        <v>18</v>
      </c>
      <c r="D28" s="892" t="s">
        <v>215</v>
      </c>
      <c r="E28" s="892"/>
      <c r="F28" s="892" t="s">
        <v>214</v>
      </c>
    </row>
    <row r="29" spans="1:13" ht="34.200000000000003">
      <c r="A29" s="892"/>
      <c r="B29" s="892"/>
      <c r="C29" s="894"/>
      <c r="D29" s="195" t="s">
        <v>285</v>
      </c>
      <c r="E29" s="195" t="s">
        <v>213</v>
      </c>
      <c r="F29" s="892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88">
        <f>IF('THKP-TC'!E16&lt;1*10^9,1*10^9,'THKP-TC'!E16)</f>
        <v>1000000000</v>
      </c>
      <c r="F42" s="888"/>
      <c r="G42" s="235">
        <f>'THKP-TC'!E16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A15:H15"/>
    <mergeCell ref="A2:N2"/>
    <mergeCell ref="A3:N3"/>
    <mergeCell ref="A6:A7"/>
    <mergeCell ref="B6:B7"/>
    <mergeCell ref="D6:N6"/>
    <mergeCell ref="A16:H16"/>
    <mergeCell ref="A17:H17"/>
    <mergeCell ref="A19:A21"/>
    <mergeCell ref="B19:B21"/>
    <mergeCell ref="D19:H19"/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17" t="s">
        <v>399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  <c r="T1" s="918"/>
      <c r="U1" s="918"/>
      <c r="V1" s="600"/>
      <c r="W1" s="600"/>
      <c r="X1" s="600"/>
    </row>
    <row r="2" spans="1:24" s="601" customFormat="1" ht="24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  <c r="T2" s="920"/>
      <c r="U2" s="920"/>
    </row>
    <row r="3" spans="1:24" s="601" customFormat="1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  <c r="T3" s="920"/>
      <c r="U3" s="920"/>
    </row>
    <row r="4" spans="1:24" s="32" customFormat="1" ht="33.6" hidden="1" customHeight="1">
      <c r="A4" s="920" t="s">
        <v>197</v>
      </c>
      <c r="B4" s="920"/>
      <c r="C4" s="920"/>
      <c r="D4" s="920"/>
      <c r="E4" s="920"/>
      <c r="F4" s="920"/>
      <c r="G4" s="920"/>
      <c r="H4" s="920"/>
      <c r="I4" s="920"/>
      <c r="J4" s="920"/>
      <c r="K4" s="920"/>
      <c r="L4" s="920"/>
      <c r="M4" s="920"/>
      <c r="N4" s="920"/>
      <c r="O4" s="920"/>
      <c r="P4" s="920"/>
      <c r="Q4" s="920"/>
      <c r="R4" s="920"/>
      <c r="S4" s="920"/>
      <c r="T4" s="920"/>
      <c r="U4" s="920"/>
    </row>
    <row r="5" spans="1:24" ht="28.95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141</v>
      </c>
      <c r="F5" s="922"/>
      <c r="G5" s="907" t="s">
        <v>147</v>
      </c>
      <c r="H5" s="907" t="s">
        <v>148</v>
      </c>
      <c r="I5" s="907" t="s">
        <v>133</v>
      </c>
      <c r="J5" s="907" t="s">
        <v>194</v>
      </c>
      <c r="K5" s="907" t="s">
        <v>241</v>
      </c>
      <c r="L5" s="907" t="s">
        <v>393</v>
      </c>
      <c r="M5" s="907" t="s">
        <v>395</v>
      </c>
      <c r="N5" s="907" t="s">
        <v>394</v>
      </c>
      <c r="O5" s="907" t="s">
        <v>396</v>
      </c>
      <c r="P5" s="923" t="s">
        <v>134</v>
      </c>
      <c r="Q5" s="924"/>
      <c r="R5" s="924"/>
      <c r="S5" s="924"/>
      <c r="T5" s="925"/>
      <c r="U5" s="907" t="s">
        <v>19</v>
      </c>
    </row>
    <row r="6" spans="1:24" ht="49.5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26"/>
      <c r="I6" s="908"/>
      <c r="J6" s="908"/>
      <c r="K6" s="908"/>
      <c r="L6" s="908"/>
      <c r="M6" s="908"/>
      <c r="N6" s="908"/>
      <c r="O6" s="908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08"/>
    </row>
    <row r="7" spans="1:24" s="339" customFormat="1" ht="19.5" customHeight="1">
      <c r="A7" s="914">
        <v>1</v>
      </c>
      <c r="B7" s="911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15"/>
      <c r="B8" s="91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15"/>
      <c r="B9" s="91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16"/>
      <c r="B10" s="91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09" t="s">
        <v>548</v>
      </c>
      <c r="B14" s="909"/>
      <c r="C14" s="909"/>
      <c r="D14" s="909"/>
      <c r="E14" s="909"/>
      <c r="F14" s="909"/>
      <c r="G14" s="47"/>
      <c r="H14" s="203"/>
      <c r="I14" s="48"/>
      <c r="J14" s="49"/>
      <c r="K14" s="49"/>
      <c r="L14" s="910" t="s">
        <v>140</v>
      </c>
      <c r="M14" s="910"/>
      <c r="N14" s="910"/>
      <c r="O14" s="910"/>
      <c r="P14" s="910"/>
      <c r="Q14" s="910"/>
      <c r="R14" s="910"/>
      <c r="S14" s="910"/>
      <c r="T14" s="910"/>
      <c r="U14" s="91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05"/>
      <c r="B18" s="905"/>
      <c r="C18" s="905"/>
      <c r="D18" s="905"/>
      <c r="E18" s="905"/>
      <c r="F18" s="905"/>
      <c r="G18" s="60"/>
      <c r="H18" s="61"/>
      <c r="I18" s="62"/>
      <c r="J18" s="62"/>
      <c r="K18" s="62"/>
      <c r="L18" s="906" t="s">
        <v>550</v>
      </c>
      <c r="M18" s="906"/>
      <c r="N18" s="906"/>
      <c r="O18" s="906"/>
      <c r="P18" s="906"/>
      <c r="Q18" s="906"/>
      <c r="R18" s="906"/>
      <c r="S18" s="906"/>
      <c r="T18" s="906"/>
      <c r="U18" s="906"/>
    </row>
  </sheetData>
  <mergeCells count="26"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17" t="s">
        <v>400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</row>
    <row r="2" spans="1:19" ht="36.75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</row>
    <row r="3" spans="1:19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250</v>
      </c>
      <c r="F5" s="922"/>
      <c r="G5" s="907" t="s">
        <v>249</v>
      </c>
      <c r="H5" s="907" t="s">
        <v>544</v>
      </c>
      <c r="I5" s="907" t="s">
        <v>248</v>
      </c>
      <c r="J5" s="907" t="s">
        <v>247</v>
      </c>
      <c r="K5" s="907" t="s">
        <v>246</v>
      </c>
      <c r="L5" s="907" t="s">
        <v>245</v>
      </c>
      <c r="M5" s="907" t="s">
        <v>344</v>
      </c>
      <c r="N5" s="907" t="s">
        <v>244</v>
      </c>
      <c r="O5" s="929" t="s">
        <v>134</v>
      </c>
      <c r="P5" s="929"/>
      <c r="Q5" s="929"/>
      <c r="R5" s="929"/>
      <c r="S5" s="907" t="s">
        <v>19</v>
      </c>
    </row>
    <row r="6" spans="1:19" ht="60.6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08"/>
      <c r="I6" s="908"/>
      <c r="J6" s="908"/>
      <c r="K6" s="908"/>
      <c r="L6" s="908"/>
      <c r="M6" s="908"/>
      <c r="N6" s="908"/>
      <c r="O6" s="148" t="s">
        <v>136</v>
      </c>
      <c r="P6" s="148" t="s">
        <v>137</v>
      </c>
      <c r="Q6" s="148" t="s">
        <v>138</v>
      </c>
      <c r="R6" s="148" t="s">
        <v>243</v>
      </c>
      <c r="S6" s="908"/>
    </row>
    <row r="7" spans="1:19" ht="20.25" customHeight="1">
      <c r="A7" s="930">
        <v>1</v>
      </c>
      <c r="B7" s="932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05" t="str">
        <f>THNK_C!A14</f>
        <v>CÁN BỘ QUẢN LÝ CHẤT LƯỢNG</v>
      </c>
      <c r="B12" s="905"/>
      <c r="C12" s="905"/>
      <c r="D12" s="905"/>
      <c r="E12" s="905"/>
      <c r="F12" s="905"/>
      <c r="G12" s="905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05"/>
      <c r="B17" s="905"/>
      <c r="C17" s="905"/>
      <c r="D17" s="905"/>
      <c r="E17" s="905"/>
      <c r="F17" s="905"/>
      <c r="G17" s="905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12540585.6195888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2026-08-03T07:47:52Z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1|8a1c2e7d6bae42f39f4fca394d78d265|8|9FAA6A5EE5116A7A275D2AD74AB6235F9B1E483F6623A9B08C18A1E71702DDA1</vt:lpwstr>
  </property>
  <property fmtid="{D5CDD505-2E9C-101B-9397-08002B2CF9AE}" pid="12" name="TTBMVN.ProjectProfile.Part.8a1c2e7d6bae42f39f4fca394d78d265.0000">
    <vt:lpwstr>TTBMVN_PROJECT_PROFILE
schema=2
projectId=VEVTVC1EVC0xMDMtMDAtRFUtVE9BTi1UUDM=
preparedDate=2026-08-03
approvalDate=
priceDate=2026-08-03
regulationPackageId=VEVTVC1EVDEwMy1QQUNLQUdFLU5PVC1GT1ItQ0FMQ1VMQVRJT04=
regulationPackageVersion=MS4w</vt:lpwstr>
  </property>
  <property fmtid="{D5CDD505-2E9C-101B-9397-08002B2CF9AE}" pid="13" name="TTBMVN.ProjectProfile.Part.8a1c2e7d6bae42f39f4fca394d78d265.0001">
    <vt:lpwstr>LjA=
regulationPackageChecksum=3E4E1F72611295B4961174E58E1A82C7E9C2CFA1E831CDF334E18E86073EA8BB
priceProfileId=VEVTVC1EVDEwMy1QUklDRS1CQVNFTElORQ==
overrideSummary=RFQtMTAzIHBlcnNpc3RlbmNlIHByb2ZpbGUgb25seTsgbm8gYnVzaW5lc3Mgb3ZlcnJpZGUuIERU</vt:lpwstr>
  </property>
  <property fmtid="{D5CDD505-2E9C-101B-9397-08002B2CF9AE}" pid="14" name="TTBMVN.ProjectProfile.Part.8a1c2e7d6bae42f39f4fca394d78d265.0002">
    <vt:lpwstr>LTEwMyBwZXJzaXN0ZW5jZSBwcm9maWxlIG9ubHk7IG5vIGJ1c2luZXNzIG92ZXJyaWRlLiBEVC0xMDMgcGVyc2lzdGVuY2UgcHJvZmlsZSBvbmx5OyBubyBidXNpbmVzcyBvdmVycmlkZS4gRFQtMTAzIHBlcnNpc3RlbmNlIHByb2ZpbGUgb25seTsgbm8gYnVzaW5lc3Mgb3ZlcnJpZGUuIERULTEwMyBwZXJzaXN0ZW5j</vt:lpwstr>
  </property>
  <property fmtid="{D5CDD505-2E9C-101B-9397-08002B2CF9AE}" pid="15" name="TTBMVN.ProjectProfile.Part.8a1c2e7d6bae42f39f4fca394d78d265.0003">
    <vt:lpwstr>ZSBwcm9maWxlIG9ubHk7IG5vIGJ1c2luZXNzIG92ZXJyaWRlLiBEVC0xMDMgcGVyc2lzdGVuY2UgcHJvZmlsZSBvbmx5OyBubyBidXNpbmVzcyBvdmVycmlkZS4gRFQtMTAzIHBlcnNpc3RlbmNlIHByb2ZpbGUgb25seTsgbm8gYnVzaW5lc3Mgb3ZlcnJpZGUuIERULTEwMyBwZXJzaXN0ZW5jZSBwcm9maWxlIG9ubHk7</vt:lpwstr>
  </property>
  <property fmtid="{D5CDD505-2E9C-101B-9397-08002B2CF9AE}" pid="16" name="TTBMVN.ProjectProfile.Part.8a1c2e7d6bae42f39f4fca394d78d265.0004">
    <vt:lpwstr>IG5vIGJ1c2luZXNzIG92ZXJyaWRlLiBEVC0xMDMgcGVyc2lzdGVuY2UgcHJvZmlsZSBvbmx5OyBubyBidXNpbmVzcyBvdmVycmlkZS4gRFQtMTAzIHBlcnNpc3RlbmNlIHByb2ZpbGUgb25seTsgbm8gYnVzaW5lc3Mgb3ZlcnJpZGUuIERULTEwMyBwZXJzaXN0ZW5jZSBwcm9maWxlIG9ubHk7IG5vIGJ1c2luZXNzIG92</vt:lpwstr>
  </property>
  <property fmtid="{D5CDD505-2E9C-101B-9397-08002B2CF9AE}" pid="17" name="TTBMVN.ProjectProfile.Part.8a1c2e7d6bae42f39f4fca394d78d265.0005">
    <vt:lpwstr>ZXJyaWRlLiBEVC0xMDMgcGVyc2lzdGVuY2UgcHJvZmlsZSBvbmx5OyBubyBidXNpbmVzcyBvdmVycmlkZS4gRFQtMTAzIHBlcnNpc3RlbmNlIHByb2ZpbGUgb25seTsgbm8gYnVzaW5lc3Mgb3ZlcnJpZGUuIERULTEwMyBwZXJzaXN0ZW5jZSBwcm9maWxlIG9ubHk7IG5vIGJ1c2luZXNzIG92ZXJyaWRlLiBEVC0xMDMg</vt:lpwstr>
  </property>
  <property fmtid="{D5CDD505-2E9C-101B-9397-08002B2CF9AE}" pid="18" name="TTBMVN.ProjectProfile.Part.8a1c2e7d6bae42f39f4fca394d78d265.0006">
    <vt:lpwstr>cGVyc2lzdGVuY2UgcHJvZmlsZSBvbmx5OyBubyBidXNpbmVzcyBvdmVycmlkZS4gRFQtMTAzIHBlcnNpc3RlbmNlIHByb2ZpbGUgb25seTsgbm8gYnVzaW5lc3Mgb3ZlcnJpZGUuIERULTEwMyBwZXJzaXN0ZW5jZSBwcm9maWxlIG9ubHk7IG5vIGJ1c2luZXNzIG92ZXJyaWRlLiBEVC0xMDMgcGVyc2lzdGVuY2UgcHJv</vt:lpwstr>
  </property>
  <property fmtid="{D5CDD505-2E9C-101B-9397-08002B2CF9AE}" pid="19" name="TTBMVN.ProjectProfile.Part.8a1c2e7d6bae42f39f4fca394d78d265.0007">
    <vt:lpwstr>ZmlsZSBvbmx5OyBubyBidXNpbmVzcyBvdmVycmlkZS4gRFQtMTAzIHBlcnNpc3RlbmNlIHByb2ZpbGUgb25seTsgbm8gYnVzaW5lc3Mgb3ZlcnJpZGUuIERULTEwMyBwZXJzaXN0ZW5jZSBwcm9maWxlIG9ubHk7IG5vIGJ1c2luZXNzIG92ZXJyaWRlLg==</vt:lpwstr>
  </property>
</Properties>
</file>