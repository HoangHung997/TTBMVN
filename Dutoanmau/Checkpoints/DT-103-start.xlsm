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883AE3EC-3F35-44C5-903B-0ABAFC0B8750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a="1"/>
  <c r="C18" i="232" a="1"/>
  <c r="C19" i="232" a="1"/>
  <c r="C20" i="232" a="1"/>
  <c r="C21" i="232" a="1"/>
  <c r="C23" i="232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C24" i="232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C36" i="232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<sst xmlns="http://schemas.openxmlformats.org/spreadsheetml/2006/main" count="1630" uniqueCount="553">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</sst>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8" t="s">
        <v>436</v>
      </c>
      <c r="D1" s="818"/>
      <c r="E1" s="818"/>
      <c r="F1" s="818"/>
      <c r="G1" s="818"/>
      <c r="H1" s="818"/>
      <c r="I1" s="818"/>
      <c r="J1" s="818"/>
      <c r="K1" s="818"/>
      <c r="L1" s="818"/>
      <c r="M1" s="818"/>
      <c r="N1" s="818"/>
      <c r="O1" s="818"/>
      <c r="P1" s="818"/>
      <c r="Q1" s="818"/>
      <c r="R1" s="711"/>
      <c r="S1" s="711"/>
    </row>
    <row r="2" spans="1:31" ht="20.25" customHeight="1">
      <c r="C2" s="827" t="s">
        <v>541</v>
      </c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827"/>
      <c r="P2" s="827"/>
      <c r="Q2" s="827"/>
      <c r="R2" s="712"/>
      <c r="S2" s="712"/>
    </row>
    <row r="3" spans="1:31" ht="20.25" customHeight="1">
      <c r="C3" s="828" t="s">
        <v>195</v>
      </c>
      <c r="D3" s="828"/>
      <c r="E3" s="828"/>
      <c r="F3" s="828"/>
      <c r="G3" s="828"/>
      <c r="H3" s="828"/>
      <c r="I3" s="828"/>
      <c r="J3" s="828"/>
      <c r="K3" s="828"/>
      <c r="L3" s="828"/>
      <c r="M3" s="828"/>
      <c r="N3" s="828"/>
      <c r="O3" s="828"/>
      <c r="P3" s="828"/>
      <c r="Q3" s="828"/>
      <c r="R3" s="712"/>
      <c r="S3" s="712"/>
    </row>
    <row r="4" spans="1:31" ht="20.25" customHeight="1">
      <c r="C4" s="827" t="s">
        <v>542</v>
      </c>
      <c r="D4" s="827"/>
      <c r="E4" s="827"/>
      <c r="F4" s="827"/>
      <c r="G4" s="827"/>
      <c r="H4" s="827"/>
      <c r="I4" s="827"/>
      <c r="J4" s="827"/>
      <c r="K4" s="827"/>
      <c r="L4" s="827"/>
      <c r="M4" s="827"/>
      <c r="N4" s="827"/>
      <c r="O4" s="827"/>
      <c r="P4" s="827"/>
      <c r="Q4" s="827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15" t="s">
        <v>452</v>
      </c>
      <c r="B6" s="714"/>
      <c r="C6" s="816" t="s">
        <v>18</v>
      </c>
      <c r="D6" s="816" t="s">
        <v>453</v>
      </c>
      <c r="E6" s="817" t="s">
        <v>454</v>
      </c>
      <c r="F6" s="817" t="s">
        <v>455</v>
      </c>
      <c r="G6" s="824" t="s">
        <v>456</v>
      </c>
      <c r="H6" s="826"/>
      <c r="I6" s="825"/>
      <c r="J6" s="819" t="s">
        <v>510</v>
      </c>
      <c r="K6" s="820"/>
      <c r="L6" s="821"/>
      <c r="M6" s="824" t="s">
        <v>508</v>
      </c>
      <c r="N6" s="825"/>
      <c r="O6" s="824" t="s">
        <v>509</v>
      </c>
      <c r="P6" s="825"/>
      <c r="Q6" s="822" t="s">
        <v>19</v>
      </c>
      <c r="R6" s="712"/>
      <c r="S6" s="712"/>
      <c r="U6" s="710">
        <v>3</v>
      </c>
    </row>
    <row r="7" spans="1:31" ht="57.6" customHeight="1">
      <c r="A7" s="815"/>
      <c r="B7" s="714"/>
      <c r="C7" s="816"/>
      <c r="D7" s="816"/>
      <c r="E7" s="817"/>
      <c r="F7" s="817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3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'PL01'!M47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'PL01'!N47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'PL01'!O47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'PL01'!P47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2" t="s">
        <v>0</v>
      </c>
      <c r="B15" s="852" t="s">
        <v>304</v>
      </c>
      <c r="C15" s="855" t="s">
        <v>305</v>
      </c>
      <c r="D15" s="856"/>
      <c r="E15" s="856"/>
      <c r="F15" s="856"/>
      <c r="G15" s="857"/>
    </row>
    <row r="16" spans="1:7" ht="15" customHeight="1">
      <c r="A16" s="853"/>
      <c r="B16" s="853"/>
      <c r="C16" s="852" t="s">
        <v>306</v>
      </c>
      <c r="D16" s="852" t="s">
        <v>307</v>
      </c>
      <c r="E16" s="478" t="s">
        <v>308</v>
      </c>
      <c r="F16" s="852" t="s">
        <v>310</v>
      </c>
      <c r="G16" s="479" t="s">
        <v>311</v>
      </c>
    </row>
    <row r="17" spans="1:7">
      <c r="A17" s="854"/>
      <c r="B17" s="854"/>
      <c r="C17" s="854"/>
      <c r="D17" s="854"/>
      <c r="E17" s="480" t="s">
        <v>309</v>
      </c>
      <c r="F17" s="854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3" t="s">
        <v>0</v>
      </c>
      <c r="B26" s="485" t="s">
        <v>264</v>
      </c>
      <c r="C26" s="845" t="s">
        <v>317</v>
      </c>
      <c r="D26" s="846"/>
      <c r="E26" s="847"/>
    </row>
    <row r="27" spans="1:7" ht="30.6" customHeight="1">
      <c r="A27" s="844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1" t="s">
        <v>0</v>
      </c>
      <c r="B35" s="461" t="s">
        <v>264</v>
      </c>
      <c r="C35" s="849" t="s">
        <v>305</v>
      </c>
      <c r="D35" s="850"/>
      <c r="E35" s="851"/>
    </row>
    <row r="36" spans="1:7" ht="67.2" customHeight="1">
      <c r="A36" s="848"/>
      <c r="B36" s="491" t="s">
        <v>316</v>
      </c>
      <c r="C36" s="491" t="s">
        <v>321</v>
      </c>
      <c r="D36" s="841" t="s">
        <v>323</v>
      </c>
      <c r="E36" s="841" t="s">
        <v>324</v>
      </c>
      <c r="F36" s="841" t="s">
        <v>323</v>
      </c>
      <c r="G36" s="841" t="s">
        <v>324</v>
      </c>
    </row>
    <row r="37" spans="1:7" ht="16.8">
      <c r="A37" s="842"/>
      <c r="B37" s="492"/>
      <c r="C37" s="493" t="s">
        <v>322</v>
      </c>
      <c r="D37" s="842"/>
      <c r="E37" s="842"/>
      <c r="F37" s="842"/>
      <c r="G37" s="842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12" t="s">
        <v>121</v>
      </c>
      <c r="B2" s="812"/>
      <c r="C2" s="812"/>
      <c r="D2" s="812"/>
      <c r="E2" s="812"/>
      <c r="F2" s="812"/>
    </row>
    <row r="3" spans="1:10" s="630" customFormat="1" ht="48" customHeight="1">
      <c r="A3" s="813" t="str">
        <f>'PL01'!C2</f>
        <v>Dự án: Cải tạo, nâng cấp  trạm bơm Trà Phương 3 tiêu thoát nước cho vùng các khu công nghiệp huyện Kim Động, Ân Thi, Yên Mỹ tỉnh Hưng Yên</v>
      </c>
      <c r="B3" s="814"/>
      <c r="C3" s="814"/>
      <c r="D3" s="814"/>
      <c r="E3" s="814"/>
      <c r="F3" s="814"/>
      <c r="H3" s="631"/>
    </row>
    <row r="4" spans="1:10" s="632" customFormat="1" ht="16.8" customHeight="1">
      <c r="A4" s="813" t="str">
        <f>'PL01'!C3</f>
        <v>Hạng mục: Rà phá bom mìn, vật nổ</v>
      </c>
      <c r="B4" s="814"/>
      <c r="C4" s="814"/>
      <c r="D4" s="814"/>
      <c r="E4" s="814"/>
      <c r="F4" s="814"/>
    </row>
    <row r="5" spans="1:10" s="630" customFormat="1" ht="22.8" customHeight="1">
      <c r="A5" s="813" t="str">
        <f>'PL01'!C4</f>
        <v>Địa điểm: Xã Hồng Quang, tỉnh Hưng Yên</v>
      </c>
      <c r="B5" s="814"/>
      <c r="C5" s="814"/>
      <c r="D5" s="814"/>
      <c r="E5" s="814"/>
      <c r="F5" s="814"/>
    </row>
    <row r="6" spans="1:10" s="632" customFormat="1" ht="21" hidden="1" customHeight="1">
      <c r="A6" s="811" t="s">
        <v>240</v>
      </c>
      <c r="B6" s="811"/>
      <c r="C6" s="811"/>
      <c r="D6" s="811"/>
      <c r="E6" s="811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8" t="s">
        <v>545</v>
      </c>
      <c r="B28" s="808"/>
      <c r="C28" s="808"/>
      <c r="D28" s="808"/>
      <c r="E28" s="808"/>
      <c r="F28" s="808"/>
      <c r="G28" s="809"/>
      <c r="H28" s="809"/>
      <c r="I28" s="809"/>
      <c r="J28" s="809"/>
      <c r="K28" s="809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0" t="s">
        <v>179</v>
      </c>
      <c r="B30" s="810"/>
      <c r="C30" s="424"/>
      <c r="D30" s="810" t="s">
        <v>123</v>
      </c>
      <c r="E30" s="810"/>
      <c r="F30" s="810"/>
    </row>
    <row r="31" spans="1:12" ht="16.95" customHeight="1">
      <c r="A31" s="810"/>
      <c r="B31" s="810"/>
      <c r="C31" s="424"/>
      <c r="D31" s="810" t="s">
        <v>551</v>
      </c>
      <c r="E31" s="810"/>
      <c r="F31" s="810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0" t="s">
        <v>552</v>
      </c>
      <c r="E35" s="810"/>
      <c r="F35" s="810"/>
    </row>
    <row r="36" spans="1:6" ht="18">
      <c r="A36" s="806"/>
      <c r="B36" s="806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7"/>
      <c r="B39" s="807"/>
      <c r="C39" s="807"/>
      <c r="D39" s="807"/>
      <c r="E39" s="807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6" t="s">
        <v>351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23"/>
      <c r="M1" s="23"/>
      <c r="N1" s="23"/>
      <c r="O1" s="23"/>
    </row>
    <row r="2" spans="1:22" ht="24" customHeight="1">
      <c r="A2" s="866" t="s">
        <v>112</v>
      </c>
      <c r="B2" s="866"/>
      <c r="C2" s="866"/>
      <c r="D2" s="866"/>
      <c r="E2" s="866"/>
      <c r="F2" s="866"/>
      <c r="G2" s="866"/>
      <c r="H2" s="866"/>
      <c r="I2" s="866"/>
      <c r="J2" s="866"/>
      <c r="K2" s="866"/>
      <c r="L2" s="23"/>
      <c r="M2" s="23"/>
      <c r="N2" s="23"/>
      <c r="O2" s="23"/>
      <c r="Q2" s="867"/>
      <c r="R2" s="867"/>
      <c r="S2" s="867"/>
      <c r="T2" s="867"/>
    </row>
    <row r="3" spans="1:22" ht="24" hidden="1" customHeight="1">
      <c r="A3" s="862" t="e">
        <f>#REF!</f>
        <v>#REF!</v>
      </c>
      <c r="B3" s="862"/>
      <c r="C3" s="862"/>
      <c r="D3" s="862"/>
      <c r="E3" s="862"/>
      <c r="F3" s="862"/>
      <c r="G3" s="862"/>
      <c r="H3" s="862"/>
      <c r="I3" s="862"/>
      <c r="J3" s="862"/>
      <c r="K3" s="862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2" t="s">
        <v>195</v>
      </c>
      <c r="B5" s="862"/>
      <c r="C5" s="862"/>
      <c r="D5" s="862"/>
      <c r="E5" s="862"/>
      <c r="F5" s="862"/>
      <c r="G5" s="862"/>
      <c r="H5" s="862"/>
      <c r="I5" s="862"/>
      <c r="J5" s="862"/>
      <c r="K5" s="862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'THKP-TC'!A5</f>
        <v>Địa điểm: Xã Hồng Quang, tỉnh Hưng Yên</v>
      </c>
      <c r="B6" s="862"/>
      <c r="C6" s="862"/>
      <c r="D6" s="862"/>
      <c r="E6" s="862"/>
      <c r="F6" s="862"/>
      <c r="G6" s="862"/>
      <c r="H6" s="862"/>
      <c r="I6" s="862"/>
      <c r="J6" s="862"/>
      <c r="K6" s="862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3"/>
      <c r="B7" s="863"/>
      <c r="C7" s="863"/>
      <c r="D7" s="863"/>
      <c r="E7" s="863"/>
      <c r="F7" s="863"/>
      <c r="G7" s="863"/>
      <c r="H7" s="863"/>
      <c r="I7" s="863"/>
      <c r="J7" s="863"/>
      <c r="K7" s="863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4" t="s">
        <v>0</v>
      </c>
      <c r="B9" s="864" t="s">
        <v>49</v>
      </c>
      <c r="C9" s="864" t="s">
        <v>53</v>
      </c>
      <c r="D9" s="864" t="s">
        <v>22</v>
      </c>
      <c r="E9" s="864" t="s">
        <v>164</v>
      </c>
      <c r="F9" s="858" t="s">
        <v>31</v>
      </c>
      <c r="G9" s="858"/>
      <c r="H9" s="858"/>
      <c r="I9" s="858" t="s">
        <v>45</v>
      </c>
      <c r="J9" s="858"/>
      <c r="K9" s="858"/>
      <c r="L9" s="858" t="s">
        <v>167</v>
      </c>
      <c r="M9" s="858"/>
      <c r="N9" s="858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5"/>
      <c r="B10" s="865"/>
      <c r="C10" s="865"/>
      <c r="D10" s="865"/>
      <c r="E10" s="865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9"/>
      <c r="D30" s="860"/>
      <c r="I30" s="206"/>
      <c r="J30" s="206"/>
      <c r="K30" s="206"/>
      <c r="P30" s="207"/>
    </row>
    <row r="31" spans="1:22">
      <c r="C31" s="859"/>
      <c r="D31" s="860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4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69" t="s">
        <v>42</v>
      </c>
      <c r="D17" s="869" t="s">
        <v>20</v>
      </c>
      <c r="E17" s="869" t="s">
        <v>80</v>
      </c>
      <c r="F17" s="869" t="s">
        <v>17</v>
      </c>
      <c r="G17" s="869"/>
      <c r="H17" s="869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69"/>
      <c r="D18" s="869"/>
      <c r="E18" s="869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69" t="s">
        <v>42</v>
      </c>
      <c r="D34" s="869" t="s">
        <v>20</v>
      </c>
      <c r="E34" s="869" t="s">
        <v>80</v>
      </c>
      <c r="F34" s="869" t="s">
        <v>17</v>
      </c>
      <c r="G34" s="869"/>
      <c r="H34" s="869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69"/>
      <c r="D35" s="869"/>
      <c r="E35" s="869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69" t="s">
        <v>42</v>
      </c>
      <c r="D51" s="869" t="s">
        <v>20</v>
      </c>
      <c r="E51" s="869" t="s">
        <v>80</v>
      </c>
      <c r="F51" s="869" t="s">
        <v>17</v>
      </c>
      <c r="G51" s="869"/>
      <c r="H51" s="869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69"/>
      <c r="D52" s="869"/>
      <c r="E52" s="869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69" t="s">
        <v>42</v>
      </c>
      <c r="D68" s="869" t="s">
        <v>20</v>
      </c>
      <c r="E68" s="869" t="s">
        <v>80</v>
      </c>
      <c r="F68" s="869" t="s">
        <v>17</v>
      </c>
      <c r="G68" s="869"/>
      <c r="H68" s="869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69"/>
      <c r="D69" s="869"/>
      <c r="E69" s="869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69" t="s">
        <v>42</v>
      </c>
      <c r="D82" s="869" t="s">
        <v>20</v>
      </c>
      <c r="E82" s="869" t="s">
        <v>80</v>
      </c>
      <c r="F82" s="869" t="s">
        <v>17</v>
      </c>
      <c r="G82" s="869"/>
      <c r="H82" s="869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69"/>
      <c r="D83" s="869"/>
      <c r="E83" s="869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69" t="s">
        <v>42</v>
      </c>
      <c r="D100" s="869" t="s">
        <v>20</v>
      </c>
      <c r="E100" s="869" t="s">
        <v>80</v>
      </c>
      <c r="F100" s="869" t="s">
        <v>17</v>
      </c>
      <c r="G100" s="869"/>
      <c r="H100" s="869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69"/>
      <c r="D101" s="869"/>
      <c r="E101" s="869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69" t="s">
        <v>42</v>
      </c>
      <c r="D116" s="869" t="s">
        <v>20</v>
      </c>
      <c r="E116" s="869" t="s">
        <v>80</v>
      </c>
      <c r="F116" s="869" t="s">
        <v>17</v>
      </c>
      <c r="G116" s="869"/>
      <c r="H116" s="869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69"/>
      <c r="D117" s="869"/>
      <c r="E117" s="869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1" t="s">
        <v>435</v>
      </c>
      <c r="B1" s="882"/>
      <c r="C1" s="882"/>
      <c r="D1" s="882"/>
      <c r="E1" s="882"/>
      <c r="F1" s="882"/>
      <c r="G1" s="882"/>
      <c r="H1" s="882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6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6"/>
      <c r="C13" s="876"/>
      <c r="D13" s="876"/>
      <c r="E13" s="876"/>
      <c r="F13" s="876"/>
      <c r="G13" s="876"/>
      <c r="H13" s="876"/>
    </row>
    <row r="14" spans="1:21" ht="19.5" customHeight="1">
      <c r="A14" s="876" t="str" cm="1">
        <f t="array" aca="1" ref="A14" ca="1">"Số hiệu định mức: 030.0100."&amp;INDIRECT(ADDRESS(ROW(L17),COLUMN(L17)+L17,1,1))</f>
        <v>Số hiệu định mức: 030.0100.1</v>
      </c>
      <c r="B14" s="876"/>
      <c r="C14" s="876"/>
      <c r="D14" s="876"/>
      <c r="E14" s="876"/>
      <c r="F14" s="876"/>
      <c r="G14" s="876"/>
      <c r="H14" s="876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7" t="s">
        <v>18</v>
      </c>
      <c r="B16" s="877" t="s">
        <v>43</v>
      </c>
      <c r="C16" s="878" t="s">
        <v>42</v>
      </c>
      <c r="D16" s="878" t="s">
        <v>22</v>
      </c>
      <c r="E16" s="878" t="s">
        <v>237</v>
      </c>
      <c r="F16" s="879" t="s">
        <v>45</v>
      </c>
      <c r="G16" s="879"/>
      <c r="H16" s="879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7"/>
      <c r="B17" s="877"/>
      <c r="C17" s="878"/>
      <c r="D17" s="878"/>
      <c r="E17" s="878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6" t="str">
        <f>"Dò tìm bom mìn, vật nổ dưới nước từ 0,5m - 3m cho 1 ha. Nước sâu "&amp;L57</f>
        <v>Dò tìm bom mìn, vật nổ dưới nước từ 0,5m - 3m cho 1 ha. Nước sâu 0,5 ÷ 12m</v>
      </c>
      <c r="B36" s="876"/>
      <c r="C36" s="876"/>
      <c r="D36" s="876"/>
      <c r="E36" s="876"/>
      <c r="F36" s="876"/>
      <c r="G36" s="876"/>
      <c r="H36" s="876"/>
    </row>
    <row r="37" spans="1:17" ht="19.5" customHeight="1">
      <c r="A37" s="876" t="str" cm="1">
        <f t="array" aca="1" ref="A37" ca="1">"Số hiệu định mức: 030.0200."&amp;INDIRECT(ADDRESS(ROW(L40),COLUMN(L40)+L40,1,1))</f>
        <v>Số hiệu định mức: 030.0200.1</v>
      </c>
      <c r="B37" s="876"/>
      <c r="C37" s="876"/>
      <c r="D37" s="876"/>
      <c r="E37" s="876"/>
      <c r="F37" s="876"/>
      <c r="G37" s="876"/>
      <c r="H37" s="876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7" t="s">
        <v>18</v>
      </c>
      <c r="B39" s="877" t="s">
        <v>43</v>
      </c>
      <c r="C39" s="878" t="s">
        <v>42</v>
      </c>
      <c r="D39" s="878" t="s">
        <v>22</v>
      </c>
      <c r="E39" s="878" t="s">
        <v>237</v>
      </c>
      <c r="F39" s="879" t="s">
        <v>45</v>
      </c>
      <c r="G39" s="879"/>
      <c r="H39" s="879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7"/>
      <c r="B40" s="877"/>
      <c r="C40" s="878"/>
      <c r="D40" s="878"/>
      <c r="E40" s="878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0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0"/>
      <c r="C58" s="880"/>
      <c r="D58" s="880"/>
      <c r="E58" s="880"/>
      <c r="F58" s="880"/>
      <c r="G58" s="880"/>
      <c r="H58" s="880"/>
      <c r="M58" s="556" t="s">
        <v>267</v>
      </c>
    </row>
    <row r="59" spans="1:17" ht="19.5" customHeight="1">
      <c r="A59" s="876" t="str" cm="1">
        <f t="array" aca="1" ref="A59" ca="1">"Số hiệu định mức: 030.0300."&amp;INDIRECT(ADDRESS(ROW(L62),COLUMN(L62)+L62,1,1))</f>
        <v>Số hiệu định mức: 030.0300.1</v>
      </c>
      <c r="B59" s="876"/>
      <c r="C59" s="876"/>
      <c r="D59" s="876"/>
      <c r="E59" s="876"/>
      <c r="F59" s="876"/>
      <c r="G59" s="876"/>
      <c r="H59" s="876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7" t="s">
        <v>18</v>
      </c>
      <c r="B61" s="877" t="s">
        <v>43</v>
      </c>
      <c r="C61" s="878" t="s">
        <v>42</v>
      </c>
      <c r="D61" s="878" t="s">
        <v>22</v>
      </c>
      <c r="E61" s="878" t="s">
        <v>237</v>
      </c>
      <c r="F61" s="879" t="s">
        <v>45</v>
      </c>
      <c r="G61" s="879"/>
      <c r="H61" s="879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7"/>
      <c r="B62" s="877"/>
      <c r="C62" s="878"/>
      <c r="D62" s="878"/>
      <c r="E62" s="878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6" t="str">
        <f>"Lặn xử lý tín hiệu đến độ sâu 0,5m. Nước sâu "&amp;L88</f>
        <v>Lặn xử lý tín hiệu đến độ sâu 0,5m. Nước sâu 0,5 ÷ 12m</v>
      </c>
      <c r="B76" s="876"/>
      <c r="C76" s="876"/>
      <c r="D76" s="876"/>
      <c r="E76" s="876"/>
      <c r="F76" s="876"/>
      <c r="G76" s="876"/>
      <c r="H76" s="876"/>
    </row>
    <row r="77" spans="1:17" ht="19.5" customHeight="1">
      <c r="A77" s="876" t="str" cm="1">
        <f t="array" aca="1" ref="A77" ca="1">"Số hiệu định mức: 030.0400."&amp;INDIRECT(ADDRESS(ROW(L80),COLUMN(L80)+L80,1,1))</f>
        <v>Số hiệu định mức: 030.0400.1</v>
      </c>
      <c r="B77" s="876"/>
      <c r="C77" s="876"/>
      <c r="D77" s="876"/>
      <c r="E77" s="876"/>
      <c r="F77" s="876"/>
      <c r="G77" s="876"/>
      <c r="H77" s="876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7" t="s">
        <v>18</v>
      </c>
      <c r="B79" s="877" t="s">
        <v>43</v>
      </c>
      <c r="C79" s="878" t="s">
        <v>42</v>
      </c>
      <c r="D79" s="878" t="s">
        <v>22</v>
      </c>
      <c r="E79" s="878" t="s">
        <v>237</v>
      </c>
      <c r="F79" s="879" t="s">
        <v>17</v>
      </c>
      <c r="G79" s="879"/>
      <c r="H79" s="879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7"/>
      <c r="B80" s="877"/>
      <c r="C80" s="878"/>
      <c r="D80" s="878"/>
      <c r="E80" s="878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6" t="str">
        <f>"Lặn xử lý tín hiệu nằm từ độ sâu 0,5m-1m. Nước sâu "&amp;L103</f>
        <v>Lặn xử lý tín hiệu nằm từ độ sâu 0,5m-1m. Nước sâu 0,5 ÷ 12m</v>
      </c>
      <c r="B89" s="876"/>
      <c r="C89" s="876"/>
      <c r="D89" s="876"/>
      <c r="E89" s="876"/>
      <c r="F89" s="876"/>
      <c r="G89" s="876"/>
      <c r="H89" s="876"/>
    </row>
    <row r="90" spans="1:17" ht="19.5" customHeight="1">
      <c r="A90" s="876" t="str" cm="1">
        <f t="array" aca="1" ref="A90" ca="1">"Số hiệu định mức: 030.0500."&amp;INDIRECT(ADDRESS(ROW(L93),COLUMN(L93)+L93,1,1))</f>
        <v>Số hiệu định mức: 030.0500.1</v>
      </c>
      <c r="B90" s="876"/>
      <c r="C90" s="876"/>
      <c r="D90" s="876"/>
      <c r="E90" s="876"/>
      <c r="F90" s="876"/>
      <c r="G90" s="876"/>
      <c r="H90" s="876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7" t="s">
        <v>18</v>
      </c>
      <c r="B92" s="877" t="s">
        <v>43</v>
      </c>
      <c r="C92" s="878" t="s">
        <v>42</v>
      </c>
      <c r="D92" s="878" t="s">
        <v>22</v>
      </c>
      <c r="E92" s="878" t="s">
        <v>237</v>
      </c>
      <c r="F92" s="879" t="s">
        <v>45</v>
      </c>
      <c r="G92" s="879"/>
      <c r="H92" s="879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7"/>
      <c r="B93" s="877"/>
      <c r="C93" s="878"/>
      <c r="D93" s="878"/>
      <c r="E93" s="878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6" t="str">
        <f>"Lặn xử lý tín hiệu nằm từ độ sâu 1m-3m. Nước sâu "&amp;L121</f>
        <v>Lặn xử lý tín hiệu nằm từ độ sâu 1m-3m. Nước sâu 0,5 ÷ 12m</v>
      </c>
      <c r="B106" s="876"/>
      <c r="C106" s="876"/>
      <c r="D106" s="876"/>
      <c r="E106" s="876"/>
      <c r="F106" s="876"/>
      <c r="G106" s="876"/>
      <c r="H106" s="876"/>
    </row>
    <row r="107" spans="1:17" ht="19.5" customHeight="1">
      <c r="A107" s="876" t="str" cm="1">
        <f t="array" aca="1" ref="A107" ca="1">"Số hiệu định mức: 030.0600."&amp;INDIRECT(ADDRESS(ROW(L110),COLUMN(L110)+L110,1,1))</f>
        <v>Số hiệu định mức: 030.0600.1</v>
      </c>
      <c r="B107" s="876"/>
      <c r="C107" s="876"/>
      <c r="D107" s="876"/>
      <c r="E107" s="876"/>
      <c r="F107" s="876"/>
      <c r="G107" s="876"/>
      <c r="H107" s="876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7" t="s">
        <v>18</v>
      </c>
      <c r="B109" s="877" t="s">
        <v>43</v>
      </c>
      <c r="C109" s="878" t="s">
        <v>42</v>
      </c>
      <c r="D109" s="878" t="s">
        <v>22</v>
      </c>
      <c r="E109" s="878" t="s">
        <v>237</v>
      </c>
      <c r="F109" s="879" t="s">
        <v>45</v>
      </c>
      <c r="G109" s="879"/>
      <c r="H109" s="879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7"/>
      <c r="B110" s="877"/>
      <c r="C110" s="878"/>
      <c r="D110" s="878"/>
      <c r="E110" s="878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6" t="str">
        <f>"Lặn xử lý tín hiệu nằm từ độ sâu 1m-5m. Nước sâu "&amp;L138</f>
        <v>Lặn xử lý tín hiệu nằm từ độ sâu 1m-5m. Nước sâu Không có</v>
      </c>
      <c r="B123" s="876"/>
      <c r="C123" s="876"/>
      <c r="D123" s="876"/>
      <c r="E123" s="876"/>
      <c r="F123" s="876"/>
      <c r="G123" s="876"/>
      <c r="H123" s="876"/>
    </row>
    <row r="124" spans="1:17" hidden="1" outlineLevel="1">
      <c r="A124" s="876" t="str" cm="1">
        <f t="array" aca="1" ref="A124" ca="1">"Số hiệu định mức: 030.0700."&amp;INDIRECT(ADDRESS(ROW(L127),COLUMN(L127)+L127,1,1))</f>
        <v>Số hiệu định mức: 030.0700.4</v>
      </c>
      <c r="B124" s="876"/>
      <c r="C124" s="876"/>
      <c r="D124" s="876"/>
      <c r="E124" s="876"/>
      <c r="F124" s="876"/>
      <c r="G124" s="876"/>
      <c r="H124" s="876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7" t="s">
        <v>18</v>
      </c>
      <c r="B126" s="877" t="s">
        <v>43</v>
      </c>
      <c r="C126" s="878" t="s">
        <v>42</v>
      </c>
      <c r="D126" s="878" t="s">
        <v>22</v>
      </c>
      <c r="E126" s="878" t="s">
        <v>237</v>
      </c>
      <c r="F126" s="879" t="s">
        <v>45</v>
      </c>
      <c r="G126" s="879"/>
      <c r="H126" s="879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7"/>
      <c r="B127" s="877"/>
      <c r="C127" s="878"/>
      <c r="D127" s="878"/>
      <c r="E127" s="878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1" t="s">
        <v>286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</row>
    <row r="3" spans="1:18">
      <c r="A3" s="902" t="s">
        <v>358</v>
      </c>
      <c r="B3" s="903"/>
      <c r="C3" s="903"/>
      <c r="D3" s="903"/>
      <c r="E3" s="903"/>
      <c r="F3" s="903"/>
      <c r="G3" s="903"/>
      <c r="H3" s="903"/>
      <c r="I3" s="903"/>
      <c r="J3" s="903"/>
      <c r="K3" s="903"/>
      <c r="L3" s="903"/>
      <c r="M3" s="903"/>
      <c r="N3" s="903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4" t="s">
        <v>0</v>
      </c>
      <c r="B6" s="905" t="s">
        <v>222</v>
      </c>
      <c r="C6" s="95" t="s">
        <v>18</v>
      </c>
      <c r="D6" s="905" t="s">
        <v>230</v>
      </c>
      <c r="E6" s="905"/>
      <c r="F6" s="905"/>
      <c r="G6" s="905"/>
      <c r="H6" s="905"/>
      <c r="I6" s="905"/>
      <c r="J6" s="905"/>
      <c r="K6" s="905"/>
      <c r="L6" s="905"/>
      <c r="M6" s="905"/>
      <c r="N6" s="905"/>
      <c r="O6" s="201"/>
      <c r="P6" s="201"/>
    </row>
    <row r="7" spans="1:18">
      <c r="A7" s="904"/>
      <c r="B7" s="905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900" t="s">
        <v>287</v>
      </c>
      <c r="B15" s="900"/>
      <c r="C15" s="900"/>
      <c r="D15" s="900"/>
      <c r="E15" s="900"/>
      <c r="F15" s="900"/>
      <c r="G15" s="900"/>
      <c r="H15" s="900"/>
    </row>
    <row r="16" spans="1:18">
      <c r="A16" s="897" t="s">
        <v>357</v>
      </c>
      <c r="B16" s="897"/>
      <c r="C16" s="897"/>
      <c r="D16" s="897"/>
      <c r="E16" s="897"/>
      <c r="F16" s="897"/>
      <c r="G16" s="897"/>
      <c r="H16" s="897"/>
    </row>
    <row r="17" spans="1:13">
      <c r="A17" s="898" t="s">
        <v>224</v>
      </c>
      <c r="B17" s="898"/>
      <c r="C17" s="898"/>
      <c r="D17" s="898"/>
      <c r="E17" s="898"/>
      <c r="F17" s="898"/>
      <c r="G17" s="898"/>
      <c r="H17" s="898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9" t="s">
        <v>0</v>
      </c>
      <c r="B19" s="899" t="s">
        <v>222</v>
      </c>
      <c r="C19" s="190"/>
      <c r="D19" s="890" t="s">
        <v>221</v>
      </c>
      <c r="E19" s="890"/>
      <c r="F19" s="890"/>
      <c r="G19" s="890"/>
      <c r="H19" s="890"/>
      <c r="I19" s="175" t="s">
        <v>278</v>
      </c>
      <c r="J19" s="896">
        <f>IF('THKP-TC'!$E$13&lt;15*10^9,15*10^9,'THKP-TC'!$E$13)</f>
        <v>15000000000</v>
      </c>
      <c r="K19" s="896"/>
      <c r="L19" s="889">
        <f>'THKP-TC'!E13</f>
        <v>839151026.70680892</v>
      </c>
      <c r="M19" s="889"/>
    </row>
    <row r="20" spans="1:13" ht="16.8">
      <c r="A20" s="899"/>
      <c r="B20" s="899"/>
      <c r="C20" s="190"/>
      <c r="D20" s="890" t="s">
        <v>220</v>
      </c>
      <c r="E20" s="890"/>
      <c r="F20" s="890"/>
      <c r="G20" s="890"/>
      <c r="H20" s="890"/>
      <c r="I20" s="80" t="s">
        <v>277</v>
      </c>
      <c r="J20" s="891" t="e">
        <f>I22</f>
        <v>#REF!</v>
      </c>
      <c r="K20" s="892"/>
    </row>
    <row r="21" spans="1:13">
      <c r="A21" s="899"/>
      <c r="B21" s="899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3" t="s">
        <v>0</v>
      </c>
      <c r="B28" s="893" t="s">
        <v>216</v>
      </c>
      <c r="C28" s="894" t="s">
        <v>18</v>
      </c>
      <c r="D28" s="893" t="s">
        <v>215</v>
      </c>
      <c r="E28" s="893"/>
      <c r="F28" s="893" t="s">
        <v>214</v>
      </c>
    </row>
    <row r="29" spans="1:13" ht="34.200000000000003">
      <c r="A29" s="893"/>
      <c r="B29" s="893"/>
      <c r="C29" s="895"/>
      <c r="D29" s="195" t="s">
        <v>285</v>
      </c>
      <c r="E29" s="195" t="s">
        <v>213</v>
      </c>
      <c r="F29" s="893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9">
        <f>IF('THKP-TC'!E16&lt;1*10^9,1*10^9,'THKP-TC'!E16)</f>
        <v>1000000000</v>
      </c>
      <c r="F42" s="889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8" t="s">
        <v>399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  <c r="U1" s="919"/>
      <c r="V1" s="600"/>
      <c r="W1" s="600"/>
      <c r="X1" s="600"/>
    </row>
    <row r="2" spans="1:24" s="601" customFormat="1" ht="24" customHeight="1">
      <c r="A2" s="920" t="str">
        <f>'PL01'!C2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  <c r="T2" s="921"/>
      <c r="U2" s="921"/>
    </row>
    <row r="3" spans="1:24" s="601" customFormat="1" ht="24.75" customHeight="1">
      <c r="A3" s="920" t="str">
        <f>'PL01'!C4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  <c r="T3" s="921"/>
      <c r="U3" s="921"/>
    </row>
    <row r="4" spans="1:24" s="32" customFormat="1" ht="33.6" hidden="1" customHeight="1">
      <c r="A4" s="921" t="s">
        <v>197</v>
      </c>
      <c r="B4" s="921"/>
      <c r="C4" s="921"/>
      <c r="D4" s="921"/>
      <c r="E4" s="921"/>
      <c r="F4" s="921"/>
      <c r="G4" s="921"/>
      <c r="H4" s="921"/>
      <c r="I4" s="921"/>
      <c r="J4" s="921"/>
      <c r="K4" s="921"/>
      <c r="L4" s="921"/>
      <c r="M4" s="921"/>
      <c r="N4" s="921"/>
      <c r="O4" s="921"/>
      <c r="P4" s="921"/>
      <c r="Q4" s="921"/>
      <c r="R4" s="921"/>
      <c r="S4" s="921"/>
      <c r="T4" s="921"/>
      <c r="U4" s="921"/>
    </row>
    <row r="5" spans="1:24" ht="28.95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141</v>
      </c>
      <c r="F5" s="923"/>
      <c r="G5" s="908" t="s">
        <v>147</v>
      </c>
      <c r="H5" s="908" t="s">
        <v>148</v>
      </c>
      <c r="I5" s="908" t="s">
        <v>133</v>
      </c>
      <c r="J5" s="908" t="s">
        <v>194</v>
      </c>
      <c r="K5" s="908" t="s">
        <v>241</v>
      </c>
      <c r="L5" s="908" t="s">
        <v>393</v>
      </c>
      <c r="M5" s="908" t="s">
        <v>395</v>
      </c>
      <c r="N5" s="908" t="s">
        <v>394</v>
      </c>
      <c r="O5" s="908" t="s">
        <v>396</v>
      </c>
      <c r="P5" s="924" t="s">
        <v>134</v>
      </c>
      <c r="Q5" s="925"/>
      <c r="R5" s="925"/>
      <c r="S5" s="925"/>
      <c r="T5" s="926"/>
      <c r="U5" s="908" t="s">
        <v>19</v>
      </c>
    </row>
    <row r="6" spans="1:24" ht="49.5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27"/>
      <c r="I6" s="909"/>
      <c r="J6" s="909"/>
      <c r="K6" s="909"/>
      <c r="L6" s="909"/>
      <c r="M6" s="909"/>
      <c r="N6" s="909"/>
      <c r="O6" s="909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9"/>
    </row>
    <row r="7" spans="1:24" s="339" customFormat="1" ht="19.5" customHeight="1">
      <c r="A7" s="915">
        <v>1</v>
      </c>
      <c r="B7" s="91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6"/>
      <c r="B8" s="91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6"/>
      <c r="B9" s="91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7"/>
      <c r="B10" s="91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0" t="s">
        <v>548</v>
      </c>
      <c r="B14" s="910"/>
      <c r="C14" s="910"/>
      <c r="D14" s="910"/>
      <c r="E14" s="910"/>
      <c r="F14" s="910"/>
      <c r="G14" s="47"/>
      <c r="H14" s="203"/>
      <c r="I14" s="48"/>
      <c r="J14" s="49"/>
      <c r="K14" s="49"/>
      <c r="L14" s="911" t="s">
        <v>140</v>
      </c>
      <c r="M14" s="911"/>
      <c r="N14" s="911"/>
      <c r="O14" s="911"/>
      <c r="P14" s="911"/>
      <c r="Q14" s="911"/>
      <c r="R14" s="911"/>
      <c r="S14" s="911"/>
      <c r="T14" s="911"/>
      <c r="U14" s="91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6"/>
      <c r="B18" s="906"/>
      <c r="C18" s="906"/>
      <c r="D18" s="906"/>
      <c r="E18" s="906"/>
      <c r="F18" s="906"/>
      <c r="G18" s="60"/>
      <c r="H18" s="61"/>
      <c r="I18" s="62"/>
      <c r="J18" s="62"/>
      <c r="K18" s="62"/>
      <c r="L18" s="907" t="s">
        <v>550</v>
      </c>
      <c r="M18" s="907"/>
      <c r="N18" s="907"/>
      <c r="O18" s="907"/>
      <c r="P18" s="907"/>
      <c r="Q18" s="907"/>
      <c r="R18" s="907"/>
      <c r="S18" s="907"/>
      <c r="T18" s="907"/>
      <c r="U18" s="907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8" t="s">
        <v>400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</row>
    <row r="2" spans="1:19" ht="36.75" customHeight="1">
      <c r="A2" s="920" t="str">
        <f>'PL01'!C2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</row>
    <row r="3" spans="1:19" ht="24.75" customHeight="1">
      <c r="A3" s="920" t="str">
        <f>'PL01'!C4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250</v>
      </c>
      <c r="F5" s="923"/>
      <c r="G5" s="908" t="s">
        <v>249</v>
      </c>
      <c r="H5" s="908" t="s">
        <v>544</v>
      </c>
      <c r="I5" s="908" t="s">
        <v>248</v>
      </c>
      <c r="J5" s="908" t="s">
        <v>247</v>
      </c>
      <c r="K5" s="908" t="s">
        <v>246</v>
      </c>
      <c r="L5" s="908" t="s">
        <v>245</v>
      </c>
      <c r="M5" s="908" t="s">
        <v>344</v>
      </c>
      <c r="N5" s="908" t="s">
        <v>244</v>
      </c>
      <c r="O5" s="930" t="s">
        <v>134</v>
      </c>
      <c r="P5" s="930"/>
      <c r="Q5" s="930"/>
      <c r="R5" s="930"/>
      <c r="S5" s="908" t="s">
        <v>19</v>
      </c>
    </row>
    <row r="6" spans="1:19" ht="60.6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09"/>
      <c r="I6" s="909"/>
      <c r="J6" s="909"/>
      <c r="K6" s="909"/>
      <c r="L6" s="909"/>
      <c r="M6" s="909"/>
      <c r="N6" s="909"/>
      <c r="O6" s="148" t="s">
        <v>136</v>
      </c>
      <c r="P6" s="148" t="s">
        <v>137</v>
      </c>
      <c r="Q6" s="148" t="s">
        <v>138</v>
      </c>
      <c r="R6" s="148" t="s">
        <v>243</v>
      </c>
      <c r="S6" s="909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6" t="str">
        <f>THNK_C!A14</f>
        <v>CÁN BỘ QUẢN LÝ CHẤT LƯỢNG</v>
      </c>
      <c r="B12" s="906"/>
      <c r="C12" s="906"/>
      <c r="D12" s="906"/>
      <c r="E12" s="906"/>
      <c r="F12" s="906"/>
      <c r="G12" s="906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6"/>
      <c r="B17" s="906"/>
      <c r="C17" s="906"/>
      <c r="D17" s="906"/>
      <c r="E17" s="906"/>
      <c r="F17" s="906"/>
      <c r="G17" s="906"/>
      <c r="H17" s="130"/>
      <c r="I17" s="130"/>
      <c r="J17" s="130"/>
      <c r="K17" s="130"/>
      <c r="L17" s="130"/>
      <c r="M17" s="130"/>
      <c r="N17" s="929" t="str">
        <f>THNK_C!L18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2026-08-03T02:42:14Z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</Properties>
</file>